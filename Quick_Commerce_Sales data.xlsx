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PITA BANIK\Downloads\"/>
    </mc:Choice>
  </mc:AlternateContent>
  <xr:revisionPtr revIDLastSave="0" documentId="8_{D4521B59-BA46-48CF-B4B7-5DCBBC86BF73}" xr6:coauthVersionLast="47" xr6:coauthVersionMax="47" xr10:uidLastSave="{00000000-0000-0000-0000-000000000000}"/>
  <bookViews>
    <workbookView xWindow="-108" yWindow="-108" windowWidth="23256" windowHeight="12456" xr2:uid="{5D2D62C9-66A3-4427-AE09-AB330CE49F5F}"/>
  </bookViews>
  <sheets>
    <sheet name="Customer" sheetId="1" r:id="rId1"/>
    <sheet name="Products" sheetId="2" r:id="rId2"/>
    <sheet name="Stores" sheetId="3" r:id="rId3"/>
    <sheet name="Regions" sheetId="4" r:id="rId4"/>
    <sheet name="Inventory" sheetId="5" r:id="rId5"/>
    <sheet name="Transactions" sheetId="6" r:id="rId6"/>
    <sheet name="Dates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01" i="6" l="1"/>
  <c r="U501" i="6"/>
  <c r="T501" i="6"/>
  <c r="S501" i="6"/>
  <c r="R501" i="6"/>
  <c r="Q501" i="6"/>
  <c r="P501" i="6"/>
  <c r="O501" i="6"/>
  <c r="N501" i="6"/>
  <c r="K501" i="6"/>
  <c r="M501" i="6" s="1"/>
  <c r="J501" i="6"/>
  <c r="V500" i="6"/>
  <c r="U500" i="6"/>
  <c r="T500" i="6"/>
  <c r="S500" i="6"/>
  <c r="R500" i="6"/>
  <c r="Q500" i="6"/>
  <c r="P500" i="6"/>
  <c r="O500" i="6"/>
  <c r="N500" i="6"/>
  <c r="M500" i="6"/>
  <c r="K500" i="6"/>
  <c r="L500" i="6" s="1"/>
  <c r="J500" i="6"/>
  <c r="V499" i="6"/>
  <c r="U499" i="6"/>
  <c r="T499" i="6"/>
  <c r="S499" i="6"/>
  <c r="R499" i="6"/>
  <c r="Q499" i="6"/>
  <c r="P499" i="6"/>
  <c r="O499" i="6"/>
  <c r="N499" i="6"/>
  <c r="K499" i="6"/>
  <c r="M499" i="6" s="1"/>
  <c r="J499" i="6"/>
  <c r="V498" i="6"/>
  <c r="U498" i="6"/>
  <c r="T498" i="6"/>
  <c r="S498" i="6"/>
  <c r="R498" i="6"/>
  <c r="Q498" i="6"/>
  <c r="P498" i="6"/>
  <c r="O498" i="6"/>
  <c r="N498" i="6"/>
  <c r="K498" i="6"/>
  <c r="M498" i="6" s="1"/>
  <c r="J498" i="6"/>
  <c r="V497" i="6"/>
  <c r="U497" i="6"/>
  <c r="T497" i="6"/>
  <c r="S497" i="6"/>
  <c r="R497" i="6"/>
  <c r="Q497" i="6"/>
  <c r="P497" i="6"/>
  <c r="O497" i="6"/>
  <c r="N497" i="6"/>
  <c r="M497" i="6"/>
  <c r="L497" i="6"/>
  <c r="K497" i="6"/>
  <c r="J497" i="6"/>
  <c r="V496" i="6"/>
  <c r="U496" i="6"/>
  <c r="T496" i="6"/>
  <c r="S496" i="6"/>
  <c r="R496" i="6"/>
  <c r="Q496" i="6"/>
  <c r="P496" i="6"/>
  <c r="O496" i="6"/>
  <c r="N496" i="6"/>
  <c r="M496" i="6"/>
  <c r="K496" i="6"/>
  <c r="L496" i="6" s="1"/>
  <c r="J496" i="6"/>
  <c r="V495" i="6"/>
  <c r="U495" i="6"/>
  <c r="T495" i="6"/>
  <c r="S495" i="6"/>
  <c r="R495" i="6"/>
  <c r="Q495" i="6"/>
  <c r="P495" i="6"/>
  <c r="O495" i="6"/>
  <c r="N495" i="6"/>
  <c r="K495" i="6"/>
  <c r="L495" i="6" s="1"/>
  <c r="J495" i="6"/>
  <c r="V494" i="6"/>
  <c r="U494" i="6"/>
  <c r="T494" i="6"/>
  <c r="S494" i="6"/>
  <c r="R494" i="6"/>
  <c r="Q494" i="6"/>
  <c r="P494" i="6"/>
  <c r="O494" i="6"/>
  <c r="N494" i="6"/>
  <c r="K494" i="6"/>
  <c r="M494" i="6" s="1"/>
  <c r="J494" i="6"/>
  <c r="V493" i="6"/>
  <c r="U493" i="6"/>
  <c r="T493" i="6"/>
  <c r="S493" i="6"/>
  <c r="R493" i="6"/>
  <c r="Q493" i="6"/>
  <c r="P493" i="6"/>
  <c r="O493" i="6"/>
  <c r="N493" i="6"/>
  <c r="L493" i="6"/>
  <c r="K493" i="6"/>
  <c r="M493" i="6" s="1"/>
  <c r="J493" i="6"/>
  <c r="V492" i="6"/>
  <c r="U492" i="6"/>
  <c r="T492" i="6"/>
  <c r="S492" i="6"/>
  <c r="R492" i="6"/>
  <c r="Q492" i="6"/>
  <c r="P492" i="6"/>
  <c r="O492" i="6"/>
  <c r="N492" i="6"/>
  <c r="M492" i="6"/>
  <c r="L492" i="6"/>
  <c r="K492" i="6"/>
  <c r="J492" i="6"/>
  <c r="V491" i="6"/>
  <c r="U491" i="6"/>
  <c r="T491" i="6"/>
  <c r="S491" i="6"/>
  <c r="R491" i="6"/>
  <c r="Q491" i="6"/>
  <c r="P491" i="6"/>
  <c r="O491" i="6"/>
  <c r="N491" i="6"/>
  <c r="K491" i="6"/>
  <c r="M491" i="6" s="1"/>
  <c r="J491" i="6"/>
  <c r="V490" i="6"/>
  <c r="U490" i="6"/>
  <c r="T490" i="6"/>
  <c r="S490" i="6"/>
  <c r="R490" i="6"/>
  <c r="Q490" i="6"/>
  <c r="P490" i="6"/>
  <c r="O490" i="6"/>
  <c r="N490" i="6"/>
  <c r="K490" i="6"/>
  <c r="M490" i="6" s="1"/>
  <c r="J490" i="6"/>
  <c r="V489" i="6"/>
  <c r="U489" i="6"/>
  <c r="T489" i="6"/>
  <c r="S489" i="6"/>
  <c r="R489" i="6"/>
  <c r="Q489" i="6"/>
  <c r="P489" i="6"/>
  <c r="O489" i="6"/>
  <c r="N489" i="6"/>
  <c r="M489" i="6"/>
  <c r="L489" i="6"/>
  <c r="K489" i="6"/>
  <c r="J489" i="6"/>
  <c r="V488" i="6"/>
  <c r="U488" i="6"/>
  <c r="T488" i="6"/>
  <c r="S488" i="6"/>
  <c r="R488" i="6"/>
  <c r="Q488" i="6"/>
  <c r="P488" i="6"/>
  <c r="O488" i="6"/>
  <c r="N488" i="6"/>
  <c r="M488" i="6"/>
  <c r="L488" i="6"/>
  <c r="K488" i="6"/>
  <c r="J488" i="6"/>
  <c r="V487" i="6"/>
  <c r="U487" i="6"/>
  <c r="T487" i="6"/>
  <c r="S487" i="6"/>
  <c r="R487" i="6"/>
  <c r="Q487" i="6"/>
  <c r="P487" i="6"/>
  <c r="O487" i="6"/>
  <c r="N487" i="6"/>
  <c r="M487" i="6"/>
  <c r="K487" i="6"/>
  <c r="L487" i="6" s="1"/>
  <c r="J487" i="6"/>
  <c r="V486" i="6"/>
  <c r="U486" i="6"/>
  <c r="T486" i="6"/>
  <c r="S486" i="6"/>
  <c r="R486" i="6"/>
  <c r="Q486" i="6"/>
  <c r="P486" i="6"/>
  <c r="O486" i="6"/>
  <c r="N486" i="6"/>
  <c r="K486" i="6"/>
  <c r="M486" i="6" s="1"/>
  <c r="J486" i="6"/>
  <c r="V485" i="6"/>
  <c r="U485" i="6"/>
  <c r="T485" i="6"/>
  <c r="S485" i="6"/>
  <c r="R485" i="6"/>
  <c r="Q485" i="6"/>
  <c r="P485" i="6"/>
  <c r="O485" i="6"/>
  <c r="N485" i="6"/>
  <c r="K485" i="6"/>
  <c r="M485" i="6" s="1"/>
  <c r="J485" i="6"/>
  <c r="V484" i="6"/>
  <c r="U484" i="6"/>
  <c r="T484" i="6"/>
  <c r="S484" i="6"/>
  <c r="R484" i="6"/>
  <c r="Q484" i="6"/>
  <c r="P484" i="6"/>
  <c r="O484" i="6"/>
  <c r="N484" i="6"/>
  <c r="M484" i="6"/>
  <c r="L484" i="6"/>
  <c r="K484" i="6"/>
  <c r="J484" i="6"/>
  <c r="V483" i="6"/>
  <c r="U483" i="6"/>
  <c r="T483" i="6"/>
  <c r="S483" i="6"/>
  <c r="R483" i="6"/>
  <c r="Q483" i="6"/>
  <c r="P483" i="6"/>
  <c r="O483" i="6"/>
  <c r="N483" i="6"/>
  <c r="K483" i="6"/>
  <c r="M483" i="6" s="1"/>
  <c r="J483" i="6"/>
  <c r="V482" i="6"/>
  <c r="U482" i="6"/>
  <c r="T482" i="6"/>
  <c r="S482" i="6"/>
  <c r="R482" i="6"/>
  <c r="Q482" i="6"/>
  <c r="P482" i="6"/>
  <c r="O482" i="6"/>
  <c r="N482" i="6"/>
  <c r="K482" i="6"/>
  <c r="M482" i="6" s="1"/>
  <c r="J482" i="6"/>
  <c r="V481" i="6"/>
  <c r="U481" i="6"/>
  <c r="T481" i="6"/>
  <c r="S481" i="6"/>
  <c r="R481" i="6"/>
  <c r="Q481" i="6"/>
  <c r="P481" i="6"/>
  <c r="O481" i="6"/>
  <c r="N481" i="6"/>
  <c r="M481" i="6"/>
  <c r="L481" i="6"/>
  <c r="K481" i="6"/>
  <c r="J481" i="6"/>
  <c r="V480" i="6"/>
  <c r="U480" i="6"/>
  <c r="T480" i="6"/>
  <c r="S480" i="6"/>
  <c r="R480" i="6"/>
  <c r="Q480" i="6"/>
  <c r="P480" i="6"/>
  <c r="O480" i="6"/>
  <c r="N480" i="6"/>
  <c r="M480" i="6"/>
  <c r="L480" i="6"/>
  <c r="K480" i="6"/>
  <c r="J480" i="6"/>
  <c r="V479" i="6"/>
  <c r="U479" i="6"/>
  <c r="T479" i="6"/>
  <c r="S479" i="6"/>
  <c r="R479" i="6"/>
  <c r="Q479" i="6"/>
  <c r="P479" i="6"/>
  <c r="O479" i="6"/>
  <c r="N479" i="6"/>
  <c r="M479" i="6"/>
  <c r="K479" i="6"/>
  <c r="L479" i="6" s="1"/>
  <c r="J479" i="6"/>
  <c r="V478" i="6"/>
  <c r="U478" i="6"/>
  <c r="T478" i="6"/>
  <c r="S478" i="6"/>
  <c r="R478" i="6"/>
  <c r="Q478" i="6"/>
  <c r="P478" i="6"/>
  <c r="O478" i="6"/>
  <c r="N478" i="6"/>
  <c r="K478" i="6"/>
  <c r="M478" i="6" s="1"/>
  <c r="J478" i="6"/>
  <c r="V477" i="6"/>
  <c r="U477" i="6"/>
  <c r="T477" i="6"/>
  <c r="S477" i="6"/>
  <c r="R477" i="6"/>
  <c r="Q477" i="6"/>
  <c r="P477" i="6"/>
  <c r="O477" i="6"/>
  <c r="N477" i="6"/>
  <c r="K477" i="6"/>
  <c r="M477" i="6" s="1"/>
  <c r="J477" i="6"/>
  <c r="V476" i="6"/>
  <c r="U476" i="6"/>
  <c r="T476" i="6"/>
  <c r="S476" i="6"/>
  <c r="R476" i="6"/>
  <c r="Q476" i="6"/>
  <c r="P476" i="6"/>
  <c r="O476" i="6"/>
  <c r="N476" i="6"/>
  <c r="M476" i="6"/>
  <c r="L476" i="6"/>
  <c r="K476" i="6"/>
  <c r="J476" i="6"/>
  <c r="V475" i="6"/>
  <c r="U475" i="6"/>
  <c r="T475" i="6"/>
  <c r="S475" i="6"/>
  <c r="R475" i="6"/>
  <c r="Q475" i="6"/>
  <c r="P475" i="6"/>
  <c r="O475" i="6"/>
  <c r="N475" i="6"/>
  <c r="K475" i="6"/>
  <c r="M475" i="6" s="1"/>
  <c r="J475" i="6"/>
  <c r="V474" i="6"/>
  <c r="U474" i="6"/>
  <c r="T474" i="6"/>
  <c r="S474" i="6"/>
  <c r="R474" i="6"/>
  <c r="Q474" i="6"/>
  <c r="P474" i="6"/>
  <c r="O474" i="6"/>
  <c r="N474" i="6"/>
  <c r="K474" i="6"/>
  <c r="M474" i="6" s="1"/>
  <c r="J474" i="6"/>
  <c r="V473" i="6"/>
  <c r="U473" i="6"/>
  <c r="T473" i="6"/>
  <c r="S473" i="6"/>
  <c r="R473" i="6"/>
  <c r="Q473" i="6"/>
  <c r="P473" i="6"/>
  <c r="O473" i="6"/>
  <c r="N473" i="6"/>
  <c r="M473" i="6"/>
  <c r="L473" i="6"/>
  <c r="K473" i="6"/>
  <c r="J473" i="6"/>
  <c r="V472" i="6"/>
  <c r="U472" i="6"/>
  <c r="T472" i="6"/>
  <c r="S472" i="6"/>
  <c r="R472" i="6"/>
  <c r="Q472" i="6"/>
  <c r="P472" i="6"/>
  <c r="O472" i="6"/>
  <c r="N472" i="6"/>
  <c r="M472" i="6"/>
  <c r="L472" i="6"/>
  <c r="K472" i="6"/>
  <c r="J472" i="6"/>
  <c r="V471" i="6"/>
  <c r="U471" i="6"/>
  <c r="T471" i="6"/>
  <c r="S471" i="6"/>
  <c r="R471" i="6"/>
  <c r="Q471" i="6"/>
  <c r="P471" i="6"/>
  <c r="O471" i="6"/>
  <c r="N471" i="6"/>
  <c r="M471" i="6"/>
  <c r="K471" i="6"/>
  <c r="L471" i="6" s="1"/>
  <c r="J471" i="6"/>
  <c r="V470" i="6"/>
  <c r="U470" i="6"/>
  <c r="T470" i="6"/>
  <c r="S470" i="6"/>
  <c r="R470" i="6"/>
  <c r="Q470" i="6"/>
  <c r="P470" i="6"/>
  <c r="O470" i="6"/>
  <c r="N470" i="6"/>
  <c r="K470" i="6"/>
  <c r="M470" i="6" s="1"/>
  <c r="J470" i="6"/>
  <c r="V469" i="6"/>
  <c r="U469" i="6"/>
  <c r="T469" i="6"/>
  <c r="S469" i="6"/>
  <c r="R469" i="6"/>
  <c r="Q469" i="6"/>
  <c r="P469" i="6"/>
  <c r="O469" i="6"/>
  <c r="N469" i="6"/>
  <c r="K469" i="6"/>
  <c r="M469" i="6" s="1"/>
  <c r="J469" i="6"/>
  <c r="V468" i="6"/>
  <c r="U468" i="6"/>
  <c r="T468" i="6"/>
  <c r="S468" i="6"/>
  <c r="R468" i="6"/>
  <c r="Q468" i="6"/>
  <c r="P468" i="6"/>
  <c r="O468" i="6"/>
  <c r="N468" i="6"/>
  <c r="M468" i="6"/>
  <c r="L468" i="6"/>
  <c r="K468" i="6"/>
  <c r="J468" i="6"/>
  <c r="V467" i="6"/>
  <c r="U467" i="6"/>
  <c r="T467" i="6"/>
  <c r="S467" i="6"/>
  <c r="R467" i="6"/>
  <c r="Q467" i="6"/>
  <c r="P467" i="6"/>
  <c r="O467" i="6"/>
  <c r="N467" i="6"/>
  <c r="K467" i="6"/>
  <c r="M467" i="6" s="1"/>
  <c r="J467" i="6"/>
  <c r="V466" i="6"/>
  <c r="U466" i="6"/>
  <c r="T466" i="6"/>
  <c r="S466" i="6"/>
  <c r="R466" i="6"/>
  <c r="Q466" i="6"/>
  <c r="P466" i="6"/>
  <c r="O466" i="6"/>
  <c r="N466" i="6"/>
  <c r="K466" i="6"/>
  <c r="M466" i="6" s="1"/>
  <c r="J466" i="6"/>
  <c r="V465" i="6"/>
  <c r="U465" i="6"/>
  <c r="T465" i="6"/>
  <c r="S465" i="6"/>
  <c r="R465" i="6"/>
  <c r="Q465" i="6"/>
  <c r="P465" i="6"/>
  <c r="O465" i="6"/>
  <c r="N465" i="6"/>
  <c r="M465" i="6"/>
  <c r="L465" i="6"/>
  <c r="K465" i="6"/>
  <c r="J465" i="6"/>
  <c r="V464" i="6"/>
  <c r="U464" i="6"/>
  <c r="T464" i="6"/>
  <c r="S464" i="6"/>
  <c r="R464" i="6"/>
  <c r="Q464" i="6"/>
  <c r="P464" i="6"/>
  <c r="O464" i="6"/>
  <c r="N464" i="6"/>
  <c r="M464" i="6"/>
  <c r="L464" i="6"/>
  <c r="K464" i="6"/>
  <c r="J464" i="6"/>
  <c r="V463" i="6"/>
  <c r="U463" i="6"/>
  <c r="T463" i="6"/>
  <c r="S463" i="6"/>
  <c r="R463" i="6"/>
  <c r="Q463" i="6"/>
  <c r="P463" i="6"/>
  <c r="O463" i="6"/>
  <c r="N463" i="6"/>
  <c r="M463" i="6"/>
  <c r="K463" i="6"/>
  <c r="L463" i="6" s="1"/>
  <c r="J463" i="6"/>
  <c r="V462" i="6"/>
  <c r="U462" i="6"/>
  <c r="T462" i="6"/>
  <c r="S462" i="6"/>
  <c r="R462" i="6"/>
  <c r="Q462" i="6"/>
  <c r="P462" i="6"/>
  <c r="O462" i="6"/>
  <c r="N462" i="6"/>
  <c r="K462" i="6"/>
  <c r="M462" i="6" s="1"/>
  <c r="J462" i="6"/>
  <c r="V461" i="6"/>
  <c r="U461" i="6"/>
  <c r="T461" i="6"/>
  <c r="S461" i="6"/>
  <c r="R461" i="6"/>
  <c r="Q461" i="6"/>
  <c r="P461" i="6"/>
  <c r="O461" i="6"/>
  <c r="N461" i="6"/>
  <c r="K461" i="6"/>
  <c r="M461" i="6" s="1"/>
  <c r="J461" i="6"/>
  <c r="V460" i="6"/>
  <c r="U460" i="6"/>
  <c r="T460" i="6"/>
  <c r="S460" i="6"/>
  <c r="R460" i="6"/>
  <c r="Q460" i="6"/>
  <c r="P460" i="6"/>
  <c r="O460" i="6"/>
  <c r="N460" i="6"/>
  <c r="M460" i="6"/>
  <c r="L460" i="6"/>
  <c r="K460" i="6"/>
  <c r="J460" i="6"/>
  <c r="V459" i="6"/>
  <c r="U459" i="6"/>
  <c r="T459" i="6"/>
  <c r="S459" i="6"/>
  <c r="R459" i="6"/>
  <c r="Q459" i="6"/>
  <c r="P459" i="6"/>
  <c r="O459" i="6"/>
  <c r="N459" i="6"/>
  <c r="K459" i="6"/>
  <c r="M459" i="6" s="1"/>
  <c r="J459" i="6"/>
  <c r="V458" i="6"/>
  <c r="U458" i="6"/>
  <c r="T458" i="6"/>
  <c r="S458" i="6"/>
  <c r="R458" i="6"/>
  <c r="Q458" i="6"/>
  <c r="P458" i="6"/>
  <c r="O458" i="6"/>
  <c r="N458" i="6"/>
  <c r="K458" i="6"/>
  <c r="M458" i="6" s="1"/>
  <c r="J458" i="6"/>
  <c r="V457" i="6"/>
  <c r="U457" i="6"/>
  <c r="T457" i="6"/>
  <c r="S457" i="6"/>
  <c r="R457" i="6"/>
  <c r="Q457" i="6"/>
  <c r="P457" i="6"/>
  <c r="O457" i="6"/>
  <c r="N457" i="6"/>
  <c r="M457" i="6"/>
  <c r="L457" i="6"/>
  <c r="K457" i="6"/>
  <c r="J457" i="6"/>
  <c r="V456" i="6"/>
  <c r="U456" i="6"/>
  <c r="T456" i="6"/>
  <c r="S456" i="6"/>
  <c r="R456" i="6"/>
  <c r="Q456" i="6"/>
  <c r="P456" i="6"/>
  <c r="O456" i="6"/>
  <c r="N456" i="6"/>
  <c r="M456" i="6"/>
  <c r="L456" i="6"/>
  <c r="K456" i="6"/>
  <c r="J456" i="6"/>
  <c r="V455" i="6"/>
  <c r="U455" i="6"/>
  <c r="T455" i="6"/>
  <c r="S455" i="6"/>
  <c r="R455" i="6"/>
  <c r="Q455" i="6"/>
  <c r="P455" i="6"/>
  <c r="O455" i="6"/>
  <c r="N455" i="6"/>
  <c r="M455" i="6"/>
  <c r="K455" i="6"/>
  <c r="L455" i="6" s="1"/>
  <c r="J455" i="6"/>
  <c r="V454" i="6"/>
  <c r="U454" i="6"/>
  <c r="T454" i="6"/>
  <c r="S454" i="6"/>
  <c r="R454" i="6"/>
  <c r="Q454" i="6"/>
  <c r="P454" i="6"/>
  <c r="O454" i="6"/>
  <c r="N454" i="6"/>
  <c r="K454" i="6"/>
  <c r="M454" i="6" s="1"/>
  <c r="J454" i="6"/>
  <c r="V453" i="6"/>
  <c r="U453" i="6"/>
  <c r="T453" i="6"/>
  <c r="S453" i="6"/>
  <c r="R453" i="6"/>
  <c r="Q453" i="6"/>
  <c r="P453" i="6"/>
  <c r="O453" i="6"/>
  <c r="N453" i="6"/>
  <c r="K453" i="6"/>
  <c r="M453" i="6" s="1"/>
  <c r="J453" i="6"/>
  <c r="V452" i="6"/>
  <c r="U452" i="6"/>
  <c r="T452" i="6"/>
  <c r="S452" i="6"/>
  <c r="R452" i="6"/>
  <c r="Q452" i="6"/>
  <c r="P452" i="6"/>
  <c r="O452" i="6"/>
  <c r="N452" i="6"/>
  <c r="M452" i="6"/>
  <c r="L452" i="6"/>
  <c r="K452" i="6"/>
  <c r="J452" i="6"/>
  <c r="V451" i="6"/>
  <c r="U451" i="6"/>
  <c r="T451" i="6"/>
  <c r="S451" i="6"/>
  <c r="R451" i="6"/>
  <c r="Q451" i="6"/>
  <c r="P451" i="6"/>
  <c r="O451" i="6"/>
  <c r="N451" i="6"/>
  <c r="K451" i="6"/>
  <c r="M451" i="6" s="1"/>
  <c r="J451" i="6"/>
  <c r="V450" i="6"/>
  <c r="U450" i="6"/>
  <c r="T450" i="6"/>
  <c r="S450" i="6"/>
  <c r="R450" i="6"/>
  <c r="Q450" i="6"/>
  <c r="P450" i="6"/>
  <c r="O450" i="6"/>
  <c r="N450" i="6"/>
  <c r="K450" i="6"/>
  <c r="M450" i="6" s="1"/>
  <c r="J450" i="6"/>
  <c r="V449" i="6"/>
  <c r="U449" i="6"/>
  <c r="T449" i="6"/>
  <c r="S449" i="6"/>
  <c r="R449" i="6"/>
  <c r="Q449" i="6"/>
  <c r="P449" i="6"/>
  <c r="O449" i="6"/>
  <c r="N449" i="6"/>
  <c r="M449" i="6"/>
  <c r="L449" i="6"/>
  <c r="K449" i="6"/>
  <c r="J449" i="6"/>
  <c r="V448" i="6"/>
  <c r="U448" i="6"/>
  <c r="T448" i="6"/>
  <c r="S448" i="6"/>
  <c r="R448" i="6"/>
  <c r="Q448" i="6"/>
  <c r="P448" i="6"/>
  <c r="O448" i="6"/>
  <c r="N448" i="6"/>
  <c r="M448" i="6"/>
  <c r="L448" i="6"/>
  <c r="K448" i="6"/>
  <c r="J448" i="6"/>
  <c r="V447" i="6"/>
  <c r="U447" i="6"/>
  <c r="T447" i="6"/>
  <c r="S447" i="6"/>
  <c r="R447" i="6"/>
  <c r="Q447" i="6"/>
  <c r="P447" i="6"/>
  <c r="O447" i="6"/>
  <c r="N447" i="6"/>
  <c r="M447" i="6"/>
  <c r="K447" i="6"/>
  <c r="L447" i="6" s="1"/>
  <c r="J447" i="6"/>
  <c r="V446" i="6"/>
  <c r="U446" i="6"/>
  <c r="T446" i="6"/>
  <c r="S446" i="6"/>
  <c r="R446" i="6"/>
  <c r="Q446" i="6"/>
  <c r="P446" i="6"/>
  <c r="O446" i="6"/>
  <c r="N446" i="6"/>
  <c r="L446" i="6"/>
  <c r="K446" i="6"/>
  <c r="M446" i="6" s="1"/>
  <c r="J446" i="6"/>
  <c r="V445" i="6"/>
  <c r="U445" i="6"/>
  <c r="T445" i="6"/>
  <c r="S445" i="6"/>
  <c r="R445" i="6"/>
  <c r="Q445" i="6"/>
  <c r="P445" i="6"/>
  <c r="O445" i="6"/>
  <c r="N445" i="6"/>
  <c r="K445" i="6"/>
  <c r="M445" i="6" s="1"/>
  <c r="J445" i="6"/>
  <c r="V444" i="6"/>
  <c r="U444" i="6"/>
  <c r="T444" i="6"/>
  <c r="S444" i="6"/>
  <c r="R444" i="6"/>
  <c r="Q444" i="6"/>
  <c r="P444" i="6"/>
  <c r="O444" i="6"/>
  <c r="N444" i="6"/>
  <c r="M444" i="6"/>
  <c r="L444" i="6"/>
  <c r="K444" i="6"/>
  <c r="J444" i="6"/>
  <c r="V443" i="6"/>
  <c r="U443" i="6"/>
  <c r="T443" i="6"/>
  <c r="S443" i="6"/>
  <c r="R443" i="6"/>
  <c r="Q443" i="6"/>
  <c r="P443" i="6"/>
  <c r="O443" i="6"/>
  <c r="N443" i="6"/>
  <c r="K443" i="6"/>
  <c r="J443" i="6"/>
  <c r="V442" i="6"/>
  <c r="U442" i="6"/>
  <c r="T442" i="6"/>
  <c r="S442" i="6"/>
  <c r="R442" i="6"/>
  <c r="Q442" i="6"/>
  <c r="P442" i="6"/>
  <c r="O442" i="6"/>
  <c r="N442" i="6"/>
  <c r="K442" i="6"/>
  <c r="M442" i="6" s="1"/>
  <c r="J442" i="6"/>
  <c r="V441" i="6"/>
  <c r="U441" i="6"/>
  <c r="T441" i="6"/>
  <c r="S441" i="6"/>
  <c r="R441" i="6"/>
  <c r="Q441" i="6"/>
  <c r="P441" i="6"/>
  <c r="O441" i="6"/>
  <c r="N441" i="6"/>
  <c r="M441" i="6"/>
  <c r="L441" i="6"/>
  <c r="K441" i="6"/>
  <c r="J441" i="6"/>
  <c r="V440" i="6"/>
  <c r="U440" i="6"/>
  <c r="T440" i="6"/>
  <c r="S440" i="6"/>
  <c r="R440" i="6"/>
  <c r="Q440" i="6"/>
  <c r="P440" i="6"/>
  <c r="O440" i="6"/>
  <c r="N440" i="6"/>
  <c r="M440" i="6"/>
  <c r="L440" i="6"/>
  <c r="K440" i="6"/>
  <c r="J440" i="6"/>
  <c r="V439" i="6"/>
  <c r="U439" i="6"/>
  <c r="T439" i="6"/>
  <c r="S439" i="6"/>
  <c r="R439" i="6"/>
  <c r="Q439" i="6"/>
  <c r="P439" i="6"/>
  <c r="O439" i="6"/>
  <c r="N439" i="6"/>
  <c r="M439" i="6"/>
  <c r="K439" i="6"/>
  <c r="L439" i="6" s="1"/>
  <c r="J439" i="6"/>
  <c r="V438" i="6"/>
  <c r="U438" i="6"/>
  <c r="T438" i="6"/>
  <c r="S438" i="6"/>
  <c r="R438" i="6"/>
  <c r="Q438" i="6"/>
  <c r="P438" i="6"/>
  <c r="O438" i="6"/>
  <c r="N438" i="6"/>
  <c r="L438" i="6"/>
  <c r="K438" i="6"/>
  <c r="M438" i="6" s="1"/>
  <c r="J438" i="6"/>
  <c r="V437" i="6"/>
  <c r="U437" i="6"/>
  <c r="T437" i="6"/>
  <c r="S437" i="6"/>
  <c r="R437" i="6"/>
  <c r="Q437" i="6"/>
  <c r="P437" i="6"/>
  <c r="O437" i="6"/>
  <c r="N437" i="6"/>
  <c r="K437" i="6"/>
  <c r="M437" i="6" s="1"/>
  <c r="J437" i="6"/>
  <c r="V436" i="6"/>
  <c r="U436" i="6"/>
  <c r="T436" i="6"/>
  <c r="S436" i="6"/>
  <c r="R436" i="6"/>
  <c r="Q436" i="6"/>
  <c r="P436" i="6"/>
  <c r="O436" i="6"/>
  <c r="N436" i="6"/>
  <c r="M436" i="6"/>
  <c r="L436" i="6"/>
  <c r="K436" i="6"/>
  <c r="J436" i="6"/>
  <c r="V435" i="6"/>
  <c r="U435" i="6"/>
  <c r="T435" i="6"/>
  <c r="S435" i="6"/>
  <c r="R435" i="6"/>
  <c r="Q435" i="6"/>
  <c r="P435" i="6"/>
  <c r="O435" i="6"/>
  <c r="N435" i="6"/>
  <c r="K435" i="6"/>
  <c r="J435" i="6"/>
  <c r="V434" i="6"/>
  <c r="U434" i="6"/>
  <c r="T434" i="6"/>
  <c r="S434" i="6"/>
  <c r="R434" i="6"/>
  <c r="Q434" i="6"/>
  <c r="P434" i="6"/>
  <c r="O434" i="6"/>
  <c r="N434" i="6"/>
  <c r="K434" i="6"/>
  <c r="M434" i="6" s="1"/>
  <c r="J434" i="6"/>
  <c r="V433" i="6"/>
  <c r="U433" i="6"/>
  <c r="T433" i="6"/>
  <c r="S433" i="6"/>
  <c r="R433" i="6"/>
  <c r="Q433" i="6"/>
  <c r="P433" i="6"/>
  <c r="O433" i="6"/>
  <c r="N433" i="6"/>
  <c r="M433" i="6"/>
  <c r="L433" i="6"/>
  <c r="K433" i="6"/>
  <c r="J433" i="6"/>
  <c r="V432" i="6"/>
  <c r="U432" i="6"/>
  <c r="T432" i="6"/>
  <c r="S432" i="6"/>
  <c r="R432" i="6"/>
  <c r="Q432" i="6"/>
  <c r="P432" i="6"/>
  <c r="O432" i="6"/>
  <c r="N432" i="6"/>
  <c r="M432" i="6"/>
  <c r="L432" i="6"/>
  <c r="K432" i="6"/>
  <c r="J432" i="6"/>
  <c r="V431" i="6"/>
  <c r="U431" i="6"/>
  <c r="T431" i="6"/>
  <c r="S431" i="6"/>
  <c r="R431" i="6"/>
  <c r="Q431" i="6"/>
  <c r="P431" i="6"/>
  <c r="O431" i="6"/>
  <c r="N431" i="6"/>
  <c r="M431" i="6"/>
  <c r="K431" i="6"/>
  <c r="L431" i="6" s="1"/>
  <c r="J431" i="6"/>
  <c r="V430" i="6"/>
  <c r="U430" i="6"/>
  <c r="T430" i="6"/>
  <c r="S430" i="6"/>
  <c r="R430" i="6"/>
  <c r="Q430" i="6"/>
  <c r="P430" i="6"/>
  <c r="O430" i="6"/>
  <c r="N430" i="6"/>
  <c r="L430" i="6"/>
  <c r="K430" i="6"/>
  <c r="M430" i="6" s="1"/>
  <c r="J430" i="6"/>
  <c r="V429" i="6"/>
  <c r="U429" i="6"/>
  <c r="T429" i="6"/>
  <c r="S429" i="6"/>
  <c r="R429" i="6"/>
  <c r="Q429" i="6"/>
  <c r="P429" i="6"/>
  <c r="O429" i="6"/>
  <c r="N429" i="6"/>
  <c r="K429" i="6"/>
  <c r="M429" i="6" s="1"/>
  <c r="J429" i="6"/>
  <c r="V428" i="6"/>
  <c r="U428" i="6"/>
  <c r="T428" i="6"/>
  <c r="S428" i="6"/>
  <c r="R428" i="6"/>
  <c r="Q428" i="6"/>
  <c r="P428" i="6"/>
  <c r="O428" i="6"/>
  <c r="N428" i="6"/>
  <c r="M428" i="6"/>
  <c r="L428" i="6"/>
  <c r="K428" i="6"/>
  <c r="J428" i="6"/>
  <c r="V427" i="6"/>
  <c r="U427" i="6"/>
  <c r="T427" i="6"/>
  <c r="S427" i="6"/>
  <c r="R427" i="6"/>
  <c r="Q427" i="6"/>
  <c r="P427" i="6"/>
  <c r="O427" i="6"/>
  <c r="N427" i="6"/>
  <c r="K427" i="6"/>
  <c r="J427" i="6"/>
  <c r="V426" i="6"/>
  <c r="U426" i="6"/>
  <c r="T426" i="6"/>
  <c r="S426" i="6"/>
  <c r="R426" i="6"/>
  <c r="Q426" i="6"/>
  <c r="P426" i="6"/>
  <c r="O426" i="6"/>
  <c r="N426" i="6"/>
  <c r="K426" i="6"/>
  <c r="M426" i="6" s="1"/>
  <c r="J426" i="6"/>
  <c r="V425" i="6"/>
  <c r="U425" i="6"/>
  <c r="T425" i="6"/>
  <c r="S425" i="6"/>
  <c r="R425" i="6"/>
  <c r="Q425" i="6"/>
  <c r="P425" i="6"/>
  <c r="O425" i="6"/>
  <c r="N425" i="6"/>
  <c r="M425" i="6"/>
  <c r="L425" i="6"/>
  <c r="K425" i="6"/>
  <c r="J425" i="6"/>
  <c r="V424" i="6"/>
  <c r="U424" i="6"/>
  <c r="T424" i="6"/>
  <c r="S424" i="6"/>
  <c r="R424" i="6"/>
  <c r="Q424" i="6"/>
  <c r="P424" i="6"/>
  <c r="O424" i="6"/>
  <c r="N424" i="6"/>
  <c r="M424" i="6"/>
  <c r="L424" i="6"/>
  <c r="K424" i="6"/>
  <c r="J424" i="6"/>
  <c r="V423" i="6"/>
  <c r="U423" i="6"/>
  <c r="T423" i="6"/>
  <c r="S423" i="6"/>
  <c r="R423" i="6"/>
  <c r="Q423" i="6"/>
  <c r="P423" i="6"/>
  <c r="O423" i="6"/>
  <c r="N423" i="6"/>
  <c r="M423" i="6"/>
  <c r="K423" i="6"/>
  <c r="L423" i="6" s="1"/>
  <c r="J423" i="6"/>
  <c r="V422" i="6"/>
  <c r="U422" i="6"/>
  <c r="T422" i="6"/>
  <c r="S422" i="6"/>
  <c r="R422" i="6"/>
  <c r="Q422" i="6"/>
  <c r="P422" i="6"/>
  <c r="O422" i="6"/>
  <c r="N422" i="6"/>
  <c r="L422" i="6"/>
  <c r="K422" i="6"/>
  <c r="M422" i="6" s="1"/>
  <c r="J422" i="6"/>
  <c r="V421" i="6"/>
  <c r="U421" i="6"/>
  <c r="T421" i="6"/>
  <c r="S421" i="6"/>
  <c r="R421" i="6"/>
  <c r="Q421" i="6"/>
  <c r="P421" i="6"/>
  <c r="O421" i="6"/>
  <c r="N421" i="6"/>
  <c r="K421" i="6"/>
  <c r="M421" i="6" s="1"/>
  <c r="J421" i="6"/>
  <c r="V420" i="6"/>
  <c r="U420" i="6"/>
  <c r="T420" i="6"/>
  <c r="S420" i="6"/>
  <c r="R420" i="6"/>
  <c r="Q420" i="6"/>
  <c r="P420" i="6"/>
  <c r="O420" i="6"/>
  <c r="N420" i="6"/>
  <c r="M420" i="6"/>
  <c r="L420" i="6"/>
  <c r="K420" i="6"/>
  <c r="J420" i="6"/>
  <c r="V419" i="6"/>
  <c r="U419" i="6"/>
  <c r="T419" i="6"/>
  <c r="S419" i="6"/>
  <c r="R419" i="6"/>
  <c r="Q419" i="6"/>
  <c r="P419" i="6"/>
  <c r="O419" i="6"/>
  <c r="N419" i="6"/>
  <c r="K419" i="6"/>
  <c r="J419" i="6"/>
  <c r="V418" i="6"/>
  <c r="U418" i="6"/>
  <c r="T418" i="6"/>
  <c r="S418" i="6"/>
  <c r="R418" i="6"/>
  <c r="Q418" i="6"/>
  <c r="P418" i="6"/>
  <c r="O418" i="6"/>
  <c r="N418" i="6"/>
  <c r="K418" i="6"/>
  <c r="M418" i="6" s="1"/>
  <c r="J418" i="6"/>
  <c r="V417" i="6"/>
  <c r="U417" i="6"/>
  <c r="T417" i="6"/>
  <c r="S417" i="6"/>
  <c r="R417" i="6"/>
  <c r="Q417" i="6"/>
  <c r="P417" i="6"/>
  <c r="O417" i="6"/>
  <c r="N417" i="6"/>
  <c r="M417" i="6"/>
  <c r="L417" i="6"/>
  <c r="K417" i="6"/>
  <c r="J417" i="6"/>
  <c r="V416" i="6"/>
  <c r="U416" i="6"/>
  <c r="T416" i="6"/>
  <c r="S416" i="6"/>
  <c r="R416" i="6"/>
  <c r="Q416" i="6"/>
  <c r="P416" i="6"/>
  <c r="O416" i="6"/>
  <c r="N416" i="6"/>
  <c r="M416" i="6"/>
  <c r="L416" i="6"/>
  <c r="K416" i="6"/>
  <c r="J416" i="6"/>
  <c r="V415" i="6"/>
  <c r="U415" i="6"/>
  <c r="T415" i="6"/>
  <c r="S415" i="6"/>
  <c r="R415" i="6"/>
  <c r="Q415" i="6"/>
  <c r="P415" i="6"/>
  <c r="O415" i="6"/>
  <c r="N415" i="6"/>
  <c r="M415" i="6"/>
  <c r="K415" i="6"/>
  <c r="L415" i="6" s="1"/>
  <c r="J415" i="6"/>
  <c r="V414" i="6"/>
  <c r="U414" i="6"/>
  <c r="T414" i="6"/>
  <c r="S414" i="6"/>
  <c r="R414" i="6"/>
  <c r="Q414" i="6"/>
  <c r="P414" i="6"/>
  <c r="O414" i="6"/>
  <c r="N414" i="6"/>
  <c r="L414" i="6"/>
  <c r="K414" i="6"/>
  <c r="M414" i="6" s="1"/>
  <c r="J414" i="6"/>
  <c r="V413" i="6"/>
  <c r="U413" i="6"/>
  <c r="T413" i="6"/>
  <c r="S413" i="6"/>
  <c r="R413" i="6"/>
  <c r="Q413" i="6"/>
  <c r="P413" i="6"/>
  <c r="O413" i="6"/>
  <c r="N413" i="6"/>
  <c r="K413" i="6"/>
  <c r="M413" i="6" s="1"/>
  <c r="J413" i="6"/>
  <c r="V412" i="6"/>
  <c r="U412" i="6"/>
  <c r="T412" i="6"/>
  <c r="S412" i="6"/>
  <c r="R412" i="6"/>
  <c r="Q412" i="6"/>
  <c r="P412" i="6"/>
  <c r="O412" i="6"/>
  <c r="N412" i="6"/>
  <c r="M412" i="6"/>
  <c r="L412" i="6"/>
  <c r="K412" i="6"/>
  <c r="J412" i="6"/>
  <c r="V411" i="6"/>
  <c r="U411" i="6"/>
  <c r="T411" i="6"/>
  <c r="S411" i="6"/>
  <c r="R411" i="6"/>
  <c r="Q411" i="6"/>
  <c r="P411" i="6"/>
  <c r="O411" i="6"/>
  <c r="N411" i="6"/>
  <c r="K411" i="6"/>
  <c r="J411" i="6"/>
  <c r="V410" i="6"/>
  <c r="U410" i="6"/>
  <c r="T410" i="6"/>
  <c r="S410" i="6"/>
  <c r="R410" i="6"/>
  <c r="Q410" i="6"/>
  <c r="P410" i="6"/>
  <c r="O410" i="6"/>
  <c r="N410" i="6"/>
  <c r="K410" i="6"/>
  <c r="M410" i="6" s="1"/>
  <c r="J410" i="6"/>
  <c r="V409" i="6"/>
  <c r="U409" i="6"/>
  <c r="T409" i="6"/>
  <c r="S409" i="6"/>
  <c r="R409" i="6"/>
  <c r="Q409" i="6"/>
  <c r="P409" i="6"/>
  <c r="O409" i="6"/>
  <c r="N409" i="6"/>
  <c r="M409" i="6"/>
  <c r="L409" i="6"/>
  <c r="K409" i="6"/>
  <c r="J409" i="6"/>
  <c r="V408" i="6"/>
  <c r="U408" i="6"/>
  <c r="T408" i="6"/>
  <c r="S408" i="6"/>
  <c r="R408" i="6"/>
  <c r="Q408" i="6"/>
  <c r="P408" i="6"/>
  <c r="O408" i="6"/>
  <c r="N408" i="6"/>
  <c r="M408" i="6"/>
  <c r="L408" i="6"/>
  <c r="K408" i="6"/>
  <c r="J408" i="6"/>
  <c r="V407" i="6"/>
  <c r="U407" i="6"/>
  <c r="T407" i="6"/>
  <c r="S407" i="6"/>
  <c r="R407" i="6"/>
  <c r="Q407" i="6"/>
  <c r="P407" i="6"/>
  <c r="O407" i="6"/>
  <c r="N407" i="6"/>
  <c r="M407" i="6"/>
  <c r="K407" i="6"/>
  <c r="L407" i="6" s="1"/>
  <c r="J407" i="6"/>
  <c r="V406" i="6"/>
  <c r="U406" i="6"/>
  <c r="T406" i="6"/>
  <c r="S406" i="6"/>
  <c r="R406" i="6"/>
  <c r="Q406" i="6"/>
  <c r="P406" i="6"/>
  <c r="O406" i="6"/>
  <c r="N406" i="6"/>
  <c r="L406" i="6"/>
  <c r="K406" i="6"/>
  <c r="M406" i="6" s="1"/>
  <c r="J406" i="6"/>
  <c r="V405" i="6"/>
  <c r="U405" i="6"/>
  <c r="T405" i="6"/>
  <c r="S405" i="6"/>
  <c r="R405" i="6"/>
  <c r="Q405" i="6"/>
  <c r="P405" i="6"/>
  <c r="O405" i="6"/>
  <c r="N405" i="6"/>
  <c r="K405" i="6"/>
  <c r="M405" i="6" s="1"/>
  <c r="J405" i="6"/>
  <c r="V404" i="6"/>
  <c r="U404" i="6"/>
  <c r="T404" i="6"/>
  <c r="S404" i="6"/>
  <c r="R404" i="6"/>
  <c r="Q404" i="6"/>
  <c r="P404" i="6"/>
  <c r="O404" i="6"/>
  <c r="N404" i="6"/>
  <c r="M404" i="6"/>
  <c r="L404" i="6"/>
  <c r="K404" i="6"/>
  <c r="J404" i="6"/>
  <c r="V403" i="6"/>
  <c r="U403" i="6"/>
  <c r="T403" i="6"/>
  <c r="S403" i="6"/>
  <c r="R403" i="6"/>
  <c r="Q403" i="6"/>
  <c r="P403" i="6"/>
  <c r="O403" i="6"/>
  <c r="N403" i="6"/>
  <c r="K403" i="6"/>
  <c r="J403" i="6"/>
  <c r="V402" i="6"/>
  <c r="U402" i="6"/>
  <c r="T402" i="6"/>
  <c r="S402" i="6"/>
  <c r="R402" i="6"/>
  <c r="Q402" i="6"/>
  <c r="P402" i="6"/>
  <c r="O402" i="6"/>
  <c r="N402" i="6"/>
  <c r="K402" i="6"/>
  <c r="M402" i="6" s="1"/>
  <c r="J402" i="6"/>
  <c r="V401" i="6"/>
  <c r="U401" i="6"/>
  <c r="T401" i="6"/>
  <c r="S401" i="6"/>
  <c r="R401" i="6"/>
  <c r="Q401" i="6"/>
  <c r="P401" i="6"/>
  <c r="O401" i="6"/>
  <c r="N401" i="6"/>
  <c r="M401" i="6"/>
  <c r="L401" i="6"/>
  <c r="K401" i="6"/>
  <c r="J401" i="6"/>
  <c r="V400" i="6"/>
  <c r="U400" i="6"/>
  <c r="T400" i="6"/>
  <c r="S400" i="6"/>
  <c r="R400" i="6"/>
  <c r="Q400" i="6"/>
  <c r="P400" i="6"/>
  <c r="O400" i="6"/>
  <c r="N400" i="6"/>
  <c r="M400" i="6"/>
  <c r="L400" i="6"/>
  <c r="K400" i="6"/>
  <c r="J400" i="6"/>
  <c r="V399" i="6"/>
  <c r="U399" i="6"/>
  <c r="T399" i="6"/>
  <c r="S399" i="6"/>
  <c r="R399" i="6"/>
  <c r="Q399" i="6"/>
  <c r="P399" i="6"/>
  <c r="O399" i="6"/>
  <c r="N399" i="6"/>
  <c r="M399" i="6"/>
  <c r="K399" i="6"/>
  <c r="L399" i="6" s="1"/>
  <c r="J399" i="6"/>
  <c r="V398" i="6"/>
  <c r="U398" i="6"/>
  <c r="T398" i="6"/>
  <c r="S398" i="6"/>
  <c r="R398" i="6"/>
  <c r="Q398" i="6"/>
  <c r="P398" i="6"/>
  <c r="O398" i="6"/>
  <c r="N398" i="6"/>
  <c r="L398" i="6"/>
  <c r="K398" i="6"/>
  <c r="M398" i="6" s="1"/>
  <c r="J398" i="6"/>
  <c r="V397" i="6"/>
  <c r="U397" i="6"/>
  <c r="T397" i="6"/>
  <c r="S397" i="6"/>
  <c r="R397" i="6"/>
  <c r="Q397" i="6"/>
  <c r="P397" i="6"/>
  <c r="O397" i="6"/>
  <c r="N397" i="6"/>
  <c r="K397" i="6"/>
  <c r="M397" i="6" s="1"/>
  <c r="J397" i="6"/>
  <c r="V396" i="6"/>
  <c r="U396" i="6"/>
  <c r="T396" i="6"/>
  <c r="S396" i="6"/>
  <c r="R396" i="6"/>
  <c r="Q396" i="6"/>
  <c r="P396" i="6"/>
  <c r="O396" i="6"/>
  <c r="N396" i="6"/>
  <c r="M396" i="6"/>
  <c r="L396" i="6"/>
  <c r="K396" i="6"/>
  <c r="J396" i="6"/>
  <c r="V395" i="6"/>
  <c r="U395" i="6"/>
  <c r="T395" i="6"/>
  <c r="S395" i="6"/>
  <c r="R395" i="6"/>
  <c r="Q395" i="6"/>
  <c r="P395" i="6"/>
  <c r="O395" i="6"/>
  <c r="N395" i="6"/>
  <c r="K395" i="6"/>
  <c r="J395" i="6"/>
  <c r="V394" i="6"/>
  <c r="U394" i="6"/>
  <c r="T394" i="6"/>
  <c r="S394" i="6"/>
  <c r="R394" i="6"/>
  <c r="Q394" i="6"/>
  <c r="P394" i="6"/>
  <c r="O394" i="6"/>
  <c r="N394" i="6"/>
  <c r="K394" i="6"/>
  <c r="M394" i="6" s="1"/>
  <c r="J394" i="6"/>
  <c r="V393" i="6"/>
  <c r="U393" i="6"/>
  <c r="T393" i="6"/>
  <c r="S393" i="6"/>
  <c r="R393" i="6"/>
  <c r="Q393" i="6"/>
  <c r="P393" i="6"/>
  <c r="O393" i="6"/>
  <c r="N393" i="6"/>
  <c r="M393" i="6"/>
  <c r="L393" i="6"/>
  <c r="K393" i="6"/>
  <c r="J393" i="6"/>
  <c r="V392" i="6"/>
  <c r="U392" i="6"/>
  <c r="T392" i="6"/>
  <c r="S392" i="6"/>
  <c r="R392" i="6"/>
  <c r="Q392" i="6"/>
  <c r="P392" i="6"/>
  <c r="O392" i="6"/>
  <c r="N392" i="6"/>
  <c r="M392" i="6"/>
  <c r="L392" i="6"/>
  <c r="K392" i="6"/>
  <c r="J392" i="6"/>
  <c r="V391" i="6"/>
  <c r="U391" i="6"/>
  <c r="T391" i="6"/>
  <c r="S391" i="6"/>
  <c r="R391" i="6"/>
  <c r="Q391" i="6"/>
  <c r="P391" i="6"/>
  <c r="O391" i="6"/>
  <c r="N391" i="6"/>
  <c r="M391" i="6"/>
  <c r="K391" i="6"/>
  <c r="L391" i="6" s="1"/>
  <c r="J391" i="6"/>
  <c r="V390" i="6"/>
  <c r="U390" i="6"/>
  <c r="T390" i="6"/>
  <c r="S390" i="6"/>
  <c r="R390" i="6"/>
  <c r="Q390" i="6"/>
  <c r="P390" i="6"/>
  <c r="O390" i="6"/>
  <c r="N390" i="6"/>
  <c r="L390" i="6"/>
  <c r="K390" i="6"/>
  <c r="M390" i="6" s="1"/>
  <c r="J390" i="6"/>
  <c r="V389" i="6"/>
  <c r="U389" i="6"/>
  <c r="T389" i="6"/>
  <c r="S389" i="6"/>
  <c r="R389" i="6"/>
  <c r="Q389" i="6"/>
  <c r="P389" i="6"/>
  <c r="O389" i="6"/>
  <c r="N389" i="6"/>
  <c r="K389" i="6"/>
  <c r="M389" i="6" s="1"/>
  <c r="J389" i="6"/>
  <c r="V388" i="6"/>
  <c r="U388" i="6"/>
  <c r="T388" i="6"/>
  <c r="S388" i="6"/>
  <c r="R388" i="6"/>
  <c r="Q388" i="6"/>
  <c r="P388" i="6"/>
  <c r="O388" i="6"/>
  <c r="N388" i="6"/>
  <c r="M388" i="6"/>
  <c r="L388" i="6"/>
  <c r="K388" i="6"/>
  <c r="J388" i="6"/>
  <c r="V387" i="6"/>
  <c r="U387" i="6"/>
  <c r="T387" i="6"/>
  <c r="S387" i="6"/>
  <c r="R387" i="6"/>
  <c r="Q387" i="6"/>
  <c r="P387" i="6"/>
  <c r="O387" i="6"/>
  <c r="N387" i="6"/>
  <c r="K387" i="6"/>
  <c r="J387" i="6"/>
  <c r="V386" i="6"/>
  <c r="U386" i="6"/>
  <c r="T386" i="6"/>
  <c r="S386" i="6"/>
  <c r="R386" i="6"/>
  <c r="Q386" i="6"/>
  <c r="P386" i="6"/>
  <c r="O386" i="6"/>
  <c r="N386" i="6"/>
  <c r="K386" i="6"/>
  <c r="M386" i="6" s="1"/>
  <c r="J386" i="6"/>
  <c r="V385" i="6"/>
  <c r="U385" i="6"/>
  <c r="T385" i="6"/>
  <c r="S385" i="6"/>
  <c r="R385" i="6"/>
  <c r="Q385" i="6"/>
  <c r="P385" i="6"/>
  <c r="O385" i="6"/>
  <c r="N385" i="6"/>
  <c r="M385" i="6"/>
  <c r="L385" i="6"/>
  <c r="K385" i="6"/>
  <c r="J385" i="6"/>
  <c r="V384" i="6"/>
  <c r="U384" i="6"/>
  <c r="T384" i="6"/>
  <c r="S384" i="6"/>
  <c r="R384" i="6"/>
  <c r="Q384" i="6"/>
  <c r="P384" i="6"/>
  <c r="O384" i="6"/>
  <c r="N384" i="6"/>
  <c r="M384" i="6"/>
  <c r="L384" i="6"/>
  <c r="K384" i="6"/>
  <c r="J384" i="6"/>
  <c r="V383" i="6"/>
  <c r="U383" i="6"/>
  <c r="T383" i="6"/>
  <c r="S383" i="6"/>
  <c r="R383" i="6"/>
  <c r="Q383" i="6"/>
  <c r="P383" i="6"/>
  <c r="O383" i="6"/>
  <c r="N383" i="6"/>
  <c r="M383" i="6"/>
  <c r="K383" i="6"/>
  <c r="L383" i="6" s="1"/>
  <c r="J383" i="6"/>
  <c r="V382" i="6"/>
  <c r="U382" i="6"/>
  <c r="T382" i="6"/>
  <c r="S382" i="6"/>
  <c r="R382" i="6"/>
  <c r="Q382" i="6"/>
  <c r="P382" i="6"/>
  <c r="O382" i="6"/>
  <c r="N382" i="6"/>
  <c r="L382" i="6"/>
  <c r="K382" i="6"/>
  <c r="M382" i="6" s="1"/>
  <c r="J382" i="6"/>
  <c r="V381" i="6"/>
  <c r="U381" i="6"/>
  <c r="T381" i="6"/>
  <c r="S381" i="6"/>
  <c r="R381" i="6"/>
  <c r="Q381" i="6"/>
  <c r="P381" i="6"/>
  <c r="O381" i="6"/>
  <c r="N381" i="6"/>
  <c r="K381" i="6"/>
  <c r="M381" i="6" s="1"/>
  <c r="J381" i="6"/>
  <c r="V380" i="6"/>
  <c r="U380" i="6"/>
  <c r="T380" i="6"/>
  <c r="S380" i="6"/>
  <c r="R380" i="6"/>
  <c r="Q380" i="6"/>
  <c r="P380" i="6"/>
  <c r="O380" i="6"/>
  <c r="N380" i="6"/>
  <c r="M380" i="6"/>
  <c r="L380" i="6"/>
  <c r="K380" i="6"/>
  <c r="J380" i="6"/>
  <c r="V379" i="6"/>
  <c r="U379" i="6"/>
  <c r="T379" i="6"/>
  <c r="S379" i="6"/>
  <c r="R379" i="6"/>
  <c r="Q379" i="6"/>
  <c r="P379" i="6"/>
  <c r="O379" i="6"/>
  <c r="N379" i="6"/>
  <c r="K379" i="6"/>
  <c r="J379" i="6"/>
  <c r="V378" i="6"/>
  <c r="U378" i="6"/>
  <c r="T378" i="6"/>
  <c r="S378" i="6"/>
  <c r="R378" i="6"/>
  <c r="Q378" i="6"/>
  <c r="P378" i="6"/>
  <c r="O378" i="6"/>
  <c r="N378" i="6"/>
  <c r="K378" i="6"/>
  <c r="M378" i="6" s="1"/>
  <c r="J378" i="6"/>
  <c r="V377" i="6"/>
  <c r="U377" i="6"/>
  <c r="T377" i="6"/>
  <c r="S377" i="6"/>
  <c r="R377" i="6"/>
  <c r="Q377" i="6"/>
  <c r="P377" i="6"/>
  <c r="O377" i="6"/>
  <c r="N377" i="6"/>
  <c r="M377" i="6"/>
  <c r="L377" i="6"/>
  <c r="K377" i="6"/>
  <c r="J377" i="6"/>
  <c r="V376" i="6"/>
  <c r="U376" i="6"/>
  <c r="T376" i="6"/>
  <c r="S376" i="6"/>
  <c r="R376" i="6"/>
  <c r="Q376" i="6"/>
  <c r="P376" i="6"/>
  <c r="O376" i="6"/>
  <c r="N376" i="6"/>
  <c r="M376" i="6"/>
  <c r="L376" i="6"/>
  <c r="K376" i="6"/>
  <c r="J376" i="6"/>
  <c r="V375" i="6"/>
  <c r="U375" i="6"/>
  <c r="T375" i="6"/>
  <c r="S375" i="6"/>
  <c r="R375" i="6"/>
  <c r="Q375" i="6"/>
  <c r="P375" i="6"/>
  <c r="O375" i="6"/>
  <c r="N375" i="6"/>
  <c r="M375" i="6"/>
  <c r="K375" i="6"/>
  <c r="L375" i="6" s="1"/>
  <c r="J375" i="6"/>
  <c r="V374" i="6"/>
  <c r="U374" i="6"/>
  <c r="T374" i="6"/>
  <c r="S374" i="6"/>
  <c r="R374" i="6"/>
  <c r="Q374" i="6"/>
  <c r="P374" i="6"/>
  <c r="O374" i="6"/>
  <c r="N374" i="6"/>
  <c r="L374" i="6"/>
  <c r="K374" i="6"/>
  <c r="M374" i="6" s="1"/>
  <c r="J374" i="6"/>
  <c r="V373" i="6"/>
  <c r="U373" i="6"/>
  <c r="T373" i="6"/>
  <c r="S373" i="6"/>
  <c r="R373" i="6"/>
  <c r="Q373" i="6"/>
  <c r="P373" i="6"/>
  <c r="O373" i="6"/>
  <c r="N373" i="6"/>
  <c r="K373" i="6"/>
  <c r="M373" i="6" s="1"/>
  <c r="J373" i="6"/>
  <c r="V372" i="6"/>
  <c r="U372" i="6"/>
  <c r="T372" i="6"/>
  <c r="S372" i="6"/>
  <c r="R372" i="6"/>
  <c r="Q372" i="6"/>
  <c r="P372" i="6"/>
  <c r="O372" i="6"/>
  <c r="N372" i="6"/>
  <c r="M372" i="6"/>
  <c r="L372" i="6"/>
  <c r="K372" i="6"/>
  <c r="J372" i="6"/>
  <c r="V371" i="6"/>
  <c r="U371" i="6"/>
  <c r="T371" i="6"/>
  <c r="S371" i="6"/>
  <c r="R371" i="6"/>
  <c r="Q371" i="6"/>
  <c r="P371" i="6"/>
  <c r="O371" i="6"/>
  <c r="N371" i="6"/>
  <c r="K371" i="6"/>
  <c r="J371" i="6"/>
  <c r="V370" i="6"/>
  <c r="U370" i="6"/>
  <c r="T370" i="6"/>
  <c r="S370" i="6"/>
  <c r="R370" i="6"/>
  <c r="Q370" i="6"/>
  <c r="P370" i="6"/>
  <c r="O370" i="6"/>
  <c r="N370" i="6"/>
  <c r="K370" i="6"/>
  <c r="M370" i="6" s="1"/>
  <c r="J370" i="6"/>
  <c r="V369" i="6"/>
  <c r="U369" i="6"/>
  <c r="T369" i="6"/>
  <c r="S369" i="6"/>
  <c r="R369" i="6"/>
  <c r="Q369" i="6"/>
  <c r="P369" i="6"/>
  <c r="O369" i="6"/>
  <c r="N369" i="6"/>
  <c r="M369" i="6"/>
  <c r="L369" i="6"/>
  <c r="K369" i="6"/>
  <c r="J369" i="6"/>
  <c r="V368" i="6"/>
  <c r="U368" i="6"/>
  <c r="T368" i="6"/>
  <c r="S368" i="6"/>
  <c r="R368" i="6"/>
  <c r="Q368" i="6"/>
  <c r="P368" i="6"/>
  <c r="O368" i="6"/>
  <c r="N368" i="6"/>
  <c r="M368" i="6"/>
  <c r="L368" i="6"/>
  <c r="K368" i="6"/>
  <c r="J368" i="6"/>
  <c r="V367" i="6"/>
  <c r="U367" i="6"/>
  <c r="T367" i="6"/>
  <c r="S367" i="6"/>
  <c r="R367" i="6"/>
  <c r="Q367" i="6"/>
  <c r="P367" i="6"/>
  <c r="O367" i="6"/>
  <c r="N367" i="6"/>
  <c r="M367" i="6"/>
  <c r="K367" i="6"/>
  <c r="L367" i="6" s="1"/>
  <c r="J367" i="6"/>
  <c r="V366" i="6"/>
  <c r="U366" i="6"/>
  <c r="T366" i="6"/>
  <c r="S366" i="6"/>
  <c r="R366" i="6"/>
  <c r="Q366" i="6"/>
  <c r="P366" i="6"/>
  <c r="O366" i="6"/>
  <c r="N366" i="6"/>
  <c r="L366" i="6"/>
  <c r="K366" i="6"/>
  <c r="M366" i="6" s="1"/>
  <c r="J366" i="6"/>
  <c r="V365" i="6"/>
  <c r="U365" i="6"/>
  <c r="T365" i="6"/>
  <c r="S365" i="6"/>
  <c r="R365" i="6"/>
  <c r="Q365" i="6"/>
  <c r="P365" i="6"/>
  <c r="O365" i="6"/>
  <c r="N365" i="6"/>
  <c r="K365" i="6"/>
  <c r="M365" i="6" s="1"/>
  <c r="J365" i="6"/>
  <c r="V364" i="6"/>
  <c r="U364" i="6"/>
  <c r="T364" i="6"/>
  <c r="S364" i="6"/>
  <c r="R364" i="6"/>
  <c r="Q364" i="6"/>
  <c r="P364" i="6"/>
  <c r="O364" i="6"/>
  <c r="N364" i="6"/>
  <c r="M364" i="6"/>
  <c r="L364" i="6"/>
  <c r="K364" i="6"/>
  <c r="J364" i="6"/>
  <c r="V363" i="6"/>
  <c r="U363" i="6"/>
  <c r="T363" i="6"/>
  <c r="S363" i="6"/>
  <c r="R363" i="6"/>
  <c r="Q363" i="6"/>
  <c r="P363" i="6"/>
  <c r="O363" i="6"/>
  <c r="N363" i="6"/>
  <c r="K363" i="6"/>
  <c r="J363" i="6"/>
  <c r="V362" i="6"/>
  <c r="U362" i="6"/>
  <c r="T362" i="6"/>
  <c r="S362" i="6"/>
  <c r="R362" i="6"/>
  <c r="Q362" i="6"/>
  <c r="P362" i="6"/>
  <c r="O362" i="6"/>
  <c r="N362" i="6"/>
  <c r="K362" i="6"/>
  <c r="M362" i="6" s="1"/>
  <c r="J362" i="6"/>
  <c r="V361" i="6"/>
  <c r="U361" i="6"/>
  <c r="T361" i="6"/>
  <c r="S361" i="6"/>
  <c r="R361" i="6"/>
  <c r="Q361" i="6"/>
  <c r="P361" i="6"/>
  <c r="O361" i="6"/>
  <c r="N361" i="6"/>
  <c r="M361" i="6"/>
  <c r="L361" i="6"/>
  <c r="K361" i="6"/>
  <c r="J361" i="6"/>
  <c r="V360" i="6"/>
  <c r="U360" i="6"/>
  <c r="T360" i="6"/>
  <c r="S360" i="6"/>
  <c r="R360" i="6"/>
  <c r="Q360" i="6"/>
  <c r="P360" i="6"/>
  <c r="O360" i="6"/>
  <c r="N360" i="6"/>
  <c r="M360" i="6"/>
  <c r="L360" i="6"/>
  <c r="K360" i="6"/>
  <c r="J360" i="6"/>
  <c r="V359" i="6"/>
  <c r="U359" i="6"/>
  <c r="T359" i="6"/>
  <c r="S359" i="6"/>
  <c r="R359" i="6"/>
  <c r="Q359" i="6"/>
  <c r="P359" i="6"/>
  <c r="O359" i="6"/>
  <c r="N359" i="6"/>
  <c r="M359" i="6"/>
  <c r="K359" i="6"/>
  <c r="L359" i="6" s="1"/>
  <c r="J359" i="6"/>
  <c r="V358" i="6"/>
  <c r="U358" i="6"/>
  <c r="T358" i="6"/>
  <c r="S358" i="6"/>
  <c r="R358" i="6"/>
  <c r="Q358" i="6"/>
  <c r="P358" i="6"/>
  <c r="O358" i="6"/>
  <c r="N358" i="6"/>
  <c r="L358" i="6"/>
  <c r="K358" i="6"/>
  <c r="M358" i="6" s="1"/>
  <c r="J358" i="6"/>
  <c r="V357" i="6"/>
  <c r="U357" i="6"/>
  <c r="T357" i="6"/>
  <c r="S357" i="6"/>
  <c r="R357" i="6"/>
  <c r="Q357" i="6"/>
  <c r="P357" i="6"/>
  <c r="O357" i="6"/>
  <c r="N357" i="6"/>
  <c r="K357" i="6"/>
  <c r="M357" i="6" s="1"/>
  <c r="J357" i="6"/>
  <c r="V356" i="6"/>
  <c r="U356" i="6"/>
  <c r="T356" i="6"/>
  <c r="S356" i="6"/>
  <c r="R356" i="6"/>
  <c r="Q356" i="6"/>
  <c r="P356" i="6"/>
  <c r="O356" i="6"/>
  <c r="N356" i="6"/>
  <c r="M356" i="6"/>
  <c r="L356" i="6"/>
  <c r="K356" i="6"/>
  <c r="J356" i="6"/>
  <c r="V355" i="6"/>
  <c r="U355" i="6"/>
  <c r="T355" i="6"/>
  <c r="S355" i="6"/>
  <c r="R355" i="6"/>
  <c r="Q355" i="6"/>
  <c r="P355" i="6"/>
  <c r="O355" i="6"/>
  <c r="N355" i="6"/>
  <c r="K355" i="6"/>
  <c r="J355" i="6"/>
  <c r="V354" i="6"/>
  <c r="U354" i="6"/>
  <c r="T354" i="6"/>
  <c r="S354" i="6"/>
  <c r="R354" i="6"/>
  <c r="Q354" i="6"/>
  <c r="P354" i="6"/>
  <c r="O354" i="6"/>
  <c r="N354" i="6"/>
  <c r="K354" i="6"/>
  <c r="M354" i="6" s="1"/>
  <c r="J354" i="6"/>
  <c r="V353" i="6"/>
  <c r="U353" i="6"/>
  <c r="T353" i="6"/>
  <c r="S353" i="6"/>
  <c r="R353" i="6"/>
  <c r="Q353" i="6"/>
  <c r="P353" i="6"/>
  <c r="O353" i="6"/>
  <c r="N353" i="6"/>
  <c r="M353" i="6"/>
  <c r="L353" i="6"/>
  <c r="K353" i="6"/>
  <c r="J353" i="6"/>
  <c r="V352" i="6"/>
  <c r="U352" i="6"/>
  <c r="T352" i="6"/>
  <c r="S352" i="6"/>
  <c r="R352" i="6"/>
  <c r="Q352" i="6"/>
  <c r="P352" i="6"/>
  <c r="O352" i="6"/>
  <c r="N352" i="6"/>
  <c r="M352" i="6"/>
  <c r="L352" i="6"/>
  <c r="K352" i="6"/>
  <c r="J352" i="6"/>
  <c r="V351" i="6"/>
  <c r="U351" i="6"/>
  <c r="T351" i="6"/>
  <c r="S351" i="6"/>
  <c r="R351" i="6"/>
  <c r="Q351" i="6"/>
  <c r="P351" i="6"/>
  <c r="O351" i="6"/>
  <c r="N351" i="6"/>
  <c r="M351" i="6"/>
  <c r="L351" i="6"/>
  <c r="K351" i="6"/>
  <c r="J351" i="6"/>
  <c r="V350" i="6"/>
  <c r="U350" i="6"/>
  <c r="T350" i="6"/>
  <c r="S350" i="6"/>
  <c r="R350" i="6"/>
  <c r="Q350" i="6"/>
  <c r="P350" i="6"/>
  <c r="O350" i="6"/>
  <c r="N350" i="6"/>
  <c r="L350" i="6"/>
  <c r="K350" i="6"/>
  <c r="M350" i="6" s="1"/>
  <c r="J350" i="6"/>
  <c r="V349" i="6"/>
  <c r="U349" i="6"/>
  <c r="T349" i="6"/>
  <c r="S349" i="6"/>
  <c r="R349" i="6"/>
  <c r="Q349" i="6"/>
  <c r="P349" i="6"/>
  <c r="O349" i="6"/>
  <c r="N349" i="6"/>
  <c r="K349" i="6"/>
  <c r="M349" i="6" s="1"/>
  <c r="J349" i="6"/>
  <c r="V348" i="6"/>
  <c r="U348" i="6"/>
  <c r="T348" i="6"/>
  <c r="S348" i="6"/>
  <c r="R348" i="6"/>
  <c r="Q348" i="6"/>
  <c r="P348" i="6"/>
  <c r="O348" i="6"/>
  <c r="N348" i="6"/>
  <c r="M348" i="6"/>
  <c r="L348" i="6"/>
  <c r="K348" i="6"/>
  <c r="J348" i="6"/>
  <c r="V347" i="6"/>
  <c r="U347" i="6"/>
  <c r="T347" i="6"/>
  <c r="S347" i="6"/>
  <c r="R347" i="6"/>
  <c r="Q347" i="6"/>
  <c r="P347" i="6"/>
  <c r="O347" i="6"/>
  <c r="N347" i="6"/>
  <c r="K347" i="6"/>
  <c r="J347" i="6"/>
  <c r="V346" i="6"/>
  <c r="U346" i="6"/>
  <c r="T346" i="6"/>
  <c r="S346" i="6"/>
  <c r="R346" i="6"/>
  <c r="Q346" i="6"/>
  <c r="P346" i="6"/>
  <c r="O346" i="6"/>
  <c r="N346" i="6"/>
  <c r="K346" i="6"/>
  <c r="M346" i="6" s="1"/>
  <c r="J346" i="6"/>
  <c r="V345" i="6"/>
  <c r="U345" i="6"/>
  <c r="T345" i="6"/>
  <c r="S345" i="6"/>
  <c r="R345" i="6"/>
  <c r="Q345" i="6"/>
  <c r="P345" i="6"/>
  <c r="O345" i="6"/>
  <c r="N345" i="6"/>
  <c r="M345" i="6"/>
  <c r="L345" i="6"/>
  <c r="K345" i="6"/>
  <c r="J345" i="6"/>
  <c r="V344" i="6"/>
  <c r="U344" i="6"/>
  <c r="T344" i="6"/>
  <c r="S344" i="6"/>
  <c r="R344" i="6"/>
  <c r="Q344" i="6"/>
  <c r="P344" i="6"/>
  <c r="O344" i="6"/>
  <c r="N344" i="6"/>
  <c r="K344" i="6"/>
  <c r="M344" i="6" s="1"/>
  <c r="J344" i="6"/>
  <c r="V343" i="6"/>
  <c r="U343" i="6"/>
  <c r="T343" i="6"/>
  <c r="S343" i="6"/>
  <c r="R343" i="6"/>
  <c r="Q343" i="6"/>
  <c r="P343" i="6"/>
  <c r="O343" i="6"/>
  <c r="N343" i="6"/>
  <c r="M343" i="6"/>
  <c r="L343" i="6"/>
  <c r="K343" i="6"/>
  <c r="J343" i="6"/>
  <c r="V342" i="6"/>
  <c r="U342" i="6"/>
  <c r="T342" i="6"/>
  <c r="S342" i="6"/>
  <c r="R342" i="6"/>
  <c r="Q342" i="6"/>
  <c r="P342" i="6"/>
  <c r="O342" i="6"/>
  <c r="N342" i="6"/>
  <c r="L342" i="6"/>
  <c r="K342" i="6"/>
  <c r="M342" i="6" s="1"/>
  <c r="J342" i="6"/>
  <c r="V341" i="6"/>
  <c r="U341" i="6"/>
  <c r="T341" i="6"/>
  <c r="S341" i="6"/>
  <c r="R341" i="6"/>
  <c r="Q341" i="6"/>
  <c r="P341" i="6"/>
  <c r="O341" i="6"/>
  <c r="N341" i="6"/>
  <c r="K341" i="6"/>
  <c r="M341" i="6" s="1"/>
  <c r="J341" i="6"/>
  <c r="V340" i="6"/>
  <c r="U340" i="6"/>
  <c r="T340" i="6"/>
  <c r="S340" i="6"/>
  <c r="R340" i="6"/>
  <c r="Q340" i="6"/>
  <c r="P340" i="6"/>
  <c r="O340" i="6"/>
  <c r="N340" i="6"/>
  <c r="M340" i="6"/>
  <c r="L340" i="6"/>
  <c r="K340" i="6"/>
  <c r="J340" i="6"/>
  <c r="V339" i="6"/>
  <c r="U339" i="6"/>
  <c r="T339" i="6"/>
  <c r="S339" i="6"/>
  <c r="R339" i="6"/>
  <c r="Q339" i="6"/>
  <c r="P339" i="6"/>
  <c r="O339" i="6"/>
  <c r="N339" i="6"/>
  <c r="K339" i="6"/>
  <c r="J339" i="6"/>
  <c r="V338" i="6"/>
  <c r="U338" i="6"/>
  <c r="T338" i="6"/>
  <c r="S338" i="6"/>
  <c r="R338" i="6"/>
  <c r="Q338" i="6"/>
  <c r="P338" i="6"/>
  <c r="O338" i="6"/>
  <c r="N338" i="6"/>
  <c r="K338" i="6"/>
  <c r="M338" i="6" s="1"/>
  <c r="J338" i="6"/>
  <c r="V337" i="6"/>
  <c r="U337" i="6"/>
  <c r="T337" i="6"/>
  <c r="S337" i="6"/>
  <c r="R337" i="6"/>
  <c r="Q337" i="6"/>
  <c r="P337" i="6"/>
  <c r="O337" i="6"/>
  <c r="N337" i="6"/>
  <c r="M337" i="6"/>
  <c r="L337" i="6"/>
  <c r="K337" i="6"/>
  <c r="J337" i="6"/>
  <c r="V336" i="6"/>
  <c r="U336" i="6"/>
  <c r="T336" i="6"/>
  <c r="S336" i="6"/>
  <c r="R336" i="6"/>
  <c r="Q336" i="6"/>
  <c r="P336" i="6"/>
  <c r="O336" i="6"/>
  <c r="N336" i="6"/>
  <c r="K336" i="6"/>
  <c r="M336" i="6" s="1"/>
  <c r="J336" i="6"/>
  <c r="V335" i="6"/>
  <c r="U335" i="6"/>
  <c r="T335" i="6"/>
  <c r="S335" i="6"/>
  <c r="R335" i="6"/>
  <c r="Q335" i="6"/>
  <c r="P335" i="6"/>
  <c r="O335" i="6"/>
  <c r="N335" i="6"/>
  <c r="M335" i="6"/>
  <c r="L335" i="6"/>
  <c r="K335" i="6"/>
  <c r="J335" i="6"/>
  <c r="V334" i="6"/>
  <c r="U334" i="6"/>
  <c r="T334" i="6"/>
  <c r="S334" i="6"/>
  <c r="R334" i="6"/>
  <c r="Q334" i="6"/>
  <c r="P334" i="6"/>
  <c r="O334" i="6"/>
  <c r="N334" i="6"/>
  <c r="L334" i="6"/>
  <c r="K334" i="6"/>
  <c r="M334" i="6" s="1"/>
  <c r="J334" i="6"/>
  <c r="V333" i="6"/>
  <c r="U333" i="6"/>
  <c r="T333" i="6"/>
  <c r="S333" i="6"/>
  <c r="R333" i="6"/>
  <c r="Q333" i="6"/>
  <c r="P333" i="6"/>
  <c r="O333" i="6"/>
  <c r="N333" i="6"/>
  <c r="K333" i="6"/>
  <c r="M333" i="6" s="1"/>
  <c r="J333" i="6"/>
  <c r="V332" i="6"/>
  <c r="U332" i="6"/>
  <c r="T332" i="6"/>
  <c r="S332" i="6"/>
  <c r="R332" i="6"/>
  <c r="Q332" i="6"/>
  <c r="P332" i="6"/>
  <c r="O332" i="6"/>
  <c r="N332" i="6"/>
  <c r="M332" i="6"/>
  <c r="L332" i="6"/>
  <c r="K332" i="6"/>
  <c r="J332" i="6"/>
  <c r="V331" i="6"/>
  <c r="U331" i="6"/>
  <c r="T331" i="6"/>
  <c r="S331" i="6"/>
  <c r="R331" i="6"/>
  <c r="Q331" i="6"/>
  <c r="P331" i="6"/>
  <c r="O331" i="6"/>
  <c r="N331" i="6"/>
  <c r="K331" i="6"/>
  <c r="J331" i="6"/>
  <c r="V330" i="6"/>
  <c r="U330" i="6"/>
  <c r="T330" i="6"/>
  <c r="S330" i="6"/>
  <c r="R330" i="6"/>
  <c r="Q330" i="6"/>
  <c r="P330" i="6"/>
  <c r="O330" i="6"/>
  <c r="N330" i="6"/>
  <c r="K330" i="6"/>
  <c r="M330" i="6" s="1"/>
  <c r="J330" i="6"/>
  <c r="V329" i="6"/>
  <c r="U329" i="6"/>
  <c r="T329" i="6"/>
  <c r="S329" i="6"/>
  <c r="R329" i="6"/>
  <c r="Q329" i="6"/>
  <c r="P329" i="6"/>
  <c r="O329" i="6"/>
  <c r="N329" i="6"/>
  <c r="M329" i="6"/>
  <c r="L329" i="6"/>
  <c r="K329" i="6"/>
  <c r="J329" i="6"/>
  <c r="V328" i="6"/>
  <c r="U328" i="6"/>
  <c r="T328" i="6"/>
  <c r="S328" i="6"/>
  <c r="R328" i="6"/>
  <c r="Q328" i="6"/>
  <c r="P328" i="6"/>
  <c r="O328" i="6"/>
  <c r="N328" i="6"/>
  <c r="K328" i="6"/>
  <c r="M328" i="6" s="1"/>
  <c r="J328" i="6"/>
  <c r="V327" i="6"/>
  <c r="U327" i="6"/>
  <c r="T327" i="6"/>
  <c r="S327" i="6"/>
  <c r="R327" i="6"/>
  <c r="Q327" i="6"/>
  <c r="P327" i="6"/>
  <c r="O327" i="6"/>
  <c r="N327" i="6"/>
  <c r="M327" i="6"/>
  <c r="L327" i="6"/>
  <c r="K327" i="6"/>
  <c r="J327" i="6"/>
  <c r="V326" i="6"/>
  <c r="U326" i="6"/>
  <c r="T326" i="6"/>
  <c r="S326" i="6"/>
  <c r="R326" i="6"/>
  <c r="Q326" i="6"/>
  <c r="P326" i="6"/>
  <c r="O326" i="6"/>
  <c r="N326" i="6"/>
  <c r="L326" i="6"/>
  <c r="K326" i="6"/>
  <c r="M326" i="6" s="1"/>
  <c r="J326" i="6"/>
  <c r="V325" i="6"/>
  <c r="U325" i="6"/>
  <c r="T325" i="6"/>
  <c r="S325" i="6"/>
  <c r="R325" i="6"/>
  <c r="Q325" i="6"/>
  <c r="P325" i="6"/>
  <c r="O325" i="6"/>
  <c r="N325" i="6"/>
  <c r="K325" i="6"/>
  <c r="M325" i="6" s="1"/>
  <c r="J325" i="6"/>
  <c r="V324" i="6"/>
  <c r="U324" i="6"/>
  <c r="T324" i="6"/>
  <c r="S324" i="6"/>
  <c r="R324" i="6"/>
  <c r="Q324" i="6"/>
  <c r="P324" i="6"/>
  <c r="O324" i="6"/>
  <c r="N324" i="6"/>
  <c r="M324" i="6"/>
  <c r="L324" i="6"/>
  <c r="K324" i="6"/>
  <c r="J324" i="6"/>
  <c r="V323" i="6"/>
  <c r="U323" i="6"/>
  <c r="T323" i="6"/>
  <c r="S323" i="6"/>
  <c r="R323" i="6"/>
  <c r="Q323" i="6"/>
  <c r="P323" i="6"/>
  <c r="O323" i="6"/>
  <c r="N323" i="6"/>
  <c r="K323" i="6"/>
  <c r="J323" i="6"/>
  <c r="V322" i="6"/>
  <c r="U322" i="6"/>
  <c r="T322" i="6"/>
  <c r="S322" i="6"/>
  <c r="R322" i="6"/>
  <c r="Q322" i="6"/>
  <c r="P322" i="6"/>
  <c r="O322" i="6"/>
  <c r="N322" i="6"/>
  <c r="K322" i="6"/>
  <c r="M322" i="6" s="1"/>
  <c r="J322" i="6"/>
  <c r="V321" i="6"/>
  <c r="U321" i="6"/>
  <c r="T321" i="6"/>
  <c r="S321" i="6"/>
  <c r="R321" i="6"/>
  <c r="Q321" i="6"/>
  <c r="P321" i="6"/>
  <c r="O321" i="6"/>
  <c r="N321" i="6"/>
  <c r="M321" i="6"/>
  <c r="L321" i="6"/>
  <c r="K321" i="6"/>
  <c r="J321" i="6"/>
  <c r="V320" i="6"/>
  <c r="U320" i="6"/>
  <c r="T320" i="6"/>
  <c r="S320" i="6"/>
  <c r="R320" i="6"/>
  <c r="Q320" i="6"/>
  <c r="P320" i="6"/>
  <c r="O320" i="6"/>
  <c r="N320" i="6"/>
  <c r="K320" i="6"/>
  <c r="M320" i="6" s="1"/>
  <c r="J320" i="6"/>
  <c r="V319" i="6"/>
  <c r="U319" i="6"/>
  <c r="T319" i="6"/>
  <c r="S319" i="6"/>
  <c r="R319" i="6"/>
  <c r="Q319" i="6"/>
  <c r="P319" i="6"/>
  <c r="O319" i="6"/>
  <c r="N319" i="6"/>
  <c r="M319" i="6"/>
  <c r="L319" i="6"/>
  <c r="K319" i="6"/>
  <c r="J319" i="6"/>
  <c r="V318" i="6"/>
  <c r="U318" i="6"/>
  <c r="T318" i="6"/>
  <c r="S318" i="6"/>
  <c r="R318" i="6"/>
  <c r="Q318" i="6"/>
  <c r="P318" i="6"/>
  <c r="O318" i="6"/>
  <c r="N318" i="6"/>
  <c r="L318" i="6"/>
  <c r="K318" i="6"/>
  <c r="M318" i="6" s="1"/>
  <c r="J318" i="6"/>
  <c r="V317" i="6"/>
  <c r="U317" i="6"/>
  <c r="T317" i="6"/>
  <c r="S317" i="6"/>
  <c r="R317" i="6"/>
  <c r="Q317" i="6"/>
  <c r="P317" i="6"/>
  <c r="O317" i="6"/>
  <c r="N317" i="6"/>
  <c r="K317" i="6"/>
  <c r="M317" i="6" s="1"/>
  <c r="J317" i="6"/>
  <c r="V316" i="6"/>
  <c r="U316" i="6"/>
  <c r="T316" i="6"/>
  <c r="S316" i="6"/>
  <c r="R316" i="6"/>
  <c r="Q316" i="6"/>
  <c r="P316" i="6"/>
  <c r="O316" i="6"/>
  <c r="N316" i="6"/>
  <c r="M316" i="6"/>
  <c r="L316" i="6"/>
  <c r="K316" i="6"/>
  <c r="J316" i="6"/>
  <c r="V315" i="6"/>
  <c r="U315" i="6"/>
  <c r="T315" i="6"/>
  <c r="S315" i="6"/>
  <c r="R315" i="6"/>
  <c r="Q315" i="6"/>
  <c r="P315" i="6"/>
  <c r="O315" i="6"/>
  <c r="N315" i="6"/>
  <c r="K315" i="6"/>
  <c r="J315" i="6"/>
  <c r="V314" i="6"/>
  <c r="U314" i="6"/>
  <c r="T314" i="6"/>
  <c r="S314" i="6"/>
  <c r="R314" i="6"/>
  <c r="Q314" i="6"/>
  <c r="P314" i="6"/>
  <c r="O314" i="6"/>
  <c r="N314" i="6"/>
  <c r="K314" i="6"/>
  <c r="M314" i="6" s="1"/>
  <c r="J314" i="6"/>
  <c r="V313" i="6"/>
  <c r="U313" i="6"/>
  <c r="T313" i="6"/>
  <c r="S313" i="6"/>
  <c r="R313" i="6"/>
  <c r="Q313" i="6"/>
  <c r="P313" i="6"/>
  <c r="O313" i="6"/>
  <c r="N313" i="6"/>
  <c r="M313" i="6"/>
  <c r="L313" i="6"/>
  <c r="K313" i="6"/>
  <c r="J313" i="6"/>
  <c r="V312" i="6"/>
  <c r="U312" i="6"/>
  <c r="T312" i="6"/>
  <c r="S312" i="6"/>
  <c r="R312" i="6"/>
  <c r="Q312" i="6"/>
  <c r="P312" i="6"/>
  <c r="O312" i="6"/>
  <c r="N312" i="6"/>
  <c r="K312" i="6"/>
  <c r="M312" i="6" s="1"/>
  <c r="J312" i="6"/>
  <c r="V311" i="6"/>
  <c r="U311" i="6"/>
  <c r="T311" i="6"/>
  <c r="S311" i="6"/>
  <c r="R311" i="6"/>
  <c r="Q311" i="6"/>
  <c r="P311" i="6"/>
  <c r="O311" i="6"/>
  <c r="N311" i="6"/>
  <c r="M311" i="6"/>
  <c r="L311" i="6"/>
  <c r="K311" i="6"/>
  <c r="J311" i="6"/>
  <c r="V310" i="6"/>
  <c r="U310" i="6"/>
  <c r="T310" i="6"/>
  <c r="S310" i="6"/>
  <c r="R310" i="6"/>
  <c r="Q310" i="6"/>
  <c r="P310" i="6"/>
  <c r="O310" i="6"/>
  <c r="N310" i="6"/>
  <c r="L310" i="6"/>
  <c r="K310" i="6"/>
  <c r="M310" i="6" s="1"/>
  <c r="J310" i="6"/>
  <c r="V309" i="6"/>
  <c r="U309" i="6"/>
  <c r="T309" i="6"/>
  <c r="S309" i="6"/>
  <c r="R309" i="6"/>
  <c r="Q309" i="6"/>
  <c r="P309" i="6"/>
  <c r="O309" i="6"/>
  <c r="N309" i="6"/>
  <c r="K309" i="6"/>
  <c r="M309" i="6" s="1"/>
  <c r="J309" i="6"/>
  <c r="V308" i="6"/>
  <c r="U308" i="6"/>
  <c r="T308" i="6"/>
  <c r="S308" i="6"/>
  <c r="R308" i="6"/>
  <c r="Q308" i="6"/>
  <c r="P308" i="6"/>
  <c r="O308" i="6"/>
  <c r="N308" i="6"/>
  <c r="M308" i="6"/>
  <c r="L308" i="6"/>
  <c r="K308" i="6"/>
  <c r="J308" i="6"/>
  <c r="V307" i="6"/>
  <c r="U307" i="6"/>
  <c r="T307" i="6"/>
  <c r="S307" i="6"/>
  <c r="R307" i="6"/>
  <c r="Q307" i="6"/>
  <c r="P307" i="6"/>
  <c r="O307" i="6"/>
  <c r="N307" i="6"/>
  <c r="K307" i="6"/>
  <c r="J307" i="6"/>
  <c r="V306" i="6"/>
  <c r="U306" i="6"/>
  <c r="T306" i="6"/>
  <c r="S306" i="6"/>
  <c r="R306" i="6"/>
  <c r="Q306" i="6"/>
  <c r="P306" i="6"/>
  <c r="O306" i="6"/>
  <c r="N306" i="6"/>
  <c r="K306" i="6"/>
  <c r="M306" i="6" s="1"/>
  <c r="J306" i="6"/>
  <c r="V305" i="6"/>
  <c r="U305" i="6"/>
  <c r="T305" i="6"/>
  <c r="S305" i="6"/>
  <c r="R305" i="6"/>
  <c r="Q305" i="6"/>
  <c r="P305" i="6"/>
  <c r="O305" i="6"/>
  <c r="N305" i="6"/>
  <c r="M305" i="6"/>
  <c r="L305" i="6"/>
  <c r="K305" i="6"/>
  <c r="J305" i="6"/>
  <c r="V304" i="6"/>
  <c r="U304" i="6"/>
  <c r="T304" i="6"/>
  <c r="S304" i="6"/>
  <c r="R304" i="6"/>
  <c r="Q304" i="6"/>
  <c r="P304" i="6"/>
  <c r="O304" i="6"/>
  <c r="N304" i="6"/>
  <c r="K304" i="6"/>
  <c r="M304" i="6" s="1"/>
  <c r="J304" i="6"/>
  <c r="V303" i="6"/>
  <c r="U303" i="6"/>
  <c r="T303" i="6"/>
  <c r="S303" i="6"/>
  <c r="R303" i="6"/>
  <c r="Q303" i="6"/>
  <c r="P303" i="6"/>
  <c r="O303" i="6"/>
  <c r="N303" i="6"/>
  <c r="M303" i="6"/>
  <c r="L303" i="6"/>
  <c r="K303" i="6"/>
  <c r="J303" i="6"/>
  <c r="V302" i="6"/>
  <c r="U302" i="6"/>
  <c r="T302" i="6"/>
  <c r="S302" i="6"/>
  <c r="R302" i="6"/>
  <c r="Q302" i="6"/>
  <c r="P302" i="6"/>
  <c r="O302" i="6"/>
  <c r="N302" i="6"/>
  <c r="L302" i="6"/>
  <c r="K302" i="6"/>
  <c r="M302" i="6" s="1"/>
  <c r="J302" i="6"/>
  <c r="V301" i="6"/>
  <c r="U301" i="6"/>
  <c r="T301" i="6"/>
  <c r="S301" i="6"/>
  <c r="R301" i="6"/>
  <c r="Q301" i="6"/>
  <c r="P301" i="6"/>
  <c r="O301" i="6"/>
  <c r="N301" i="6"/>
  <c r="K301" i="6"/>
  <c r="M301" i="6" s="1"/>
  <c r="J301" i="6"/>
  <c r="V300" i="6"/>
  <c r="U300" i="6"/>
  <c r="T300" i="6"/>
  <c r="S300" i="6"/>
  <c r="R300" i="6"/>
  <c r="Q300" i="6"/>
  <c r="P300" i="6"/>
  <c r="O300" i="6"/>
  <c r="N300" i="6"/>
  <c r="M300" i="6"/>
  <c r="L300" i="6"/>
  <c r="K300" i="6"/>
  <c r="J300" i="6"/>
  <c r="V299" i="6"/>
  <c r="U299" i="6"/>
  <c r="T299" i="6"/>
  <c r="S299" i="6"/>
  <c r="R299" i="6"/>
  <c r="Q299" i="6"/>
  <c r="P299" i="6"/>
  <c r="O299" i="6"/>
  <c r="N299" i="6"/>
  <c r="K299" i="6"/>
  <c r="J299" i="6"/>
  <c r="V298" i="6"/>
  <c r="U298" i="6"/>
  <c r="T298" i="6"/>
  <c r="S298" i="6"/>
  <c r="R298" i="6"/>
  <c r="Q298" i="6"/>
  <c r="P298" i="6"/>
  <c r="O298" i="6"/>
  <c r="N298" i="6"/>
  <c r="K298" i="6"/>
  <c r="M298" i="6" s="1"/>
  <c r="J298" i="6"/>
  <c r="V297" i="6"/>
  <c r="U297" i="6"/>
  <c r="T297" i="6"/>
  <c r="S297" i="6"/>
  <c r="R297" i="6"/>
  <c r="Q297" i="6"/>
  <c r="P297" i="6"/>
  <c r="O297" i="6"/>
  <c r="N297" i="6"/>
  <c r="M297" i="6"/>
  <c r="L297" i="6"/>
  <c r="K297" i="6"/>
  <c r="J297" i="6"/>
  <c r="V296" i="6"/>
  <c r="U296" i="6"/>
  <c r="T296" i="6"/>
  <c r="S296" i="6"/>
  <c r="R296" i="6"/>
  <c r="Q296" i="6"/>
  <c r="P296" i="6"/>
  <c r="O296" i="6"/>
  <c r="N296" i="6"/>
  <c r="K296" i="6"/>
  <c r="M296" i="6" s="1"/>
  <c r="J296" i="6"/>
  <c r="V295" i="6"/>
  <c r="U295" i="6"/>
  <c r="T295" i="6"/>
  <c r="S295" i="6"/>
  <c r="R295" i="6"/>
  <c r="Q295" i="6"/>
  <c r="P295" i="6"/>
  <c r="O295" i="6"/>
  <c r="N295" i="6"/>
  <c r="M295" i="6"/>
  <c r="L295" i="6"/>
  <c r="K295" i="6"/>
  <c r="J295" i="6"/>
  <c r="V294" i="6"/>
  <c r="U294" i="6"/>
  <c r="T294" i="6"/>
  <c r="S294" i="6"/>
  <c r="R294" i="6"/>
  <c r="Q294" i="6"/>
  <c r="P294" i="6"/>
  <c r="O294" i="6"/>
  <c r="N294" i="6"/>
  <c r="L294" i="6"/>
  <c r="K294" i="6"/>
  <c r="M294" i="6" s="1"/>
  <c r="J294" i="6"/>
  <c r="V293" i="6"/>
  <c r="U293" i="6"/>
  <c r="T293" i="6"/>
  <c r="S293" i="6"/>
  <c r="R293" i="6"/>
  <c r="Q293" i="6"/>
  <c r="P293" i="6"/>
  <c r="O293" i="6"/>
  <c r="N293" i="6"/>
  <c r="K293" i="6"/>
  <c r="M293" i="6" s="1"/>
  <c r="J293" i="6"/>
  <c r="V292" i="6"/>
  <c r="U292" i="6"/>
  <c r="T292" i="6"/>
  <c r="S292" i="6"/>
  <c r="R292" i="6"/>
  <c r="Q292" i="6"/>
  <c r="P292" i="6"/>
  <c r="O292" i="6"/>
  <c r="N292" i="6"/>
  <c r="M292" i="6"/>
  <c r="L292" i="6"/>
  <c r="K292" i="6"/>
  <c r="J292" i="6"/>
  <c r="V291" i="6"/>
  <c r="U291" i="6"/>
  <c r="T291" i="6"/>
  <c r="S291" i="6"/>
  <c r="R291" i="6"/>
  <c r="Q291" i="6"/>
  <c r="P291" i="6"/>
  <c r="O291" i="6"/>
  <c r="N291" i="6"/>
  <c r="K291" i="6"/>
  <c r="J291" i="6"/>
  <c r="V290" i="6"/>
  <c r="U290" i="6"/>
  <c r="T290" i="6"/>
  <c r="S290" i="6"/>
  <c r="R290" i="6"/>
  <c r="Q290" i="6"/>
  <c r="P290" i="6"/>
  <c r="O290" i="6"/>
  <c r="N290" i="6"/>
  <c r="K290" i="6"/>
  <c r="M290" i="6" s="1"/>
  <c r="J290" i="6"/>
  <c r="V289" i="6"/>
  <c r="U289" i="6"/>
  <c r="T289" i="6"/>
  <c r="S289" i="6"/>
  <c r="R289" i="6"/>
  <c r="Q289" i="6"/>
  <c r="P289" i="6"/>
  <c r="O289" i="6"/>
  <c r="N289" i="6"/>
  <c r="M289" i="6"/>
  <c r="L289" i="6"/>
  <c r="K289" i="6"/>
  <c r="J289" i="6"/>
  <c r="V288" i="6"/>
  <c r="U288" i="6"/>
  <c r="T288" i="6"/>
  <c r="S288" i="6"/>
  <c r="R288" i="6"/>
  <c r="Q288" i="6"/>
  <c r="P288" i="6"/>
  <c r="O288" i="6"/>
  <c r="N288" i="6"/>
  <c r="K288" i="6"/>
  <c r="M288" i="6" s="1"/>
  <c r="J288" i="6"/>
  <c r="V287" i="6"/>
  <c r="U287" i="6"/>
  <c r="T287" i="6"/>
  <c r="S287" i="6"/>
  <c r="R287" i="6"/>
  <c r="Q287" i="6"/>
  <c r="P287" i="6"/>
  <c r="O287" i="6"/>
  <c r="N287" i="6"/>
  <c r="M287" i="6"/>
  <c r="L287" i="6"/>
  <c r="K287" i="6"/>
  <c r="J287" i="6"/>
  <c r="V286" i="6"/>
  <c r="U286" i="6"/>
  <c r="T286" i="6"/>
  <c r="S286" i="6"/>
  <c r="R286" i="6"/>
  <c r="Q286" i="6"/>
  <c r="P286" i="6"/>
  <c r="O286" i="6"/>
  <c r="N286" i="6"/>
  <c r="L286" i="6"/>
  <c r="K286" i="6"/>
  <c r="M286" i="6" s="1"/>
  <c r="J286" i="6"/>
  <c r="V285" i="6"/>
  <c r="U285" i="6"/>
  <c r="T285" i="6"/>
  <c r="S285" i="6"/>
  <c r="R285" i="6"/>
  <c r="Q285" i="6"/>
  <c r="P285" i="6"/>
  <c r="O285" i="6"/>
  <c r="N285" i="6"/>
  <c r="K285" i="6"/>
  <c r="M285" i="6" s="1"/>
  <c r="J285" i="6"/>
  <c r="V284" i="6"/>
  <c r="U284" i="6"/>
  <c r="T284" i="6"/>
  <c r="S284" i="6"/>
  <c r="R284" i="6"/>
  <c r="Q284" i="6"/>
  <c r="P284" i="6"/>
  <c r="O284" i="6"/>
  <c r="N284" i="6"/>
  <c r="M284" i="6"/>
  <c r="L284" i="6"/>
  <c r="K284" i="6"/>
  <c r="J284" i="6"/>
  <c r="V283" i="6"/>
  <c r="U283" i="6"/>
  <c r="T283" i="6"/>
  <c r="S283" i="6"/>
  <c r="R283" i="6"/>
  <c r="Q283" i="6"/>
  <c r="P283" i="6"/>
  <c r="O283" i="6"/>
  <c r="N283" i="6"/>
  <c r="K283" i="6"/>
  <c r="J283" i="6"/>
  <c r="V282" i="6"/>
  <c r="U282" i="6"/>
  <c r="T282" i="6"/>
  <c r="S282" i="6"/>
  <c r="R282" i="6"/>
  <c r="Q282" i="6"/>
  <c r="P282" i="6"/>
  <c r="O282" i="6"/>
  <c r="N282" i="6"/>
  <c r="K282" i="6"/>
  <c r="M282" i="6" s="1"/>
  <c r="J282" i="6"/>
  <c r="V281" i="6"/>
  <c r="U281" i="6"/>
  <c r="T281" i="6"/>
  <c r="S281" i="6"/>
  <c r="R281" i="6"/>
  <c r="Q281" i="6"/>
  <c r="P281" i="6"/>
  <c r="O281" i="6"/>
  <c r="N281" i="6"/>
  <c r="M281" i="6"/>
  <c r="L281" i="6"/>
  <c r="K281" i="6"/>
  <c r="J281" i="6"/>
  <c r="V280" i="6"/>
  <c r="U280" i="6"/>
  <c r="T280" i="6"/>
  <c r="S280" i="6"/>
  <c r="R280" i="6"/>
  <c r="Q280" i="6"/>
  <c r="P280" i="6"/>
  <c r="O280" i="6"/>
  <c r="N280" i="6"/>
  <c r="K280" i="6"/>
  <c r="M280" i="6" s="1"/>
  <c r="J280" i="6"/>
  <c r="V279" i="6"/>
  <c r="U279" i="6"/>
  <c r="T279" i="6"/>
  <c r="S279" i="6"/>
  <c r="R279" i="6"/>
  <c r="Q279" i="6"/>
  <c r="P279" i="6"/>
  <c r="O279" i="6"/>
  <c r="N279" i="6"/>
  <c r="M279" i="6"/>
  <c r="L279" i="6"/>
  <c r="K279" i="6"/>
  <c r="J279" i="6"/>
  <c r="V278" i="6"/>
  <c r="U278" i="6"/>
  <c r="T278" i="6"/>
  <c r="S278" i="6"/>
  <c r="R278" i="6"/>
  <c r="Q278" i="6"/>
  <c r="P278" i="6"/>
  <c r="O278" i="6"/>
  <c r="N278" i="6"/>
  <c r="L278" i="6"/>
  <c r="K278" i="6"/>
  <c r="M278" i="6" s="1"/>
  <c r="J278" i="6"/>
  <c r="V277" i="6"/>
  <c r="U277" i="6"/>
  <c r="T277" i="6"/>
  <c r="S277" i="6"/>
  <c r="R277" i="6"/>
  <c r="Q277" i="6"/>
  <c r="P277" i="6"/>
  <c r="O277" i="6"/>
  <c r="N277" i="6"/>
  <c r="K277" i="6"/>
  <c r="M277" i="6" s="1"/>
  <c r="J277" i="6"/>
  <c r="V276" i="6"/>
  <c r="U276" i="6"/>
  <c r="T276" i="6"/>
  <c r="S276" i="6"/>
  <c r="R276" i="6"/>
  <c r="Q276" i="6"/>
  <c r="P276" i="6"/>
  <c r="O276" i="6"/>
  <c r="N276" i="6"/>
  <c r="M276" i="6"/>
  <c r="L276" i="6"/>
  <c r="K276" i="6"/>
  <c r="J276" i="6"/>
  <c r="V275" i="6"/>
  <c r="U275" i="6"/>
  <c r="T275" i="6"/>
  <c r="S275" i="6"/>
  <c r="R275" i="6"/>
  <c r="Q275" i="6"/>
  <c r="P275" i="6"/>
  <c r="O275" i="6"/>
  <c r="N275" i="6"/>
  <c r="K275" i="6"/>
  <c r="J275" i="6"/>
  <c r="V274" i="6"/>
  <c r="U274" i="6"/>
  <c r="T274" i="6"/>
  <c r="S274" i="6"/>
  <c r="R274" i="6"/>
  <c r="Q274" i="6"/>
  <c r="P274" i="6"/>
  <c r="O274" i="6"/>
  <c r="N274" i="6"/>
  <c r="K274" i="6"/>
  <c r="M274" i="6" s="1"/>
  <c r="J274" i="6"/>
  <c r="V273" i="6"/>
  <c r="U273" i="6"/>
  <c r="T273" i="6"/>
  <c r="S273" i="6"/>
  <c r="R273" i="6"/>
  <c r="Q273" i="6"/>
  <c r="P273" i="6"/>
  <c r="O273" i="6"/>
  <c r="N273" i="6"/>
  <c r="M273" i="6"/>
  <c r="L273" i="6"/>
  <c r="K273" i="6"/>
  <c r="J273" i="6"/>
  <c r="V272" i="6"/>
  <c r="U272" i="6"/>
  <c r="T272" i="6"/>
  <c r="S272" i="6"/>
  <c r="R272" i="6"/>
  <c r="Q272" i="6"/>
  <c r="P272" i="6"/>
  <c r="O272" i="6"/>
  <c r="N272" i="6"/>
  <c r="K272" i="6"/>
  <c r="M272" i="6" s="1"/>
  <c r="J272" i="6"/>
  <c r="V271" i="6"/>
  <c r="U271" i="6"/>
  <c r="T271" i="6"/>
  <c r="S271" i="6"/>
  <c r="R271" i="6"/>
  <c r="Q271" i="6"/>
  <c r="P271" i="6"/>
  <c r="O271" i="6"/>
  <c r="N271" i="6"/>
  <c r="M271" i="6"/>
  <c r="L271" i="6"/>
  <c r="K271" i="6"/>
  <c r="J271" i="6"/>
  <c r="V270" i="6"/>
  <c r="U270" i="6"/>
  <c r="T270" i="6"/>
  <c r="S270" i="6"/>
  <c r="R270" i="6"/>
  <c r="Q270" i="6"/>
  <c r="P270" i="6"/>
  <c r="O270" i="6"/>
  <c r="N270" i="6"/>
  <c r="K270" i="6"/>
  <c r="M270" i="6" s="1"/>
  <c r="J270" i="6"/>
  <c r="V269" i="6"/>
  <c r="U269" i="6"/>
  <c r="T269" i="6"/>
  <c r="S269" i="6"/>
  <c r="R269" i="6"/>
  <c r="Q269" i="6"/>
  <c r="P269" i="6"/>
  <c r="O269" i="6"/>
  <c r="N269" i="6"/>
  <c r="K269" i="6"/>
  <c r="M269" i="6" s="1"/>
  <c r="J269" i="6"/>
  <c r="V268" i="6"/>
  <c r="U268" i="6"/>
  <c r="T268" i="6"/>
  <c r="S268" i="6"/>
  <c r="R268" i="6"/>
  <c r="Q268" i="6"/>
  <c r="P268" i="6"/>
  <c r="O268" i="6"/>
  <c r="N268" i="6"/>
  <c r="M268" i="6"/>
  <c r="L268" i="6"/>
  <c r="K268" i="6"/>
  <c r="J268" i="6"/>
  <c r="V267" i="6"/>
  <c r="U267" i="6"/>
  <c r="T267" i="6"/>
  <c r="S267" i="6"/>
  <c r="R267" i="6"/>
  <c r="Q267" i="6"/>
  <c r="P267" i="6"/>
  <c r="O267" i="6"/>
  <c r="N267" i="6"/>
  <c r="K267" i="6"/>
  <c r="J267" i="6"/>
  <c r="V266" i="6"/>
  <c r="U266" i="6"/>
  <c r="T266" i="6"/>
  <c r="S266" i="6"/>
  <c r="R266" i="6"/>
  <c r="Q266" i="6"/>
  <c r="P266" i="6"/>
  <c r="O266" i="6"/>
  <c r="N266" i="6"/>
  <c r="K266" i="6"/>
  <c r="M266" i="6" s="1"/>
  <c r="J266" i="6"/>
  <c r="V265" i="6"/>
  <c r="U265" i="6"/>
  <c r="T265" i="6"/>
  <c r="S265" i="6"/>
  <c r="R265" i="6"/>
  <c r="Q265" i="6"/>
  <c r="P265" i="6"/>
  <c r="O265" i="6"/>
  <c r="N265" i="6"/>
  <c r="M265" i="6"/>
  <c r="L265" i="6"/>
  <c r="K265" i="6"/>
  <c r="J265" i="6"/>
  <c r="V264" i="6"/>
  <c r="U264" i="6"/>
  <c r="T264" i="6"/>
  <c r="S264" i="6"/>
  <c r="R264" i="6"/>
  <c r="Q264" i="6"/>
  <c r="P264" i="6"/>
  <c r="O264" i="6"/>
  <c r="N264" i="6"/>
  <c r="K264" i="6"/>
  <c r="M264" i="6" s="1"/>
  <c r="J264" i="6"/>
  <c r="V263" i="6"/>
  <c r="U263" i="6"/>
  <c r="T263" i="6"/>
  <c r="S263" i="6"/>
  <c r="R263" i="6"/>
  <c r="Q263" i="6"/>
  <c r="P263" i="6"/>
  <c r="O263" i="6"/>
  <c r="N263" i="6"/>
  <c r="M263" i="6"/>
  <c r="L263" i="6"/>
  <c r="K263" i="6"/>
  <c r="J263" i="6"/>
  <c r="V262" i="6"/>
  <c r="U262" i="6"/>
  <c r="T262" i="6"/>
  <c r="S262" i="6"/>
  <c r="R262" i="6"/>
  <c r="Q262" i="6"/>
  <c r="P262" i="6"/>
  <c r="O262" i="6"/>
  <c r="N262" i="6"/>
  <c r="L262" i="6"/>
  <c r="K262" i="6"/>
  <c r="M262" i="6" s="1"/>
  <c r="J262" i="6"/>
  <c r="V261" i="6"/>
  <c r="U261" i="6"/>
  <c r="T261" i="6"/>
  <c r="S261" i="6"/>
  <c r="R261" i="6"/>
  <c r="Q261" i="6"/>
  <c r="P261" i="6"/>
  <c r="O261" i="6"/>
  <c r="N261" i="6"/>
  <c r="K261" i="6"/>
  <c r="M261" i="6" s="1"/>
  <c r="J261" i="6"/>
  <c r="V260" i="6"/>
  <c r="U260" i="6"/>
  <c r="T260" i="6"/>
  <c r="S260" i="6"/>
  <c r="R260" i="6"/>
  <c r="Q260" i="6"/>
  <c r="P260" i="6"/>
  <c r="O260" i="6"/>
  <c r="N260" i="6"/>
  <c r="M260" i="6"/>
  <c r="L260" i="6"/>
  <c r="K260" i="6"/>
  <c r="J260" i="6"/>
  <c r="V259" i="6"/>
  <c r="U259" i="6"/>
  <c r="T259" i="6"/>
  <c r="S259" i="6"/>
  <c r="R259" i="6"/>
  <c r="Q259" i="6"/>
  <c r="P259" i="6"/>
  <c r="O259" i="6"/>
  <c r="N259" i="6"/>
  <c r="K259" i="6"/>
  <c r="J259" i="6"/>
  <c r="V258" i="6"/>
  <c r="U258" i="6"/>
  <c r="T258" i="6"/>
  <c r="S258" i="6"/>
  <c r="R258" i="6"/>
  <c r="Q258" i="6"/>
  <c r="P258" i="6"/>
  <c r="O258" i="6"/>
  <c r="N258" i="6"/>
  <c r="K258" i="6"/>
  <c r="M258" i="6" s="1"/>
  <c r="J258" i="6"/>
  <c r="V257" i="6"/>
  <c r="U257" i="6"/>
  <c r="T257" i="6"/>
  <c r="S257" i="6"/>
  <c r="R257" i="6"/>
  <c r="Q257" i="6"/>
  <c r="P257" i="6"/>
  <c r="O257" i="6"/>
  <c r="N257" i="6"/>
  <c r="M257" i="6"/>
  <c r="L257" i="6"/>
  <c r="K257" i="6"/>
  <c r="J257" i="6"/>
  <c r="V256" i="6"/>
  <c r="U256" i="6"/>
  <c r="T256" i="6"/>
  <c r="S256" i="6"/>
  <c r="R256" i="6"/>
  <c r="Q256" i="6"/>
  <c r="P256" i="6"/>
  <c r="O256" i="6"/>
  <c r="N256" i="6"/>
  <c r="K256" i="6"/>
  <c r="M256" i="6" s="1"/>
  <c r="J256" i="6"/>
  <c r="V255" i="6"/>
  <c r="U255" i="6"/>
  <c r="T255" i="6"/>
  <c r="S255" i="6"/>
  <c r="R255" i="6"/>
  <c r="Q255" i="6"/>
  <c r="P255" i="6"/>
  <c r="O255" i="6"/>
  <c r="N255" i="6"/>
  <c r="M255" i="6"/>
  <c r="L255" i="6"/>
  <c r="K255" i="6"/>
  <c r="J255" i="6"/>
  <c r="V254" i="6"/>
  <c r="U254" i="6"/>
  <c r="T254" i="6"/>
  <c r="S254" i="6"/>
  <c r="R254" i="6"/>
  <c r="Q254" i="6"/>
  <c r="P254" i="6"/>
  <c r="O254" i="6"/>
  <c r="N254" i="6"/>
  <c r="K254" i="6"/>
  <c r="M254" i="6" s="1"/>
  <c r="J254" i="6"/>
  <c r="V253" i="6"/>
  <c r="U253" i="6"/>
  <c r="T253" i="6"/>
  <c r="S253" i="6"/>
  <c r="R253" i="6"/>
  <c r="Q253" i="6"/>
  <c r="P253" i="6"/>
  <c r="O253" i="6"/>
  <c r="N253" i="6"/>
  <c r="K253" i="6"/>
  <c r="M253" i="6" s="1"/>
  <c r="J253" i="6"/>
  <c r="V252" i="6"/>
  <c r="U252" i="6"/>
  <c r="T252" i="6"/>
  <c r="S252" i="6"/>
  <c r="R252" i="6"/>
  <c r="Q252" i="6"/>
  <c r="P252" i="6"/>
  <c r="O252" i="6"/>
  <c r="N252" i="6"/>
  <c r="M252" i="6"/>
  <c r="L252" i="6"/>
  <c r="K252" i="6"/>
  <c r="J252" i="6"/>
  <c r="V251" i="6"/>
  <c r="U251" i="6"/>
  <c r="T251" i="6"/>
  <c r="S251" i="6"/>
  <c r="R251" i="6"/>
  <c r="Q251" i="6"/>
  <c r="P251" i="6"/>
  <c r="O251" i="6"/>
  <c r="N251" i="6"/>
  <c r="K251" i="6"/>
  <c r="J251" i="6"/>
  <c r="V250" i="6"/>
  <c r="U250" i="6"/>
  <c r="T250" i="6"/>
  <c r="S250" i="6"/>
  <c r="R250" i="6"/>
  <c r="Q250" i="6"/>
  <c r="P250" i="6"/>
  <c r="O250" i="6"/>
  <c r="N250" i="6"/>
  <c r="K250" i="6"/>
  <c r="M250" i="6" s="1"/>
  <c r="J250" i="6"/>
  <c r="V249" i="6"/>
  <c r="U249" i="6"/>
  <c r="T249" i="6"/>
  <c r="S249" i="6"/>
  <c r="R249" i="6"/>
  <c r="Q249" i="6"/>
  <c r="P249" i="6"/>
  <c r="O249" i="6"/>
  <c r="N249" i="6"/>
  <c r="M249" i="6"/>
  <c r="L249" i="6"/>
  <c r="K249" i="6"/>
  <c r="J249" i="6"/>
  <c r="V248" i="6"/>
  <c r="U248" i="6"/>
  <c r="T248" i="6"/>
  <c r="S248" i="6"/>
  <c r="R248" i="6"/>
  <c r="Q248" i="6"/>
  <c r="P248" i="6"/>
  <c r="O248" i="6"/>
  <c r="N248" i="6"/>
  <c r="K248" i="6"/>
  <c r="M248" i="6" s="1"/>
  <c r="J248" i="6"/>
  <c r="V247" i="6"/>
  <c r="U247" i="6"/>
  <c r="T247" i="6"/>
  <c r="S247" i="6"/>
  <c r="R247" i="6"/>
  <c r="Q247" i="6"/>
  <c r="P247" i="6"/>
  <c r="O247" i="6"/>
  <c r="N247" i="6"/>
  <c r="M247" i="6"/>
  <c r="L247" i="6"/>
  <c r="K247" i="6"/>
  <c r="J247" i="6"/>
  <c r="V246" i="6"/>
  <c r="U246" i="6"/>
  <c r="T246" i="6"/>
  <c r="S246" i="6"/>
  <c r="R246" i="6"/>
  <c r="Q246" i="6"/>
  <c r="P246" i="6"/>
  <c r="O246" i="6"/>
  <c r="N246" i="6"/>
  <c r="L246" i="6"/>
  <c r="K246" i="6"/>
  <c r="M246" i="6" s="1"/>
  <c r="J246" i="6"/>
  <c r="V245" i="6"/>
  <c r="U245" i="6"/>
  <c r="T245" i="6"/>
  <c r="S245" i="6"/>
  <c r="R245" i="6"/>
  <c r="Q245" i="6"/>
  <c r="P245" i="6"/>
  <c r="O245" i="6"/>
  <c r="N245" i="6"/>
  <c r="K245" i="6"/>
  <c r="M245" i="6" s="1"/>
  <c r="J245" i="6"/>
  <c r="V244" i="6"/>
  <c r="U244" i="6"/>
  <c r="T244" i="6"/>
  <c r="S244" i="6"/>
  <c r="R244" i="6"/>
  <c r="Q244" i="6"/>
  <c r="P244" i="6"/>
  <c r="O244" i="6"/>
  <c r="N244" i="6"/>
  <c r="M244" i="6"/>
  <c r="L244" i="6"/>
  <c r="K244" i="6"/>
  <c r="J244" i="6"/>
  <c r="V243" i="6"/>
  <c r="U243" i="6"/>
  <c r="T243" i="6"/>
  <c r="S243" i="6"/>
  <c r="R243" i="6"/>
  <c r="Q243" i="6"/>
  <c r="P243" i="6"/>
  <c r="O243" i="6"/>
  <c r="N243" i="6"/>
  <c r="K243" i="6"/>
  <c r="J243" i="6"/>
  <c r="V242" i="6"/>
  <c r="U242" i="6"/>
  <c r="T242" i="6"/>
  <c r="S242" i="6"/>
  <c r="R242" i="6"/>
  <c r="Q242" i="6"/>
  <c r="P242" i="6"/>
  <c r="O242" i="6"/>
  <c r="N242" i="6"/>
  <c r="K242" i="6"/>
  <c r="M242" i="6" s="1"/>
  <c r="J242" i="6"/>
  <c r="V241" i="6"/>
  <c r="U241" i="6"/>
  <c r="T241" i="6"/>
  <c r="S241" i="6"/>
  <c r="R241" i="6"/>
  <c r="Q241" i="6"/>
  <c r="P241" i="6"/>
  <c r="O241" i="6"/>
  <c r="N241" i="6"/>
  <c r="M241" i="6"/>
  <c r="L241" i="6"/>
  <c r="K241" i="6"/>
  <c r="J241" i="6"/>
  <c r="V240" i="6"/>
  <c r="U240" i="6"/>
  <c r="T240" i="6"/>
  <c r="S240" i="6"/>
  <c r="R240" i="6"/>
  <c r="Q240" i="6"/>
  <c r="P240" i="6"/>
  <c r="O240" i="6"/>
  <c r="N240" i="6"/>
  <c r="K240" i="6"/>
  <c r="M240" i="6" s="1"/>
  <c r="J240" i="6"/>
  <c r="V239" i="6"/>
  <c r="U239" i="6"/>
  <c r="T239" i="6"/>
  <c r="S239" i="6"/>
  <c r="R239" i="6"/>
  <c r="Q239" i="6"/>
  <c r="P239" i="6"/>
  <c r="O239" i="6"/>
  <c r="N239" i="6"/>
  <c r="M239" i="6"/>
  <c r="L239" i="6"/>
  <c r="K239" i="6"/>
  <c r="J239" i="6"/>
  <c r="V238" i="6"/>
  <c r="U238" i="6"/>
  <c r="T238" i="6"/>
  <c r="S238" i="6"/>
  <c r="R238" i="6"/>
  <c r="Q238" i="6"/>
  <c r="P238" i="6"/>
  <c r="O238" i="6"/>
  <c r="N238" i="6"/>
  <c r="K238" i="6"/>
  <c r="M238" i="6" s="1"/>
  <c r="J238" i="6"/>
  <c r="V237" i="6"/>
  <c r="U237" i="6"/>
  <c r="T237" i="6"/>
  <c r="S237" i="6"/>
  <c r="R237" i="6"/>
  <c r="Q237" i="6"/>
  <c r="P237" i="6"/>
  <c r="O237" i="6"/>
  <c r="N237" i="6"/>
  <c r="K237" i="6"/>
  <c r="M237" i="6" s="1"/>
  <c r="J237" i="6"/>
  <c r="V236" i="6"/>
  <c r="U236" i="6"/>
  <c r="T236" i="6"/>
  <c r="S236" i="6"/>
  <c r="R236" i="6"/>
  <c r="Q236" i="6"/>
  <c r="P236" i="6"/>
  <c r="O236" i="6"/>
  <c r="N236" i="6"/>
  <c r="M236" i="6"/>
  <c r="L236" i="6"/>
  <c r="K236" i="6"/>
  <c r="J236" i="6"/>
  <c r="V235" i="6"/>
  <c r="U235" i="6"/>
  <c r="T235" i="6"/>
  <c r="S235" i="6"/>
  <c r="R235" i="6"/>
  <c r="Q235" i="6"/>
  <c r="P235" i="6"/>
  <c r="O235" i="6"/>
  <c r="N235" i="6"/>
  <c r="K235" i="6"/>
  <c r="J235" i="6"/>
  <c r="V234" i="6"/>
  <c r="U234" i="6"/>
  <c r="T234" i="6"/>
  <c r="S234" i="6"/>
  <c r="R234" i="6"/>
  <c r="Q234" i="6"/>
  <c r="P234" i="6"/>
  <c r="O234" i="6"/>
  <c r="N234" i="6"/>
  <c r="M234" i="6"/>
  <c r="K234" i="6"/>
  <c r="L234" i="6" s="1"/>
  <c r="J234" i="6"/>
  <c r="V233" i="6"/>
  <c r="U233" i="6"/>
  <c r="T233" i="6"/>
  <c r="S233" i="6"/>
  <c r="R233" i="6"/>
  <c r="Q233" i="6"/>
  <c r="P233" i="6"/>
  <c r="O233" i="6"/>
  <c r="N233" i="6"/>
  <c r="K233" i="6"/>
  <c r="M233" i="6" s="1"/>
  <c r="J233" i="6"/>
  <c r="V232" i="6"/>
  <c r="U232" i="6"/>
  <c r="T232" i="6"/>
  <c r="S232" i="6"/>
  <c r="R232" i="6"/>
  <c r="Q232" i="6"/>
  <c r="P232" i="6"/>
  <c r="O232" i="6"/>
  <c r="N232" i="6"/>
  <c r="K232" i="6"/>
  <c r="M232" i="6" s="1"/>
  <c r="J232" i="6"/>
  <c r="V231" i="6"/>
  <c r="U231" i="6"/>
  <c r="T231" i="6"/>
  <c r="S231" i="6"/>
  <c r="R231" i="6"/>
  <c r="Q231" i="6"/>
  <c r="P231" i="6"/>
  <c r="O231" i="6"/>
  <c r="N231" i="6"/>
  <c r="M231" i="6"/>
  <c r="L231" i="6"/>
  <c r="K231" i="6"/>
  <c r="J231" i="6"/>
  <c r="V230" i="6"/>
  <c r="U230" i="6"/>
  <c r="T230" i="6"/>
  <c r="S230" i="6"/>
  <c r="R230" i="6"/>
  <c r="Q230" i="6"/>
  <c r="P230" i="6"/>
  <c r="O230" i="6"/>
  <c r="N230" i="6"/>
  <c r="K230" i="6"/>
  <c r="M230" i="6" s="1"/>
  <c r="J230" i="6"/>
  <c r="V229" i="6"/>
  <c r="U229" i="6"/>
  <c r="T229" i="6"/>
  <c r="S229" i="6"/>
  <c r="R229" i="6"/>
  <c r="Q229" i="6"/>
  <c r="P229" i="6"/>
  <c r="O229" i="6"/>
  <c r="N229" i="6"/>
  <c r="K229" i="6"/>
  <c r="M229" i="6" s="1"/>
  <c r="J229" i="6"/>
  <c r="V228" i="6"/>
  <c r="U228" i="6"/>
  <c r="T228" i="6"/>
  <c r="S228" i="6"/>
  <c r="R228" i="6"/>
  <c r="Q228" i="6"/>
  <c r="P228" i="6"/>
  <c r="O228" i="6"/>
  <c r="N228" i="6"/>
  <c r="M228" i="6"/>
  <c r="L228" i="6"/>
  <c r="K228" i="6"/>
  <c r="J228" i="6"/>
  <c r="V227" i="6"/>
  <c r="U227" i="6"/>
  <c r="T227" i="6"/>
  <c r="S227" i="6"/>
  <c r="R227" i="6"/>
  <c r="Q227" i="6"/>
  <c r="P227" i="6"/>
  <c r="O227" i="6"/>
  <c r="N227" i="6"/>
  <c r="K227" i="6"/>
  <c r="J227" i="6"/>
  <c r="V226" i="6"/>
  <c r="U226" i="6"/>
  <c r="T226" i="6"/>
  <c r="S226" i="6"/>
  <c r="R226" i="6"/>
  <c r="Q226" i="6"/>
  <c r="P226" i="6"/>
  <c r="O226" i="6"/>
  <c r="N226" i="6"/>
  <c r="M226" i="6"/>
  <c r="K226" i="6"/>
  <c r="L226" i="6" s="1"/>
  <c r="J226" i="6"/>
  <c r="V225" i="6"/>
  <c r="U225" i="6"/>
  <c r="T225" i="6"/>
  <c r="S225" i="6"/>
  <c r="R225" i="6"/>
  <c r="Q225" i="6"/>
  <c r="P225" i="6"/>
  <c r="O225" i="6"/>
  <c r="N225" i="6"/>
  <c r="M225" i="6"/>
  <c r="K225" i="6"/>
  <c r="L225" i="6" s="1"/>
  <c r="J225" i="6"/>
  <c r="V224" i="6"/>
  <c r="U224" i="6"/>
  <c r="T224" i="6"/>
  <c r="S224" i="6"/>
  <c r="R224" i="6"/>
  <c r="Q224" i="6"/>
  <c r="P224" i="6"/>
  <c r="O224" i="6"/>
  <c r="N224" i="6"/>
  <c r="K224" i="6"/>
  <c r="J224" i="6"/>
  <c r="V223" i="6"/>
  <c r="U223" i="6"/>
  <c r="T223" i="6"/>
  <c r="S223" i="6"/>
  <c r="R223" i="6"/>
  <c r="Q223" i="6"/>
  <c r="P223" i="6"/>
  <c r="O223" i="6"/>
  <c r="N223" i="6"/>
  <c r="M223" i="6"/>
  <c r="L223" i="6"/>
  <c r="K223" i="6"/>
  <c r="J223" i="6"/>
  <c r="V222" i="6"/>
  <c r="U222" i="6"/>
  <c r="T222" i="6"/>
  <c r="S222" i="6"/>
  <c r="R222" i="6"/>
  <c r="Q222" i="6"/>
  <c r="P222" i="6"/>
  <c r="O222" i="6"/>
  <c r="N222" i="6"/>
  <c r="L222" i="6"/>
  <c r="K222" i="6"/>
  <c r="M222" i="6" s="1"/>
  <c r="J222" i="6"/>
  <c r="V221" i="6"/>
  <c r="U221" i="6"/>
  <c r="T221" i="6"/>
  <c r="S221" i="6"/>
  <c r="R221" i="6"/>
  <c r="Q221" i="6"/>
  <c r="P221" i="6"/>
  <c r="O221" i="6"/>
  <c r="N221" i="6"/>
  <c r="K221" i="6"/>
  <c r="M221" i="6" s="1"/>
  <c r="J221" i="6"/>
  <c r="V220" i="6"/>
  <c r="U220" i="6"/>
  <c r="T220" i="6"/>
  <c r="S220" i="6"/>
  <c r="R220" i="6"/>
  <c r="Q220" i="6"/>
  <c r="P220" i="6"/>
  <c r="O220" i="6"/>
  <c r="N220" i="6"/>
  <c r="M220" i="6"/>
  <c r="L220" i="6"/>
  <c r="K220" i="6"/>
  <c r="J220" i="6"/>
  <c r="V219" i="6"/>
  <c r="U219" i="6"/>
  <c r="T219" i="6"/>
  <c r="S219" i="6"/>
  <c r="R219" i="6"/>
  <c r="Q219" i="6"/>
  <c r="P219" i="6"/>
  <c r="O219" i="6"/>
  <c r="N219" i="6"/>
  <c r="L219" i="6"/>
  <c r="K219" i="6"/>
  <c r="M219" i="6" s="1"/>
  <c r="J219" i="6"/>
  <c r="V218" i="6"/>
  <c r="U218" i="6"/>
  <c r="T218" i="6"/>
  <c r="S218" i="6"/>
  <c r="R218" i="6"/>
  <c r="Q218" i="6"/>
  <c r="P218" i="6"/>
  <c r="O218" i="6"/>
  <c r="N218" i="6"/>
  <c r="M218" i="6"/>
  <c r="K218" i="6"/>
  <c r="L218" i="6" s="1"/>
  <c r="J218" i="6"/>
  <c r="V217" i="6"/>
  <c r="U217" i="6"/>
  <c r="T217" i="6"/>
  <c r="S217" i="6"/>
  <c r="R217" i="6"/>
  <c r="Q217" i="6"/>
  <c r="P217" i="6"/>
  <c r="O217" i="6"/>
  <c r="N217" i="6"/>
  <c r="K217" i="6"/>
  <c r="M217" i="6" s="1"/>
  <c r="J217" i="6"/>
  <c r="V216" i="6"/>
  <c r="U216" i="6"/>
  <c r="T216" i="6"/>
  <c r="S216" i="6"/>
  <c r="R216" i="6"/>
  <c r="Q216" i="6"/>
  <c r="P216" i="6"/>
  <c r="O216" i="6"/>
  <c r="N216" i="6"/>
  <c r="K216" i="6"/>
  <c r="J216" i="6"/>
  <c r="V215" i="6"/>
  <c r="U215" i="6"/>
  <c r="T215" i="6"/>
  <c r="S215" i="6"/>
  <c r="R215" i="6"/>
  <c r="Q215" i="6"/>
  <c r="P215" i="6"/>
  <c r="O215" i="6"/>
  <c r="N215" i="6"/>
  <c r="M215" i="6"/>
  <c r="L215" i="6"/>
  <c r="K215" i="6"/>
  <c r="J215" i="6"/>
  <c r="V214" i="6"/>
  <c r="U214" i="6"/>
  <c r="T214" i="6"/>
  <c r="S214" i="6"/>
  <c r="R214" i="6"/>
  <c r="Q214" i="6"/>
  <c r="P214" i="6"/>
  <c r="O214" i="6"/>
  <c r="N214" i="6"/>
  <c r="L214" i="6"/>
  <c r="K214" i="6"/>
  <c r="M214" i="6" s="1"/>
  <c r="J214" i="6"/>
  <c r="V213" i="6"/>
  <c r="U213" i="6"/>
  <c r="T213" i="6"/>
  <c r="S213" i="6"/>
  <c r="R213" i="6"/>
  <c r="Q213" i="6"/>
  <c r="P213" i="6"/>
  <c r="O213" i="6"/>
  <c r="N213" i="6"/>
  <c r="K213" i="6"/>
  <c r="M213" i="6" s="1"/>
  <c r="J213" i="6"/>
  <c r="V212" i="6"/>
  <c r="U212" i="6"/>
  <c r="T212" i="6"/>
  <c r="S212" i="6"/>
  <c r="R212" i="6"/>
  <c r="Q212" i="6"/>
  <c r="P212" i="6"/>
  <c r="O212" i="6"/>
  <c r="N212" i="6"/>
  <c r="M212" i="6"/>
  <c r="L212" i="6"/>
  <c r="K212" i="6"/>
  <c r="J212" i="6"/>
  <c r="V211" i="6"/>
  <c r="U211" i="6"/>
  <c r="T211" i="6"/>
  <c r="S211" i="6"/>
  <c r="R211" i="6"/>
  <c r="Q211" i="6"/>
  <c r="P211" i="6"/>
  <c r="O211" i="6"/>
  <c r="N211" i="6"/>
  <c r="L211" i="6"/>
  <c r="K211" i="6"/>
  <c r="M211" i="6" s="1"/>
  <c r="J211" i="6"/>
  <c r="V210" i="6"/>
  <c r="U210" i="6"/>
  <c r="T210" i="6"/>
  <c r="S210" i="6"/>
  <c r="R210" i="6"/>
  <c r="Q210" i="6"/>
  <c r="P210" i="6"/>
  <c r="O210" i="6"/>
  <c r="N210" i="6"/>
  <c r="M210" i="6"/>
  <c r="K210" i="6"/>
  <c r="L210" i="6" s="1"/>
  <c r="J210" i="6"/>
  <c r="V209" i="6"/>
  <c r="U209" i="6"/>
  <c r="T209" i="6"/>
  <c r="S209" i="6"/>
  <c r="R209" i="6"/>
  <c r="Q209" i="6"/>
  <c r="P209" i="6"/>
  <c r="O209" i="6"/>
  <c r="N209" i="6"/>
  <c r="M209" i="6"/>
  <c r="K209" i="6"/>
  <c r="L209" i="6" s="1"/>
  <c r="J209" i="6"/>
  <c r="V208" i="6"/>
  <c r="U208" i="6"/>
  <c r="T208" i="6"/>
  <c r="S208" i="6"/>
  <c r="R208" i="6"/>
  <c r="Q208" i="6"/>
  <c r="P208" i="6"/>
  <c r="O208" i="6"/>
  <c r="N208" i="6"/>
  <c r="K208" i="6"/>
  <c r="J208" i="6"/>
  <c r="V207" i="6"/>
  <c r="U207" i="6"/>
  <c r="T207" i="6"/>
  <c r="S207" i="6"/>
  <c r="R207" i="6"/>
  <c r="Q207" i="6"/>
  <c r="P207" i="6"/>
  <c r="O207" i="6"/>
  <c r="N207" i="6"/>
  <c r="M207" i="6"/>
  <c r="L207" i="6"/>
  <c r="K207" i="6"/>
  <c r="J207" i="6"/>
  <c r="V206" i="6"/>
  <c r="U206" i="6"/>
  <c r="T206" i="6"/>
  <c r="S206" i="6"/>
  <c r="R206" i="6"/>
  <c r="Q206" i="6"/>
  <c r="P206" i="6"/>
  <c r="O206" i="6"/>
  <c r="N206" i="6"/>
  <c r="L206" i="6"/>
  <c r="K206" i="6"/>
  <c r="M206" i="6" s="1"/>
  <c r="J206" i="6"/>
  <c r="V205" i="6"/>
  <c r="U205" i="6"/>
  <c r="T205" i="6"/>
  <c r="S205" i="6"/>
  <c r="R205" i="6"/>
  <c r="Q205" i="6"/>
  <c r="P205" i="6"/>
  <c r="O205" i="6"/>
  <c r="N205" i="6"/>
  <c r="K205" i="6"/>
  <c r="M205" i="6" s="1"/>
  <c r="J205" i="6"/>
  <c r="V204" i="6"/>
  <c r="U204" i="6"/>
  <c r="T204" i="6"/>
  <c r="S204" i="6"/>
  <c r="R204" i="6"/>
  <c r="Q204" i="6"/>
  <c r="P204" i="6"/>
  <c r="O204" i="6"/>
  <c r="N204" i="6"/>
  <c r="M204" i="6"/>
  <c r="L204" i="6"/>
  <c r="K204" i="6"/>
  <c r="J204" i="6"/>
  <c r="V203" i="6"/>
  <c r="U203" i="6"/>
  <c r="T203" i="6"/>
  <c r="S203" i="6"/>
  <c r="R203" i="6"/>
  <c r="Q203" i="6"/>
  <c r="P203" i="6"/>
  <c r="O203" i="6"/>
  <c r="N203" i="6"/>
  <c r="K203" i="6"/>
  <c r="M203" i="6" s="1"/>
  <c r="J203" i="6"/>
  <c r="V202" i="6"/>
  <c r="U202" i="6"/>
  <c r="T202" i="6"/>
  <c r="S202" i="6"/>
  <c r="R202" i="6"/>
  <c r="Q202" i="6"/>
  <c r="P202" i="6"/>
  <c r="O202" i="6"/>
  <c r="N202" i="6"/>
  <c r="M202" i="6"/>
  <c r="K202" i="6"/>
  <c r="L202" i="6" s="1"/>
  <c r="J202" i="6"/>
  <c r="V201" i="6"/>
  <c r="U201" i="6"/>
  <c r="T201" i="6"/>
  <c r="S201" i="6"/>
  <c r="R201" i="6"/>
  <c r="Q201" i="6"/>
  <c r="P201" i="6"/>
  <c r="O201" i="6"/>
  <c r="N201" i="6"/>
  <c r="L201" i="6"/>
  <c r="K201" i="6"/>
  <c r="M201" i="6" s="1"/>
  <c r="J201" i="6"/>
  <c r="V200" i="6"/>
  <c r="U200" i="6"/>
  <c r="T200" i="6"/>
  <c r="S200" i="6"/>
  <c r="R200" i="6"/>
  <c r="Q200" i="6"/>
  <c r="P200" i="6"/>
  <c r="O200" i="6"/>
  <c r="N200" i="6"/>
  <c r="L200" i="6"/>
  <c r="K200" i="6"/>
  <c r="M200" i="6" s="1"/>
  <c r="J200" i="6"/>
  <c r="V199" i="6"/>
  <c r="U199" i="6"/>
  <c r="T199" i="6"/>
  <c r="S199" i="6"/>
  <c r="R199" i="6"/>
  <c r="Q199" i="6"/>
  <c r="P199" i="6"/>
  <c r="O199" i="6"/>
  <c r="N199" i="6"/>
  <c r="M199" i="6"/>
  <c r="L199" i="6"/>
  <c r="K199" i="6"/>
  <c r="J199" i="6"/>
  <c r="V198" i="6"/>
  <c r="U198" i="6"/>
  <c r="T198" i="6"/>
  <c r="S198" i="6"/>
  <c r="R198" i="6"/>
  <c r="Q198" i="6"/>
  <c r="P198" i="6"/>
  <c r="O198" i="6"/>
  <c r="N198" i="6"/>
  <c r="M198" i="6"/>
  <c r="L198" i="6"/>
  <c r="K198" i="6"/>
  <c r="J198" i="6"/>
  <c r="V197" i="6"/>
  <c r="U197" i="6"/>
  <c r="T197" i="6"/>
  <c r="S197" i="6"/>
  <c r="R197" i="6"/>
  <c r="Q197" i="6"/>
  <c r="P197" i="6"/>
  <c r="O197" i="6"/>
  <c r="N197" i="6"/>
  <c r="K197" i="6"/>
  <c r="J197" i="6"/>
  <c r="V196" i="6"/>
  <c r="U196" i="6"/>
  <c r="T196" i="6"/>
  <c r="S196" i="6"/>
  <c r="R196" i="6"/>
  <c r="Q196" i="6"/>
  <c r="P196" i="6"/>
  <c r="O196" i="6"/>
  <c r="N196" i="6"/>
  <c r="M196" i="6"/>
  <c r="L196" i="6"/>
  <c r="K196" i="6"/>
  <c r="J196" i="6"/>
  <c r="V195" i="6"/>
  <c r="U195" i="6"/>
  <c r="T195" i="6"/>
  <c r="S195" i="6"/>
  <c r="R195" i="6"/>
  <c r="Q195" i="6"/>
  <c r="P195" i="6"/>
  <c r="O195" i="6"/>
  <c r="N195" i="6"/>
  <c r="K195" i="6"/>
  <c r="M195" i="6" s="1"/>
  <c r="J195" i="6"/>
  <c r="V194" i="6"/>
  <c r="U194" i="6"/>
  <c r="T194" i="6"/>
  <c r="S194" i="6"/>
  <c r="R194" i="6"/>
  <c r="Q194" i="6"/>
  <c r="P194" i="6"/>
  <c r="O194" i="6"/>
  <c r="N194" i="6"/>
  <c r="M194" i="6"/>
  <c r="K194" i="6"/>
  <c r="L194" i="6" s="1"/>
  <c r="J194" i="6"/>
  <c r="V193" i="6"/>
  <c r="U193" i="6"/>
  <c r="T193" i="6"/>
  <c r="S193" i="6"/>
  <c r="R193" i="6"/>
  <c r="Q193" i="6"/>
  <c r="P193" i="6"/>
  <c r="O193" i="6"/>
  <c r="N193" i="6"/>
  <c r="M193" i="6"/>
  <c r="L193" i="6"/>
  <c r="K193" i="6"/>
  <c r="J193" i="6"/>
  <c r="V192" i="6"/>
  <c r="U192" i="6"/>
  <c r="T192" i="6"/>
  <c r="S192" i="6"/>
  <c r="R192" i="6"/>
  <c r="Q192" i="6"/>
  <c r="P192" i="6"/>
  <c r="O192" i="6"/>
  <c r="N192" i="6"/>
  <c r="L192" i="6"/>
  <c r="K192" i="6"/>
  <c r="M192" i="6" s="1"/>
  <c r="J192" i="6"/>
  <c r="V191" i="6"/>
  <c r="U191" i="6"/>
  <c r="T191" i="6"/>
  <c r="S191" i="6"/>
  <c r="R191" i="6"/>
  <c r="Q191" i="6"/>
  <c r="P191" i="6"/>
  <c r="O191" i="6"/>
  <c r="N191" i="6"/>
  <c r="M191" i="6"/>
  <c r="L191" i="6"/>
  <c r="K191" i="6"/>
  <c r="J191" i="6"/>
  <c r="V190" i="6"/>
  <c r="U190" i="6"/>
  <c r="T190" i="6"/>
  <c r="S190" i="6"/>
  <c r="R190" i="6"/>
  <c r="Q190" i="6"/>
  <c r="P190" i="6"/>
  <c r="O190" i="6"/>
  <c r="N190" i="6"/>
  <c r="K190" i="6"/>
  <c r="M190" i="6" s="1"/>
  <c r="J190" i="6"/>
  <c r="V189" i="6"/>
  <c r="U189" i="6"/>
  <c r="T189" i="6"/>
  <c r="S189" i="6"/>
  <c r="R189" i="6"/>
  <c r="Q189" i="6"/>
  <c r="P189" i="6"/>
  <c r="O189" i="6"/>
  <c r="N189" i="6"/>
  <c r="K189" i="6"/>
  <c r="J189" i="6"/>
  <c r="V188" i="6"/>
  <c r="U188" i="6"/>
  <c r="T188" i="6"/>
  <c r="S188" i="6"/>
  <c r="R188" i="6"/>
  <c r="Q188" i="6"/>
  <c r="P188" i="6"/>
  <c r="O188" i="6"/>
  <c r="N188" i="6"/>
  <c r="K188" i="6"/>
  <c r="M188" i="6" s="1"/>
  <c r="J188" i="6"/>
  <c r="V187" i="6"/>
  <c r="U187" i="6"/>
  <c r="T187" i="6"/>
  <c r="S187" i="6"/>
  <c r="R187" i="6"/>
  <c r="Q187" i="6"/>
  <c r="P187" i="6"/>
  <c r="O187" i="6"/>
  <c r="N187" i="6"/>
  <c r="K187" i="6"/>
  <c r="M187" i="6" s="1"/>
  <c r="J187" i="6"/>
  <c r="V186" i="6"/>
  <c r="U186" i="6"/>
  <c r="T186" i="6"/>
  <c r="S186" i="6"/>
  <c r="R186" i="6"/>
  <c r="Q186" i="6"/>
  <c r="P186" i="6"/>
  <c r="O186" i="6"/>
  <c r="N186" i="6"/>
  <c r="M186" i="6"/>
  <c r="K186" i="6"/>
  <c r="L186" i="6" s="1"/>
  <c r="J186" i="6"/>
  <c r="V185" i="6"/>
  <c r="U185" i="6"/>
  <c r="T185" i="6"/>
  <c r="S185" i="6"/>
  <c r="R185" i="6"/>
  <c r="Q185" i="6"/>
  <c r="P185" i="6"/>
  <c r="O185" i="6"/>
  <c r="N185" i="6"/>
  <c r="L185" i="6"/>
  <c r="K185" i="6"/>
  <c r="M185" i="6" s="1"/>
  <c r="J185" i="6"/>
  <c r="V184" i="6"/>
  <c r="U184" i="6"/>
  <c r="T184" i="6"/>
  <c r="S184" i="6"/>
  <c r="R184" i="6"/>
  <c r="Q184" i="6"/>
  <c r="P184" i="6"/>
  <c r="O184" i="6"/>
  <c r="N184" i="6"/>
  <c r="L184" i="6"/>
  <c r="K184" i="6"/>
  <c r="M184" i="6" s="1"/>
  <c r="J184" i="6"/>
  <c r="V183" i="6"/>
  <c r="U183" i="6"/>
  <c r="T183" i="6"/>
  <c r="S183" i="6"/>
  <c r="R183" i="6"/>
  <c r="Q183" i="6"/>
  <c r="P183" i="6"/>
  <c r="O183" i="6"/>
  <c r="N183" i="6"/>
  <c r="M183" i="6"/>
  <c r="L183" i="6"/>
  <c r="K183" i="6"/>
  <c r="J183" i="6"/>
  <c r="V182" i="6"/>
  <c r="U182" i="6"/>
  <c r="T182" i="6"/>
  <c r="S182" i="6"/>
  <c r="R182" i="6"/>
  <c r="Q182" i="6"/>
  <c r="P182" i="6"/>
  <c r="O182" i="6"/>
  <c r="N182" i="6"/>
  <c r="M182" i="6"/>
  <c r="L182" i="6"/>
  <c r="K182" i="6"/>
  <c r="J182" i="6"/>
  <c r="V181" i="6"/>
  <c r="U181" i="6"/>
  <c r="T181" i="6"/>
  <c r="S181" i="6"/>
  <c r="R181" i="6"/>
  <c r="Q181" i="6"/>
  <c r="P181" i="6"/>
  <c r="O181" i="6"/>
  <c r="N181" i="6"/>
  <c r="K181" i="6"/>
  <c r="J181" i="6"/>
  <c r="V180" i="6"/>
  <c r="U180" i="6"/>
  <c r="T180" i="6"/>
  <c r="S180" i="6"/>
  <c r="R180" i="6"/>
  <c r="Q180" i="6"/>
  <c r="P180" i="6"/>
  <c r="O180" i="6"/>
  <c r="N180" i="6"/>
  <c r="M180" i="6"/>
  <c r="L180" i="6"/>
  <c r="K180" i="6"/>
  <c r="J180" i="6"/>
  <c r="V179" i="6"/>
  <c r="U179" i="6"/>
  <c r="T179" i="6"/>
  <c r="S179" i="6"/>
  <c r="R179" i="6"/>
  <c r="Q179" i="6"/>
  <c r="P179" i="6"/>
  <c r="O179" i="6"/>
  <c r="N179" i="6"/>
  <c r="K179" i="6"/>
  <c r="M179" i="6" s="1"/>
  <c r="J179" i="6"/>
  <c r="V178" i="6"/>
  <c r="U178" i="6"/>
  <c r="T178" i="6"/>
  <c r="S178" i="6"/>
  <c r="R178" i="6"/>
  <c r="Q178" i="6"/>
  <c r="P178" i="6"/>
  <c r="O178" i="6"/>
  <c r="N178" i="6"/>
  <c r="K178" i="6"/>
  <c r="L178" i="6" s="1"/>
  <c r="J178" i="6"/>
  <c r="V177" i="6"/>
  <c r="U177" i="6"/>
  <c r="T177" i="6"/>
  <c r="S177" i="6"/>
  <c r="R177" i="6"/>
  <c r="Q177" i="6"/>
  <c r="P177" i="6"/>
  <c r="O177" i="6"/>
  <c r="N177" i="6"/>
  <c r="L177" i="6"/>
  <c r="K177" i="6"/>
  <c r="M177" i="6" s="1"/>
  <c r="J177" i="6"/>
  <c r="V176" i="6"/>
  <c r="U176" i="6"/>
  <c r="T176" i="6"/>
  <c r="S176" i="6"/>
  <c r="R176" i="6"/>
  <c r="Q176" i="6"/>
  <c r="P176" i="6"/>
  <c r="O176" i="6"/>
  <c r="N176" i="6"/>
  <c r="M176" i="6"/>
  <c r="K176" i="6"/>
  <c r="L176" i="6" s="1"/>
  <c r="J176" i="6"/>
  <c r="V175" i="6"/>
  <c r="U175" i="6"/>
  <c r="T175" i="6"/>
  <c r="S175" i="6"/>
  <c r="R175" i="6"/>
  <c r="Q175" i="6"/>
  <c r="P175" i="6"/>
  <c r="O175" i="6"/>
  <c r="N175" i="6"/>
  <c r="M175" i="6"/>
  <c r="L175" i="6"/>
  <c r="K175" i="6"/>
  <c r="J175" i="6"/>
  <c r="V174" i="6"/>
  <c r="U174" i="6"/>
  <c r="T174" i="6"/>
  <c r="S174" i="6"/>
  <c r="R174" i="6"/>
  <c r="Q174" i="6"/>
  <c r="P174" i="6"/>
  <c r="O174" i="6"/>
  <c r="N174" i="6"/>
  <c r="K174" i="6"/>
  <c r="M174" i="6" s="1"/>
  <c r="J174" i="6"/>
  <c r="V173" i="6"/>
  <c r="U173" i="6"/>
  <c r="T173" i="6"/>
  <c r="S173" i="6"/>
  <c r="R173" i="6"/>
  <c r="Q173" i="6"/>
  <c r="P173" i="6"/>
  <c r="O173" i="6"/>
  <c r="N173" i="6"/>
  <c r="K173" i="6"/>
  <c r="M173" i="6" s="1"/>
  <c r="J173" i="6"/>
  <c r="V172" i="6"/>
  <c r="U172" i="6"/>
  <c r="T172" i="6"/>
  <c r="S172" i="6"/>
  <c r="R172" i="6"/>
  <c r="Q172" i="6"/>
  <c r="P172" i="6"/>
  <c r="O172" i="6"/>
  <c r="N172" i="6"/>
  <c r="L172" i="6"/>
  <c r="K172" i="6"/>
  <c r="M172" i="6" s="1"/>
  <c r="J172" i="6"/>
  <c r="V171" i="6"/>
  <c r="U171" i="6"/>
  <c r="T171" i="6"/>
  <c r="S171" i="6"/>
  <c r="R171" i="6"/>
  <c r="Q171" i="6"/>
  <c r="P171" i="6"/>
  <c r="O171" i="6"/>
  <c r="N171" i="6"/>
  <c r="M171" i="6"/>
  <c r="K171" i="6"/>
  <c r="L171" i="6" s="1"/>
  <c r="J171" i="6"/>
  <c r="V170" i="6"/>
  <c r="U170" i="6"/>
  <c r="T170" i="6"/>
  <c r="S170" i="6"/>
  <c r="R170" i="6"/>
  <c r="Q170" i="6"/>
  <c r="P170" i="6"/>
  <c r="O170" i="6"/>
  <c r="N170" i="6"/>
  <c r="M170" i="6"/>
  <c r="K170" i="6"/>
  <c r="L170" i="6" s="1"/>
  <c r="J170" i="6"/>
  <c r="V169" i="6"/>
  <c r="U169" i="6"/>
  <c r="T169" i="6"/>
  <c r="S169" i="6"/>
  <c r="R169" i="6"/>
  <c r="Q169" i="6"/>
  <c r="P169" i="6"/>
  <c r="O169" i="6"/>
  <c r="N169" i="6"/>
  <c r="L169" i="6"/>
  <c r="K169" i="6"/>
  <c r="M169" i="6" s="1"/>
  <c r="J169" i="6"/>
  <c r="V168" i="6"/>
  <c r="U168" i="6"/>
  <c r="T168" i="6"/>
  <c r="S168" i="6"/>
  <c r="R168" i="6"/>
  <c r="Q168" i="6"/>
  <c r="P168" i="6"/>
  <c r="O168" i="6"/>
  <c r="N168" i="6"/>
  <c r="K168" i="6"/>
  <c r="M168" i="6" s="1"/>
  <c r="J168" i="6"/>
  <c r="V167" i="6"/>
  <c r="U167" i="6"/>
  <c r="T167" i="6"/>
  <c r="S167" i="6"/>
  <c r="R167" i="6"/>
  <c r="Q167" i="6"/>
  <c r="P167" i="6"/>
  <c r="O167" i="6"/>
  <c r="N167" i="6"/>
  <c r="M167" i="6"/>
  <c r="L167" i="6"/>
  <c r="K167" i="6"/>
  <c r="J167" i="6"/>
  <c r="V166" i="6"/>
  <c r="U166" i="6"/>
  <c r="T166" i="6"/>
  <c r="S166" i="6"/>
  <c r="R166" i="6"/>
  <c r="Q166" i="6"/>
  <c r="P166" i="6"/>
  <c r="O166" i="6"/>
  <c r="N166" i="6"/>
  <c r="M166" i="6"/>
  <c r="K166" i="6"/>
  <c r="L166" i="6" s="1"/>
  <c r="J166" i="6"/>
  <c r="V165" i="6"/>
  <c r="U165" i="6"/>
  <c r="T165" i="6"/>
  <c r="S165" i="6"/>
  <c r="R165" i="6"/>
  <c r="Q165" i="6"/>
  <c r="P165" i="6"/>
  <c r="O165" i="6"/>
  <c r="N165" i="6"/>
  <c r="L165" i="6"/>
  <c r="K165" i="6"/>
  <c r="M165" i="6" s="1"/>
  <c r="J165" i="6"/>
  <c r="V164" i="6"/>
  <c r="U164" i="6"/>
  <c r="T164" i="6"/>
  <c r="S164" i="6"/>
  <c r="R164" i="6"/>
  <c r="Q164" i="6"/>
  <c r="P164" i="6"/>
  <c r="O164" i="6"/>
  <c r="N164" i="6"/>
  <c r="K164" i="6"/>
  <c r="M164" i="6" s="1"/>
  <c r="J164" i="6"/>
  <c r="V163" i="6"/>
  <c r="U163" i="6"/>
  <c r="T163" i="6"/>
  <c r="S163" i="6"/>
  <c r="R163" i="6"/>
  <c r="Q163" i="6"/>
  <c r="P163" i="6"/>
  <c r="O163" i="6"/>
  <c r="N163" i="6"/>
  <c r="K163" i="6"/>
  <c r="M163" i="6" s="1"/>
  <c r="J163" i="6"/>
  <c r="V162" i="6"/>
  <c r="U162" i="6"/>
  <c r="T162" i="6"/>
  <c r="S162" i="6"/>
  <c r="R162" i="6"/>
  <c r="Q162" i="6"/>
  <c r="P162" i="6"/>
  <c r="O162" i="6"/>
  <c r="N162" i="6"/>
  <c r="L162" i="6"/>
  <c r="K162" i="6"/>
  <c r="M162" i="6" s="1"/>
  <c r="J162" i="6"/>
  <c r="V161" i="6"/>
  <c r="U161" i="6"/>
  <c r="T161" i="6"/>
  <c r="S161" i="6"/>
  <c r="R161" i="6"/>
  <c r="Q161" i="6"/>
  <c r="P161" i="6"/>
  <c r="O161" i="6"/>
  <c r="N161" i="6"/>
  <c r="M161" i="6"/>
  <c r="K161" i="6"/>
  <c r="L161" i="6" s="1"/>
  <c r="J161" i="6"/>
  <c r="V160" i="6"/>
  <c r="U160" i="6"/>
  <c r="T160" i="6"/>
  <c r="S160" i="6"/>
  <c r="R160" i="6"/>
  <c r="Q160" i="6"/>
  <c r="P160" i="6"/>
  <c r="O160" i="6"/>
  <c r="N160" i="6"/>
  <c r="M160" i="6"/>
  <c r="L160" i="6"/>
  <c r="K160" i="6"/>
  <c r="J160" i="6"/>
  <c r="V159" i="6"/>
  <c r="U159" i="6"/>
  <c r="T159" i="6"/>
  <c r="S159" i="6"/>
  <c r="R159" i="6"/>
  <c r="Q159" i="6"/>
  <c r="P159" i="6"/>
  <c r="O159" i="6"/>
  <c r="N159" i="6"/>
  <c r="K159" i="6"/>
  <c r="M159" i="6" s="1"/>
  <c r="J159" i="6"/>
  <c r="V158" i="6"/>
  <c r="U158" i="6"/>
  <c r="T158" i="6"/>
  <c r="S158" i="6"/>
  <c r="R158" i="6"/>
  <c r="Q158" i="6"/>
  <c r="P158" i="6"/>
  <c r="O158" i="6"/>
  <c r="N158" i="6"/>
  <c r="L158" i="6"/>
  <c r="K158" i="6"/>
  <c r="M158" i="6" s="1"/>
  <c r="J158" i="6"/>
  <c r="V157" i="6"/>
  <c r="U157" i="6"/>
  <c r="T157" i="6"/>
  <c r="S157" i="6"/>
  <c r="R157" i="6"/>
  <c r="Q157" i="6"/>
  <c r="P157" i="6"/>
  <c r="O157" i="6"/>
  <c r="N157" i="6"/>
  <c r="M157" i="6"/>
  <c r="L157" i="6"/>
  <c r="K157" i="6"/>
  <c r="J157" i="6"/>
  <c r="V156" i="6"/>
  <c r="U156" i="6"/>
  <c r="T156" i="6"/>
  <c r="S156" i="6"/>
  <c r="R156" i="6"/>
  <c r="Q156" i="6"/>
  <c r="P156" i="6"/>
  <c r="O156" i="6"/>
  <c r="N156" i="6"/>
  <c r="K156" i="6"/>
  <c r="M156" i="6" s="1"/>
  <c r="J156" i="6"/>
  <c r="V155" i="6"/>
  <c r="U155" i="6"/>
  <c r="T155" i="6"/>
  <c r="S155" i="6"/>
  <c r="R155" i="6"/>
  <c r="Q155" i="6"/>
  <c r="P155" i="6"/>
  <c r="O155" i="6"/>
  <c r="N155" i="6"/>
  <c r="K155" i="6"/>
  <c r="M155" i="6" s="1"/>
  <c r="J155" i="6"/>
  <c r="V154" i="6"/>
  <c r="U154" i="6"/>
  <c r="T154" i="6"/>
  <c r="S154" i="6"/>
  <c r="R154" i="6"/>
  <c r="Q154" i="6"/>
  <c r="P154" i="6"/>
  <c r="O154" i="6"/>
  <c r="N154" i="6"/>
  <c r="L154" i="6"/>
  <c r="K154" i="6"/>
  <c r="M154" i="6" s="1"/>
  <c r="J154" i="6"/>
  <c r="V153" i="6"/>
  <c r="U153" i="6"/>
  <c r="T153" i="6"/>
  <c r="S153" i="6"/>
  <c r="R153" i="6"/>
  <c r="Q153" i="6"/>
  <c r="P153" i="6"/>
  <c r="O153" i="6"/>
  <c r="N153" i="6"/>
  <c r="M153" i="6"/>
  <c r="K153" i="6"/>
  <c r="L153" i="6" s="1"/>
  <c r="J153" i="6"/>
  <c r="V152" i="6"/>
  <c r="U152" i="6"/>
  <c r="T152" i="6"/>
  <c r="S152" i="6"/>
  <c r="R152" i="6"/>
  <c r="Q152" i="6"/>
  <c r="P152" i="6"/>
  <c r="O152" i="6"/>
  <c r="N152" i="6"/>
  <c r="M152" i="6"/>
  <c r="L152" i="6"/>
  <c r="K152" i="6"/>
  <c r="J152" i="6"/>
  <c r="V151" i="6"/>
  <c r="U151" i="6"/>
  <c r="T151" i="6"/>
  <c r="S151" i="6"/>
  <c r="R151" i="6"/>
  <c r="Q151" i="6"/>
  <c r="P151" i="6"/>
  <c r="O151" i="6"/>
  <c r="N151" i="6"/>
  <c r="K151" i="6"/>
  <c r="M151" i="6" s="1"/>
  <c r="J151" i="6"/>
  <c r="V150" i="6"/>
  <c r="U150" i="6"/>
  <c r="T150" i="6"/>
  <c r="S150" i="6"/>
  <c r="R150" i="6"/>
  <c r="Q150" i="6"/>
  <c r="P150" i="6"/>
  <c r="O150" i="6"/>
  <c r="N150" i="6"/>
  <c r="L150" i="6"/>
  <c r="K150" i="6"/>
  <c r="M150" i="6" s="1"/>
  <c r="J150" i="6"/>
  <c r="V149" i="6"/>
  <c r="U149" i="6"/>
  <c r="T149" i="6"/>
  <c r="S149" i="6"/>
  <c r="R149" i="6"/>
  <c r="Q149" i="6"/>
  <c r="P149" i="6"/>
  <c r="O149" i="6"/>
  <c r="N149" i="6"/>
  <c r="M149" i="6"/>
  <c r="L149" i="6"/>
  <c r="K149" i="6"/>
  <c r="J149" i="6"/>
  <c r="V148" i="6"/>
  <c r="U148" i="6"/>
  <c r="T148" i="6"/>
  <c r="S148" i="6"/>
  <c r="R148" i="6"/>
  <c r="Q148" i="6"/>
  <c r="P148" i="6"/>
  <c r="O148" i="6"/>
  <c r="N148" i="6"/>
  <c r="L148" i="6"/>
  <c r="K148" i="6"/>
  <c r="M148" i="6" s="1"/>
  <c r="J148" i="6"/>
  <c r="V147" i="6"/>
  <c r="U147" i="6"/>
  <c r="T147" i="6"/>
  <c r="S147" i="6"/>
  <c r="R147" i="6"/>
  <c r="Q147" i="6"/>
  <c r="P147" i="6"/>
  <c r="O147" i="6"/>
  <c r="N147" i="6"/>
  <c r="K147" i="6"/>
  <c r="M147" i="6" s="1"/>
  <c r="J147" i="6"/>
  <c r="V146" i="6"/>
  <c r="U146" i="6"/>
  <c r="T146" i="6"/>
  <c r="S146" i="6"/>
  <c r="R146" i="6"/>
  <c r="Q146" i="6"/>
  <c r="P146" i="6"/>
  <c r="O146" i="6"/>
  <c r="N146" i="6"/>
  <c r="L146" i="6"/>
  <c r="K146" i="6"/>
  <c r="M146" i="6" s="1"/>
  <c r="J146" i="6"/>
  <c r="V145" i="6"/>
  <c r="U145" i="6"/>
  <c r="T145" i="6"/>
  <c r="S145" i="6"/>
  <c r="R145" i="6"/>
  <c r="Q145" i="6"/>
  <c r="P145" i="6"/>
  <c r="O145" i="6"/>
  <c r="N145" i="6"/>
  <c r="M145" i="6"/>
  <c r="K145" i="6"/>
  <c r="L145" i="6" s="1"/>
  <c r="J145" i="6"/>
  <c r="V144" i="6"/>
  <c r="U144" i="6"/>
  <c r="T144" i="6"/>
  <c r="S144" i="6"/>
  <c r="R144" i="6"/>
  <c r="Q144" i="6"/>
  <c r="P144" i="6"/>
  <c r="O144" i="6"/>
  <c r="N144" i="6"/>
  <c r="M144" i="6"/>
  <c r="L144" i="6"/>
  <c r="K144" i="6"/>
  <c r="J144" i="6"/>
  <c r="V143" i="6"/>
  <c r="U143" i="6"/>
  <c r="T143" i="6"/>
  <c r="S143" i="6"/>
  <c r="R143" i="6"/>
  <c r="Q143" i="6"/>
  <c r="P143" i="6"/>
  <c r="O143" i="6"/>
  <c r="N143" i="6"/>
  <c r="K143" i="6"/>
  <c r="M143" i="6" s="1"/>
  <c r="J143" i="6"/>
  <c r="V142" i="6"/>
  <c r="U142" i="6"/>
  <c r="T142" i="6"/>
  <c r="S142" i="6"/>
  <c r="R142" i="6"/>
  <c r="Q142" i="6"/>
  <c r="P142" i="6"/>
  <c r="O142" i="6"/>
  <c r="N142" i="6"/>
  <c r="L142" i="6"/>
  <c r="K142" i="6"/>
  <c r="M142" i="6" s="1"/>
  <c r="J142" i="6"/>
  <c r="V141" i="6"/>
  <c r="U141" i="6"/>
  <c r="T141" i="6"/>
  <c r="S141" i="6"/>
  <c r="R141" i="6"/>
  <c r="Q141" i="6"/>
  <c r="P141" i="6"/>
  <c r="O141" i="6"/>
  <c r="N141" i="6"/>
  <c r="M141" i="6"/>
  <c r="L141" i="6"/>
  <c r="K141" i="6"/>
  <c r="J141" i="6"/>
  <c r="V140" i="6"/>
  <c r="U140" i="6"/>
  <c r="T140" i="6"/>
  <c r="S140" i="6"/>
  <c r="R140" i="6"/>
  <c r="Q140" i="6"/>
  <c r="P140" i="6"/>
  <c r="O140" i="6"/>
  <c r="N140" i="6"/>
  <c r="L140" i="6"/>
  <c r="K140" i="6"/>
  <c r="M140" i="6" s="1"/>
  <c r="J140" i="6"/>
  <c r="V139" i="6"/>
  <c r="U139" i="6"/>
  <c r="T139" i="6"/>
  <c r="S139" i="6"/>
  <c r="R139" i="6"/>
  <c r="Q139" i="6"/>
  <c r="P139" i="6"/>
  <c r="O139" i="6"/>
  <c r="N139" i="6"/>
  <c r="K139" i="6"/>
  <c r="M139" i="6" s="1"/>
  <c r="J139" i="6"/>
  <c r="V138" i="6"/>
  <c r="U138" i="6"/>
  <c r="T138" i="6"/>
  <c r="S138" i="6"/>
  <c r="R138" i="6"/>
  <c r="Q138" i="6"/>
  <c r="P138" i="6"/>
  <c r="O138" i="6"/>
  <c r="N138" i="6"/>
  <c r="L138" i="6"/>
  <c r="K138" i="6"/>
  <c r="M138" i="6" s="1"/>
  <c r="J138" i="6"/>
  <c r="V137" i="6"/>
  <c r="U137" i="6"/>
  <c r="T137" i="6"/>
  <c r="S137" i="6"/>
  <c r="R137" i="6"/>
  <c r="Q137" i="6"/>
  <c r="P137" i="6"/>
  <c r="O137" i="6"/>
  <c r="N137" i="6"/>
  <c r="M137" i="6"/>
  <c r="K137" i="6"/>
  <c r="L137" i="6" s="1"/>
  <c r="J137" i="6"/>
  <c r="V136" i="6"/>
  <c r="U136" i="6"/>
  <c r="T136" i="6"/>
  <c r="S136" i="6"/>
  <c r="R136" i="6"/>
  <c r="Q136" i="6"/>
  <c r="P136" i="6"/>
  <c r="O136" i="6"/>
  <c r="N136" i="6"/>
  <c r="M136" i="6"/>
  <c r="L136" i="6"/>
  <c r="K136" i="6"/>
  <c r="J136" i="6"/>
  <c r="V135" i="6"/>
  <c r="U135" i="6"/>
  <c r="T135" i="6"/>
  <c r="S135" i="6"/>
  <c r="R135" i="6"/>
  <c r="Q135" i="6"/>
  <c r="P135" i="6"/>
  <c r="O135" i="6"/>
  <c r="N135" i="6"/>
  <c r="K135" i="6"/>
  <c r="M135" i="6" s="1"/>
  <c r="J135" i="6"/>
  <c r="V134" i="6"/>
  <c r="U134" i="6"/>
  <c r="T134" i="6"/>
  <c r="S134" i="6"/>
  <c r="R134" i="6"/>
  <c r="Q134" i="6"/>
  <c r="P134" i="6"/>
  <c r="O134" i="6"/>
  <c r="N134" i="6"/>
  <c r="L134" i="6"/>
  <c r="K134" i="6"/>
  <c r="M134" i="6" s="1"/>
  <c r="J134" i="6"/>
  <c r="V133" i="6"/>
  <c r="U133" i="6"/>
  <c r="T133" i="6"/>
  <c r="S133" i="6"/>
  <c r="R133" i="6"/>
  <c r="Q133" i="6"/>
  <c r="P133" i="6"/>
  <c r="O133" i="6"/>
  <c r="N133" i="6"/>
  <c r="M133" i="6"/>
  <c r="L133" i="6"/>
  <c r="K133" i="6"/>
  <c r="J133" i="6"/>
  <c r="V132" i="6"/>
  <c r="U132" i="6"/>
  <c r="T132" i="6"/>
  <c r="S132" i="6"/>
  <c r="R132" i="6"/>
  <c r="Q132" i="6"/>
  <c r="P132" i="6"/>
  <c r="O132" i="6"/>
  <c r="N132" i="6"/>
  <c r="L132" i="6"/>
  <c r="K132" i="6"/>
  <c r="M132" i="6" s="1"/>
  <c r="J132" i="6"/>
  <c r="V131" i="6"/>
  <c r="U131" i="6"/>
  <c r="T131" i="6"/>
  <c r="S131" i="6"/>
  <c r="R131" i="6"/>
  <c r="Q131" i="6"/>
  <c r="P131" i="6"/>
  <c r="O131" i="6"/>
  <c r="N131" i="6"/>
  <c r="K131" i="6"/>
  <c r="M131" i="6" s="1"/>
  <c r="J131" i="6"/>
  <c r="V130" i="6"/>
  <c r="U130" i="6"/>
  <c r="T130" i="6"/>
  <c r="S130" i="6"/>
  <c r="R130" i="6"/>
  <c r="Q130" i="6"/>
  <c r="P130" i="6"/>
  <c r="O130" i="6"/>
  <c r="N130" i="6"/>
  <c r="L130" i="6"/>
  <c r="K130" i="6"/>
  <c r="M130" i="6" s="1"/>
  <c r="J130" i="6"/>
  <c r="V129" i="6"/>
  <c r="U129" i="6"/>
  <c r="T129" i="6"/>
  <c r="S129" i="6"/>
  <c r="R129" i="6"/>
  <c r="Q129" i="6"/>
  <c r="P129" i="6"/>
  <c r="O129" i="6"/>
  <c r="N129" i="6"/>
  <c r="M129" i="6"/>
  <c r="K129" i="6"/>
  <c r="L129" i="6" s="1"/>
  <c r="J129" i="6"/>
  <c r="V128" i="6"/>
  <c r="U128" i="6"/>
  <c r="T128" i="6"/>
  <c r="S128" i="6"/>
  <c r="R128" i="6"/>
  <c r="Q128" i="6"/>
  <c r="P128" i="6"/>
  <c r="O128" i="6"/>
  <c r="N128" i="6"/>
  <c r="M128" i="6"/>
  <c r="L128" i="6"/>
  <c r="K128" i="6"/>
  <c r="J128" i="6"/>
  <c r="V127" i="6"/>
  <c r="U127" i="6"/>
  <c r="T127" i="6"/>
  <c r="S127" i="6"/>
  <c r="R127" i="6"/>
  <c r="Q127" i="6"/>
  <c r="P127" i="6"/>
  <c r="O127" i="6"/>
  <c r="N127" i="6"/>
  <c r="K127" i="6"/>
  <c r="M127" i="6" s="1"/>
  <c r="J127" i="6"/>
  <c r="V126" i="6"/>
  <c r="U126" i="6"/>
  <c r="T126" i="6"/>
  <c r="S126" i="6"/>
  <c r="R126" i="6"/>
  <c r="Q126" i="6"/>
  <c r="P126" i="6"/>
  <c r="O126" i="6"/>
  <c r="N126" i="6"/>
  <c r="L126" i="6"/>
  <c r="K126" i="6"/>
  <c r="M126" i="6" s="1"/>
  <c r="J126" i="6"/>
  <c r="V125" i="6"/>
  <c r="U125" i="6"/>
  <c r="T125" i="6"/>
  <c r="S125" i="6"/>
  <c r="R125" i="6"/>
  <c r="Q125" i="6"/>
  <c r="P125" i="6"/>
  <c r="O125" i="6"/>
  <c r="N125" i="6"/>
  <c r="M125" i="6"/>
  <c r="L125" i="6"/>
  <c r="K125" i="6"/>
  <c r="J125" i="6"/>
  <c r="V124" i="6"/>
  <c r="U124" i="6"/>
  <c r="T124" i="6"/>
  <c r="S124" i="6"/>
  <c r="R124" i="6"/>
  <c r="Q124" i="6"/>
  <c r="P124" i="6"/>
  <c r="O124" i="6"/>
  <c r="N124" i="6"/>
  <c r="L124" i="6"/>
  <c r="K124" i="6"/>
  <c r="M124" i="6" s="1"/>
  <c r="J124" i="6"/>
  <c r="V123" i="6"/>
  <c r="U123" i="6"/>
  <c r="T123" i="6"/>
  <c r="S123" i="6"/>
  <c r="R123" i="6"/>
  <c r="Q123" i="6"/>
  <c r="P123" i="6"/>
  <c r="O123" i="6"/>
  <c r="N123" i="6"/>
  <c r="K123" i="6"/>
  <c r="M123" i="6" s="1"/>
  <c r="J123" i="6"/>
  <c r="V122" i="6"/>
  <c r="U122" i="6"/>
  <c r="T122" i="6"/>
  <c r="S122" i="6"/>
  <c r="R122" i="6"/>
  <c r="Q122" i="6"/>
  <c r="P122" i="6"/>
  <c r="O122" i="6"/>
  <c r="N122" i="6"/>
  <c r="L122" i="6"/>
  <c r="K122" i="6"/>
  <c r="M122" i="6" s="1"/>
  <c r="J122" i="6"/>
  <c r="V121" i="6"/>
  <c r="U121" i="6"/>
  <c r="T121" i="6"/>
  <c r="S121" i="6"/>
  <c r="R121" i="6"/>
  <c r="Q121" i="6"/>
  <c r="P121" i="6"/>
  <c r="O121" i="6"/>
  <c r="N121" i="6"/>
  <c r="M121" i="6"/>
  <c r="K121" i="6"/>
  <c r="L121" i="6" s="1"/>
  <c r="J121" i="6"/>
  <c r="V120" i="6"/>
  <c r="U120" i="6"/>
  <c r="T120" i="6"/>
  <c r="S120" i="6"/>
  <c r="R120" i="6"/>
  <c r="Q120" i="6"/>
  <c r="P120" i="6"/>
  <c r="O120" i="6"/>
  <c r="N120" i="6"/>
  <c r="M120" i="6"/>
  <c r="L120" i="6"/>
  <c r="K120" i="6"/>
  <c r="J120" i="6"/>
  <c r="V119" i="6"/>
  <c r="U119" i="6"/>
  <c r="T119" i="6"/>
  <c r="S119" i="6"/>
  <c r="R119" i="6"/>
  <c r="Q119" i="6"/>
  <c r="P119" i="6"/>
  <c r="O119" i="6"/>
  <c r="N119" i="6"/>
  <c r="K119" i="6"/>
  <c r="M119" i="6" s="1"/>
  <c r="J119" i="6"/>
  <c r="V118" i="6"/>
  <c r="U118" i="6"/>
  <c r="T118" i="6"/>
  <c r="S118" i="6"/>
  <c r="R118" i="6"/>
  <c r="Q118" i="6"/>
  <c r="P118" i="6"/>
  <c r="O118" i="6"/>
  <c r="N118" i="6"/>
  <c r="L118" i="6"/>
  <c r="K118" i="6"/>
  <c r="M118" i="6" s="1"/>
  <c r="J118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V116" i="6"/>
  <c r="U116" i="6"/>
  <c r="T116" i="6"/>
  <c r="S116" i="6"/>
  <c r="R116" i="6"/>
  <c r="Q116" i="6"/>
  <c r="P116" i="6"/>
  <c r="O116" i="6"/>
  <c r="N116" i="6"/>
  <c r="L116" i="6"/>
  <c r="K116" i="6"/>
  <c r="M116" i="6" s="1"/>
  <c r="J116" i="6"/>
  <c r="V115" i="6"/>
  <c r="U115" i="6"/>
  <c r="T115" i="6"/>
  <c r="S115" i="6"/>
  <c r="R115" i="6"/>
  <c r="Q115" i="6"/>
  <c r="P115" i="6"/>
  <c r="O115" i="6"/>
  <c r="N115" i="6"/>
  <c r="K115" i="6"/>
  <c r="M115" i="6" s="1"/>
  <c r="J115" i="6"/>
  <c r="V114" i="6"/>
  <c r="U114" i="6"/>
  <c r="T114" i="6"/>
  <c r="S114" i="6"/>
  <c r="R114" i="6"/>
  <c r="Q114" i="6"/>
  <c r="P114" i="6"/>
  <c r="O114" i="6"/>
  <c r="N114" i="6"/>
  <c r="L114" i="6"/>
  <c r="K114" i="6"/>
  <c r="M114" i="6" s="1"/>
  <c r="J114" i="6"/>
  <c r="V113" i="6"/>
  <c r="U113" i="6"/>
  <c r="T113" i="6"/>
  <c r="S113" i="6"/>
  <c r="R113" i="6"/>
  <c r="Q113" i="6"/>
  <c r="P113" i="6"/>
  <c r="O113" i="6"/>
  <c r="N113" i="6"/>
  <c r="M113" i="6"/>
  <c r="K113" i="6"/>
  <c r="L113" i="6" s="1"/>
  <c r="J113" i="6"/>
  <c r="V112" i="6"/>
  <c r="U112" i="6"/>
  <c r="T112" i="6"/>
  <c r="S112" i="6"/>
  <c r="R112" i="6"/>
  <c r="Q112" i="6"/>
  <c r="P112" i="6"/>
  <c r="O112" i="6"/>
  <c r="N112" i="6"/>
  <c r="M112" i="6"/>
  <c r="L112" i="6"/>
  <c r="K112" i="6"/>
  <c r="J112" i="6"/>
  <c r="V111" i="6"/>
  <c r="U111" i="6"/>
  <c r="T111" i="6"/>
  <c r="S111" i="6"/>
  <c r="R111" i="6"/>
  <c r="Q111" i="6"/>
  <c r="P111" i="6"/>
  <c r="O111" i="6"/>
  <c r="N111" i="6"/>
  <c r="K111" i="6"/>
  <c r="M111" i="6" s="1"/>
  <c r="J111" i="6"/>
  <c r="V110" i="6"/>
  <c r="U110" i="6"/>
  <c r="T110" i="6"/>
  <c r="S110" i="6"/>
  <c r="R110" i="6"/>
  <c r="Q110" i="6"/>
  <c r="P110" i="6"/>
  <c r="O110" i="6"/>
  <c r="N110" i="6"/>
  <c r="L110" i="6"/>
  <c r="K110" i="6"/>
  <c r="M110" i="6" s="1"/>
  <c r="J110" i="6"/>
  <c r="V109" i="6"/>
  <c r="U109" i="6"/>
  <c r="T109" i="6"/>
  <c r="S109" i="6"/>
  <c r="R109" i="6"/>
  <c r="Q109" i="6"/>
  <c r="P109" i="6"/>
  <c r="O109" i="6"/>
  <c r="N109" i="6"/>
  <c r="M109" i="6"/>
  <c r="L109" i="6"/>
  <c r="K109" i="6"/>
  <c r="J109" i="6"/>
  <c r="V108" i="6"/>
  <c r="U108" i="6"/>
  <c r="T108" i="6"/>
  <c r="S108" i="6"/>
  <c r="R108" i="6"/>
  <c r="Q108" i="6"/>
  <c r="P108" i="6"/>
  <c r="O108" i="6"/>
  <c r="N108" i="6"/>
  <c r="L108" i="6"/>
  <c r="K108" i="6"/>
  <c r="M108" i="6" s="1"/>
  <c r="J108" i="6"/>
  <c r="V107" i="6"/>
  <c r="U107" i="6"/>
  <c r="T107" i="6"/>
  <c r="S107" i="6"/>
  <c r="R107" i="6"/>
  <c r="Q107" i="6"/>
  <c r="P107" i="6"/>
  <c r="O107" i="6"/>
  <c r="N107" i="6"/>
  <c r="K107" i="6"/>
  <c r="M107" i="6" s="1"/>
  <c r="J107" i="6"/>
  <c r="V106" i="6"/>
  <c r="U106" i="6"/>
  <c r="T106" i="6"/>
  <c r="S106" i="6"/>
  <c r="R106" i="6"/>
  <c r="Q106" i="6"/>
  <c r="P106" i="6"/>
  <c r="O106" i="6"/>
  <c r="N106" i="6"/>
  <c r="L106" i="6"/>
  <c r="K106" i="6"/>
  <c r="M106" i="6" s="1"/>
  <c r="J106" i="6"/>
  <c r="V105" i="6"/>
  <c r="U105" i="6"/>
  <c r="T105" i="6"/>
  <c r="S105" i="6"/>
  <c r="R105" i="6"/>
  <c r="Q105" i="6"/>
  <c r="P105" i="6"/>
  <c r="O105" i="6"/>
  <c r="N105" i="6"/>
  <c r="M105" i="6"/>
  <c r="K105" i="6"/>
  <c r="L105" i="6" s="1"/>
  <c r="J105" i="6"/>
  <c r="V104" i="6"/>
  <c r="U104" i="6"/>
  <c r="T104" i="6"/>
  <c r="S104" i="6"/>
  <c r="R104" i="6"/>
  <c r="Q104" i="6"/>
  <c r="P104" i="6"/>
  <c r="O104" i="6"/>
  <c r="N104" i="6"/>
  <c r="M104" i="6"/>
  <c r="L104" i="6"/>
  <c r="K104" i="6"/>
  <c r="J104" i="6"/>
  <c r="V103" i="6"/>
  <c r="U103" i="6"/>
  <c r="T103" i="6"/>
  <c r="S103" i="6"/>
  <c r="R103" i="6"/>
  <c r="Q103" i="6"/>
  <c r="P103" i="6"/>
  <c r="O103" i="6"/>
  <c r="N103" i="6"/>
  <c r="K103" i="6"/>
  <c r="M103" i="6" s="1"/>
  <c r="J103" i="6"/>
  <c r="V102" i="6"/>
  <c r="U102" i="6"/>
  <c r="T102" i="6"/>
  <c r="S102" i="6"/>
  <c r="R102" i="6"/>
  <c r="Q102" i="6"/>
  <c r="P102" i="6"/>
  <c r="O102" i="6"/>
  <c r="N102" i="6"/>
  <c r="M102" i="6"/>
  <c r="L102" i="6"/>
  <c r="K102" i="6"/>
  <c r="J102" i="6"/>
  <c r="V101" i="6"/>
  <c r="U101" i="6"/>
  <c r="T101" i="6"/>
  <c r="S101" i="6"/>
  <c r="R101" i="6"/>
  <c r="Q101" i="6"/>
  <c r="P101" i="6"/>
  <c r="O101" i="6"/>
  <c r="N101" i="6"/>
  <c r="M101" i="6"/>
  <c r="L101" i="6"/>
  <c r="K101" i="6"/>
  <c r="J101" i="6"/>
  <c r="V100" i="6"/>
  <c r="U100" i="6"/>
  <c r="T100" i="6"/>
  <c r="S100" i="6"/>
  <c r="R100" i="6"/>
  <c r="Q100" i="6"/>
  <c r="P100" i="6"/>
  <c r="O100" i="6"/>
  <c r="N100" i="6"/>
  <c r="L100" i="6"/>
  <c r="K100" i="6"/>
  <c r="M100" i="6" s="1"/>
  <c r="J100" i="6"/>
  <c r="V99" i="6"/>
  <c r="U99" i="6"/>
  <c r="T99" i="6"/>
  <c r="S99" i="6"/>
  <c r="R99" i="6"/>
  <c r="Q99" i="6"/>
  <c r="P99" i="6"/>
  <c r="O99" i="6"/>
  <c r="N99" i="6"/>
  <c r="K99" i="6"/>
  <c r="M99" i="6" s="1"/>
  <c r="J99" i="6"/>
  <c r="V98" i="6"/>
  <c r="U98" i="6"/>
  <c r="T98" i="6"/>
  <c r="S98" i="6"/>
  <c r="R98" i="6"/>
  <c r="Q98" i="6"/>
  <c r="P98" i="6"/>
  <c r="O98" i="6"/>
  <c r="N98" i="6"/>
  <c r="L98" i="6"/>
  <c r="K98" i="6"/>
  <c r="M98" i="6" s="1"/>
  <c r="J98" i="6"/>
  <c r="V97" i="6"/>
  <c r="U97" i="6"/>
  <c r="T97" i="6"/>
  <c r="S97" i="6"/>
  <c r="R97" i="6"/>
  <c r="Q97" i="6"/>
  <c r="P97" i="6"/>
  <c r="O97" i="6"/>
  <c r="N97" i="6"/>
  <c r="M97" i="6"/>
  <c r="K97" i="6"/>
  <c r="L97" i="6" s="1"/>
  <c r="J97" i="6"/>
  <c r="V96" i="6"/>
  <c r="U96" i="6"/>
  <c r="T96" i="6"/>
  <c r="S96" i="6"/>
  <c r="R96" i="6"/>
  <c r="Q96" i="6"/>
  <c r="P96" i="6"/>
  <c r="O96" i="6"/>
  <c r="N96" i="6"/>
  <c r="M96" i="6"/>
  <c r="L96" i="6"/>
  <c r="K96" i="6"/>
  <c r="J96" i="6"/>
  <c r="V95" i="6"/>
  <c r="U95" i="6"/>
  <c r="T95" i="6"/>
  <c r="S95" i="6"/>
  <c r="R95" i="6"/>
  <c r="Q95" i="6"/>
  <c r="P95" i="6"/>
  <c r="O95" i="6"/>
  <c r="N95" i="6"/>
  <c r="K95" i="6"/>
  <c r="M95" i="6" s="1"/>
  <c r="J95" i="6"/>
  <c r="V94" i="6"/>
  <c r="U94" i="6"/>
  <c r="T94" i="6"/>
  <c r="S94" i="6"/>
  <c r="R94" i="6"/>
  <c r="Q94" i="6"/>
  <c r="P94" i="6"/>
  <c r="O94" i="6"/>
  <c r="N94" i="6"/>
  <c r="M94" i="6"/>
  <c r="L94" i="6"/>
  <c r="K94" i="6"/>
  <c r="J94" i="6"/>
  <c r="V93" i="6"/>
  <c r="U93" i="6"/>
  <c r="T93" i="6"/>
  <c r="S93" i="6"/>
  <c r="R93" i="6"/>
  <c r="Q93" i="6"/>
  <c r="P93" i="6"/>
  <c r="O93" i="6"/>
  <c r="N93" i="6"/>
  <c r="M93" i="6"/>
  <c r="L93" i="6"/>
  <c r="K93" i="6"/>
  <c r="J93" i="6"/>
  <c r="V92" i="6"/>
  <c r="U92" i="6"/>
  <c r="T92" i="6"/>
  <c r="S92" i="6"/>
  <c r="R92" i="6"/>
  <c r="Q92" i="6"/>
  <c r="P92" i="6"/>
  <c r="O92" i="6"/>
  <c r="N92" i="6"/>
  <c r="L92" i="6"/>
  <c r="K92" i="6"/>
  <c r="M92" i="6" s="1"/>
  <c r="J92" i="6"/>
  <c r="V91" i="6"/>
  <c r="U91" i="6"/>
  <c r="T91" i="6"/>
  <c r="S91" i="6"/>
  <c r="R91" i="6"/>
  <c r="Q91" i="6"/>
  <c r="P91" i="6"/>
  <c r="O91" i="6"/>
  <c r="N91" i="6"/>
  <c r="K91" i="6"/>
  <c r="M91" i="6" s="1"/>
  <c r="J91" i="6"/>
  <c r="V90" i="6"/>
  <c r="U90" i="6"/>
  <c r="T90" i="6"/>
  <c r="S90" i="6"/>
  <c r="R90" i="6"/>
  <c r="Q90" i="6"/>
  <c r="P90" i="6"/>
  <c r="O90" i="6"/>
  <c r="N90" i="6"/>
  <c r="L90" i="6"/>
  <c r="K90" i="6"/>
  <c r="M90" i="6" s="1"/>
  <c r="J90" i="6"/>
  <c r="V89" i="6"/>
  <c r="U89" i="6"/>
  <c r="T89" i="6"/>
  <c r="S89" i="6"/>
  <c r="R89" i="6"/>
  <c r="Q89" i="6"/>
  <c r="P89" i="6"/>
  <c r="O89" i="6"/>
  <c r="N89" i="6"/>
  <c r="M89" i="6"/>
  <c r="K89" i="6"/>
  <c r="L89" i="6" s="1"/>
  <c r="J89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V87" i="6"/>
  <c r="U87" i="6"/>
  <c r="T87" i="6"/>
  <c r="S87" i="6"/>
  <c r="R87" i="6"/>
  <c r="Q87" i="6"/>
  <c r="P87" i="6"/>
  <c r="O87" i="6"/>
  <c r="N87" i="6"/>
  <c r="K87" i="6"/>
  <c r="M87" i="6" s="1"/>
  <c r="J87" i="6"/>
  <c r="V86" i="6"/>
  <c r="U86" i="6"/>
  <c r="T86" i="6"/>
  <c r="S86" i="6"/>
  <c r="R86" i="6"/>
  <c r="Q86" i="6"/>
  <c r="P86" i="6"/>
  <c r="O86" i="6"/>
  <c r="N86" i="6"/>
  <c r="M86" i="6"/>
  <c r="L86" i="6"/>
  <c r="K86" i="6"/>
  <c r="J86" i="6"/>
  <c r="V85" i="6"/>
  <c r="U85" i="6"/>
  <c r="T85" i="6"/>
  <c r="S85" i="6"/>
  <c r="R85" i="6"/>
  <c r="Q85" i="6"/>
  <c r="P85" i="6"/>
  <c r="O85" i="6"/>
  <c r="N85" i="6"/>
  <c r="M85" i="6"/>
  <c r="L85" i="6"/>
  <c r="K85" i="6"/>
  <c r="J85" i="6"/>
  <c r="V84" i="6"/>
  <c r="U84" i="6"/>
  <c r="T84" i="6"/>
  <c r="S84" i="6"/>
  <c r="R84" i="6"/>
  <c r="Q84" i="6"/>
  <c r="P84" i="6"/>
  <c r="O84" i="6"/>
  <c r="N84" i="6"/>
  <c r="L84" i="6"/>
  <c r="K84" i="6"/>
  <c r="M84" i="6" s="1"/>
  <c r="J84" i="6"/>
  <c r="V83" i="6"/>
  <c r="U83" i="6"/>
  <c r="T83" i="6"/>
  <c r="S83" i="6"/>
  <c r="R83" i="6"/>
  <c r="Q83" i="6"/>
  <c r="P83" i="6"/>
  <c r="O83" i="6"/>
  <c r="N83" i="6"/>
  <c r="L83" i="6"/>
  <c r="K83" i="6"/>
  <c r="M83" i="6" s="1"/>
  <c r="J83" i="6"/>
  <c r="V82" i="6"/>
  <c r="U82" i="6"/>
  <c r="T82" i="6"/>
  <c r="S82" i="6"/>
  <c r="R82" i="6"/>
  <c r="Q82" i="6"/>
  <c r="P82" i="6"/>
  <c r="O82" i="6"/>
  <c r="N82" i="6"/>
  <c r="L82" i="6"/>
  <c r="K82" i="6"/>
  <c r="M82" i="6" s="1"/>
  <c r="J82" i="6"/>
  <c r="V81" i="6"/>
  <c r="U81" i="6"/>
  <c r="T81" i="6"/>
  <c r="S81" i="6"/>
  <c r="R81" i="6"/>
  <c r="Q81" i="6"/>
  <c r="P81" i="6"/>
  <c r="O81" i="6"/>
  <c r="N81" i="6"/>
  <c r="M81" i="6"/>
  <c r="K81" i="6"/>
  <c r="L81" i="6" s="1"/>
  <c r="J81" i="6"/>
  <c r="V80" i="6"/>
  <c r="U80" i="6"/>
  <c r="T80" i="6"/>
  <c r="S80" i="6"/>
  <c r="R80" i="6"/>
  <c r="Q80" i="6"/>
  <c r="P80" i="6"/>
  <c r="O80" i="6"/>
  <c r="N80" i="6"/>
  <c r="K80" i="6"/>
  <c r="M80" i="6" s="1"/>
  <c r="J80" i="6"/>
  <c r="V79" i="6"/>
  <c r="U79" i="6"/>
  <c r="T79" i="6"/>
  <c r="S79" i="6"/>
  <c r="R79" i="6"/>
  <c r="Q79" i="6"/>
  <c r="P79" i="6"/>
  <c r="O79" i="6"/>
  <c r="N79" i="6"/>
  <c r="K79" i="6"/>
  <c r="M79" i="6" s="1"/>
  <c r="J79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V75" i="6"/>
  <c r="U75" i="6"/>
  <c r="T75" i="6"/>
  <c r="S75" i="6"/>
  <c r="R75" i="6"/>
  <c r="Q75" i="6"/>
  <c r="P75" i="6"/>
  <c r="O75" i="6"/>
  <c r="N75" i="6"/>
  <c r="L75" i="6"/>
  <c r="K75" i="6"/>
  <c r="M75" i="6" s="1"/>
  <c r="J75" i="6"/>
  <c r="V74" i="6"/>
  <c r="U74" i="6"/>
  <c r="T74" i="6"/>
  <c r="S74" i="6"/>
  <c r="R74" i="6"/>
  <c r="Q74" i="6"/>
  <c r="P74" i="6"/>
  <c r="O74" i="6"/>
  <c r="N74" i="6"/>
  <c r="L74" i="6"/>
  <c r="K74" i="6"/>
  <c r="M74" i="6" s="1"/>
  <c r="J74" i="6"/>
  <c r="V73" i="6"/>
  <c r="U73" i="6"/>
  <c r="T73" i="6"/>
  <c r="S73" i="6"/>
  <c r="R73" i="6"/>
  <c r="Q73" i="6"/>
  <c r="P73" i="6"/>
  <c r="O73" i="6"/>
  <c r="N73" i="6"/>
  <c r="M73" i="6"/>
  <c r="K73" i="6"/>
  <c r="L73" i="6" s="1"/>
  <c r="J73" i="6"/>
  <c r="V72" i="6"/>
  <c r="U72" i="6"/>
  <c r="T72" i="6"/>
  <c r="S72" i="6"/>
  <c r="R72" i="6"/>
  <c r="Q72" i="6"/>
  <c r="P72" i="6"/>
  <c r="O72" i="6"/>
  <c r="N72" i="6"/>
  <c r="K72" i="6"/>
  <c r="M72" i="6" s="1"/>
  <c r="J72" i="6"/>
  <c r="V71" i="6"/>
  <c r="U71" i="6"/>
  <c r="T71" i="6"/>
  <c r="S71" i="6"/>
  <c r="R71" i="6"/>
  <c r="Q71" i="6"/>
  <c r="P71" i="6"/>
  <c r="O71" i="6"/>
  <c r="N71" i="6"/>
  <c r="K71" i="6"/>
  <c r="M71" i="6" s="1"/>
  <c r="J71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V67" i="6"/>
  <c r="U67" i="6"/>
  <c r="T67" i="6"/>
  <c r="S67" i="6"/>
  <c r="R67" i="6"/>
  <c r="Q67" i="6"/>
  <c r="P67" i="6"/>
  <c r="O67" i="6"/>
  <c r="N67" i="6"/>
  <c r="L67" i="6"/>
  <c r="K67" i="6"/>
  <c r="M67" i="6" s="1"/>
  <c r="J67" i="6"/>
  <c r="V66" i="6"/>
  <c r="U66" i="6"/>
  <c r="T66" i="6"/>
  <c r="S66" i="6"/>
  <c r="R66" i="6"/>
  <c r="Q66" i="6"/>
  <c r="P66" i="6"/>
  <c r="O66" i="6"/>
  <c r="N66" i="6"/>
  <c r="L66" i="6"/>
  <c r="K66" i="6"/>
  <c r="M66" i="6" s="1"/>
  <c r="J66" i="6"/>
  <c r="V65" i="6"/>
  <c r="U65" i="6"/>
  <c r="T65" i="6"/>
  <c r="S65" i="6"/>
  <c r="R65" i="6"/>
  <c r="Q65" i="6"/>
  <c r="P65" i="6"/>
  <c r="O65" i="6"/>
  <c r="N65" i="6"/>
  <c r="M65" i="6"/>
  <c r="K65" i="6"/>
  <c r="L65" i="6" s="1"/>
  <c r="J65" i="6"/>
  <c r="V64" i="6"/>
  <c r="U64" i="6"/>
  <c r="T64" i="6"/>
  <c r="S64" i="6"/>
  <c r="R64" i="6"/>
  <c r="Q64" i="6"/>
  <c r="P64" i="6"/>
  <c r="O64" i="6"/>
  <c r="N64" i="6"/>
  <c r="K64" i="6"/>
  <c r="M64" i="6" s="1"/>
  <c r="J64" i="6"/>
  <c r="V63" i="6"/>
  <c r="U63" i="6"/>
  <c r="T63" i="6"/>
  <c r="S63" i="6"/>
  <c r="R63" i="6"/>
  <c r="Q63" i="6"/>
  <c r="P63" i="6"/>
  <c r="O63" i="6"/>
  <c r="N63" i="6"/>
  <c r="K63" i="6"/>
  <c r="M63" i="6" s="1"/>
  <c r="J63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V59" i="6"/>
  <c r="U59" i="6"/>
  <c r="T59" i="6"/>
  <c r="S59" i="6"/>
  <c r="R59" i="6"/>
  <c r="Q59" i="6"/>
  <c r="P59" i="6"/>
  <c r="O59" i="6"/>
  <c r="N59" i="6"/>
  <c r="L59" i="6"/>
  <c r="K59" i="6"/>
  <c r="M59" i="6" s="1"/>
  <c r="J59" i="6"/>
  <c r="V58" i="6"/>
  <c r="U58" i="6"/>
  <c r="T58" i="6"/>
  <c r="S58" i="6"/>
  <c r="R58" i="6"/>
  <c r="Q58" i="6"/>
  <c r="P58" i="6"/>
  <c r="O58" i="6"/>
  <c r="N58" i="6"/>
  <c r="L58" i="6"/>
  <c r="K58" i="6"/>
  <c r="M58" i="6" s="1"/>
  <c r="J58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V56" i="6"/>
  <c r="U56" i="6"/>
  <c r="T56" i="6"/>
  <c r="S56" i="6"/>
  <c r="R56" i="6"/>
  <c r="Q56" i="6"/>
  <c r="P56" i="6"/>
  <c r="O56" i="6"/>
  <c r="N56" i="6"/>
  <c r="K56" i="6"/>
  <c r="M56" i="6" s="1"/>
  <c r="J56" i="6"/>
  <c r="V55" i="6"/>
  <c r="U55" i="6"/>
  <c r="T55" i="6"/>
  <c r="S55" i="6"/>
  <c r="R55" i="6"/>
  <c r="Q55" i="6"/>
  <c r="P55" i="6"/>
  <c r="O55" i="6"/>
  <c r="N55" i="6"/>
  <c r="K55" i="6"/>
  <c r="M55" i="6" s="1"/>
  <c r="J55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V51" i="6"/>
  <c r="U51" i="6"/>
  <c r="T51" i="6"/>
  <c r="S51" i="6"/>
  <c r="R51" i="6"/>
  <c r="Q51" i="6"/>
  <c r="P51" i="6"/>
  <c r="O51" i="6"/>
  <c r="N51" i="6"/>
  <c r="L51" i="6"/>
  <c r="K51" i="6"/>
  <c r="M51" i="6" s="1"/>
  <c r="J51" i="6"/>
  <c r="V50" i="6"/>
  <c r="U50" i="6"/>
  <c r="T50" i="6"/>
  <c r="S50" i="6"/>
  <c r="R50" i="6"/>
  <c r="Q50" i="6"/>
  <c r="P50" i="6"/>
  <c r="O50" i="6"/>
  <c r="N50" i="6"/>
  <c r="L50" i="6"/>
  <c r="K50" i="6"/>
  <c r="M50" i="6" s="1"/>
  <c r="J50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V48" i="6"/>
  <c r="U48" i="6"/>
  <c r="T48" i="6"/>
  <c r="S48" i="6"/>
  <c r="R48" i="6"/>
  <c r="Q48" i="6"/>
  <c r="P48" i="6"/>
  <c r="O48" i="6"/>
  <c r="N48" i="6"/>
  <c r="K48" i="6"/>
  <c r="M48" i="6" s="1"/>
  <c r="J48" i="6"/>
  <c r="V47" i="6"/>
  <c r="U47" i="6"/>
  <c r="T47" i="6"/>
  <c r="S47" i="6"/>
  <c r="R47" i="6"/>
  <c r="Q47" i="6"/>
  <c r="P47" i="6"/>
  <c r="O47" i="6"/>
  <c r="N47" i="6"/>
  <c r="K47" i="6"/>
  <c r="M47" i="6" s="1"/>
  <c r="J47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V44" i="6"/>
  <c r="U44" i="6"/>
  <c r="T44" i="6"/>
  <c r="S44" i="6"/>
  <c r="R44" i="6"/>
  <c r="Q44" i="6"/>
  <c r="P44" i="6"/>
  <c r="O44" i="6"/>
  <c r="N44" i="6"/>
  <c r="K44" i="6"/>
  <c r="M44" i="6" s="1"/>
  <c r="J44" i="6"/>
  <c r="V43" i="6"/>
  <c r="U43" i="6"/>
  <c r="T43" i="6"/>
  <c r="S43" i="6"/>
  <c r="R43" i="6"/>
  <c r="Q43" i="6"/>
  <c r="P43" i="6"/>
  <c r="O43" i="6"/>
  <c r="N43" i="6"/>
  <c r="L43" i="6"/>
  <c r="K43" i="6"/>
  <c r="M43" i="6" s="1"/>
  <c r="J43" i="6"/>
  <c r="V42" i="6"/>
  <c r="U42" i="6"/>
  <c r="T42" i="6"/>
  <c r="S42" i="6"/>
  <c r="R42" i="6"/>
  <c r="Q42" i="6"/>
  <c r="P42" i="6"/>
  <c r="O42" i="6"/>
  <c r="N42" i="6"/>
  <c r="L42" i="6"/>
  <c r="K42" i="6"/>
  <c r="M42" i="6" s="1"/>
  <c r="J42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V40" i="6"/>
  <c r="U40" i="6"/>
  <c r="T40" i="6"/>
  <c r="S40" i="6"/>
  <c r="R40" i="6"/>
  <c r="Q40" i="6"/>
  <c r="P40" i="6"/>
  <c r="O40" i="6"/>
  <c r="N40" i="6"/>
  <c r="M40" i="6"/>
  <c r="K40" i="6"/>
  <c r="L40" i="6" s="1"/>
  <c r="J40" i="6"/>
  <c r="V39" i="6"/>
  <c r="U39" i="6"/>
  <c r="T39" i="6"/>
  <c r="S39" i="6"/>
  <c r="R39" i="6"/>
  <c r="Q39" i="6"/>
  <c r="P39" i="6"/>
  <c r="O39" i="6"/>
  <c r="N39" i="6"/>
  <c r="K39" i="6"/>
  <c r="M39" i="6" s="1"/>
  <c r="J39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V36" i="6"/>
  <c r="U36" i="6"/>
  <c r="T36" i="6"/>
  <c r="S36" i="6"/>
  <c r="R36" i="6"/>
  <c r="Q36" i="6"/>
  <c r="P36" i="6"/>
  <c r="O36" i="6"/>
  <c r="N36" i="6"/>
  <c r="K36" i="6"/>
  <c r="M36" i="6" s="1"/>
  <c r="J36" i="6"/>
  <c r="V35" i="6"/>
  <c r="U35" i="6"/>
  <c r="T35" i="6"/>
  <c r="S35" i="6"/>
  <c r="R35" i="6"/>
  <c r="Q35" i="6"/>
  <c r="P35" i="6"/>
  <c r="O35" i="6"/>
  <c r="N35" i="6"/>
  <c r="L35" i="6"/>
  <c r="K35" i="6"/>
  <c r="M35" i="6" s="1"/>
  <c r="J35" i="6"/>
  <c r="V34" i="6"/>
  <c r="U34" i="6"/>
  <c r="T34" i="6"/>
  <c r="S34" i="6"/>
  <c r="R34" i="6"/>
  <c r="Q34" i="6"/>
  <c r="P34" i="6"/>
  <c r="O34" i="6"/>
  <c r="N34" i="6"/>
  <c r="L34" i="6"/>
  <c r="K34" i="6"/>
  <c r="M34" i="6" s="1"/>
  <c r="J34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V32" i="6"/>
  <c r="U32" i="6"/>
  <c r="T32" i="6"/>
  <c r="S32" i="6"/>
  <c r="R32" i="6"/>
  <c r="Q32" i="6"/>
  <c r="P32" i="6"/>
  <c r="O32" i="6"/>
  <c r="N32" i="6"/>
  <c r="M32" i="6"/>
  <c r="K32" i="6"/>
  <c r="L32" i="6" s="1"/>
  <c r="J32" i="6"/>
  <c r="V31" i="6"/>
  <c r="U31" i="6"/>
  <c r="T31" i="6"/>
  <c r="S31" i="6"/>
  <c r="R31" i="6"/>
  <c r="Q31" i="6"/>
  <c r="P31" i="6"/>
  <c r="O31" i="6"/>
  <c r="N31" i="6"/>
  <c r="K31" i="6"/>
  <c r="L31" i="6" s="1"/>
  <c r="J31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V28" i="6"/>
  <c r="U28" i="6"/>
  <c r="T28" i="6"/>
  <c r="S28" i="6"/>
  <c r="R28" i="6"/>
  <c r="Q28" i="6"/>
  <c r="P28" i="6"/>
  <c r="O28" i="6"/>
  <c r="N28" i="6"/>
  <c r="K28" i="6"/>
  <c r="M28" i="6" s="1"/>
  <c r="J28" i="6"/>
  <c r="V27" i="6"/>
  <c r="U27" i="6"/>
  <c r="T27" i="6"/>
  <c r="S27" i="6"/>
  <c r="R27" i="6"/>
  <c r="Q27" i="6"/>
  <c r="P27" i="6"/>
  <c r="O27" i="6"/>
  <c r="N27" i="6"/>
  <c r="L27" i="6"/>
  <c r="K27" i="6"/>
  <c r="M27" i="6" s="1"/>
  <c r="J27" i="6"/>
  <c r="V26" i="6"/>
  <c r="U26" i="6"/>
  <c r="T26" i="6"/>
  <c r="S26" i="6"/>
  <c r="R26" i="6"/>
  <c r="Q26" i="6"/>
  <c r="P26" i="6"/>
  <c r="O26" i="6"/>
  <c r="N26" i="6"/>
  <c r="L26" i="6"/>
  <c r="K26" i="6"/>
  <c r="M26" i="6" s="1"/>
  <c r="J26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V24" i="6"/>
  <c r="U24" i="6"/>
  <c r="T24" i="6"/>
  <c r="S24" i="6"/>
  <c r="R24" i="6"/>
  <c r="Q24" i="6"/>
  <c r="P24" i="6"/>
  <c r="O24" i="6"/>
  <c r="N24" i="6"/>
  <c r="M24" i="6"/>
  <c r="K24" i="6"/>
  <c r="L24" i="6" s="1"/>
  <c r="J24" i="6"/>
  <c r="V23" i="6"/>
  <c r="U23" i="6"/>
  <c r="T23" i="6"/>
  <c r="S23" i="6"/>
  <c r="R23" i="6"/>
  <c r="Q23" i="6"/>
  <c r="P23" i="6"/>
  <c r="O23" i="6"/>
  <c r="N23" i="6"/>
  <c r="K23" i="6"/>
  <c r="M23" i="6" s="1"/>
  <c r="J23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V20" i="6"/>
  <c r="U20" i="6"/>
  <c r="T20" i="6"/>
  <c r="S20" i="6"/>
  <c r="R20" i="6"/>
  <c r="Q20" i="6"/>
  <c r="P20" i="6"/>
  <c r="O20" i="6"/>
  <c r="N20" i="6"/>
  <c r="K20" i="6"/>
  <c r="M20" i="6" s="1"/>
  <c r="J20" i="6"/>
  <c r="V19" i="6"/>
  <c r="U19" i="6"/>
  <c r="T19" i="6"/>
  <c r="S19" i="6"/>
  <c r="R19" i="6"/>
  <c r="Q19" i="6"/>
  <c r="P19" i="6"/>
  <c r="O19" i="6"/>
  <c r="N19" i="6"/>
  <c r="L19" i="6"/>
  <c r="K19" i="6"/>
  <c r="M19" i="6" s="1"/>
  <c r="J19" i="6"/>
  <c r="V18" i="6"/>
  <c r="U18" i="6"/>
  <c r="T18" i="6"/>
  <c r="S18" i="6"/>
  <c r="R18" i="6"/>
  <c r="Q18" i="6"/>
  <c r="P18" i="6"/>
  <c r="O18" i="6"/>
  <c r="N18" i="6"/>
  <c r="K18" i="6"/>
  <c r="L18" i="6" s="1"/>
  <c r="J18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V16" i="6"/>
  <c r="U16" i="6"/>
  <c r="T16" i="6"/>
  <c r="S16" i="6"/>
  <c r="R16" i="6"/>
  <c r="Q16" i="6"/>
  <c r="P16" i="6"/>
  <c r="O16" i="6"/>
  <c r="N16" i="6"/>
  <c r="M16" i="6"/>
  <c r="K16" i="6"/>
  <c r="L16" i="6" s="1"/>
  <c r="J16" i="6"/>
  <c r="V15" i="6"/>
  <c r="U15" i="6"/>
  <c r="T15" i="6"/>
  <c r="S15" i="6"/>
  <c r="R15" i="6"/>
  <c r="Q15" i="6"/>
  <c r="P15" i="6"/>
  <c r="O15" i="6"/>
  <c r="N15" i="6"/>
  <c r="K15" i="6"/>
  <c r="L15" i="6" s="1"/>
  <c r="J15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V12" i="6"/>
  <c r="U12" i="6"/>
  <c r="T12" i="6"/>
  <c r="S12" i="6"/>
  <c r="R12" i="6"/>
  <c r="Q12" i="6"/>
  <c r="P12" i="6"/>
  <c r="O12" i="6"/>
  <c r="N12" i="6"/>
  <c r="K12" i="6"/>
  <c r="M12" i="6" s="1"/>
  <c r="J12" i="6"/>
  <c r="V11" i="6"/>
  <c r="U11" i="6"/>
  <c r="T11" i="6"/>
  <c r="S11" i="6"/>
  <c r="R11" i="6"/>
  <c r="Q11" i="6"/>
  <c r="P11" i="6"/>
  <c r="O11" i="6"/>
  <c r="N11" i="6"/>
  <c r="L11" i="6"/>
  <c r="K11" i="6"/>
  <c r="M11" i="6" s="1"/>
  <c r="J11" i="6"/>
  <c r="V10" i="6"/>
  <c r="U10" i="6"/>
  <c r="T10" i="6"/>
  <c r="S10" i="6"/>
  <c r="R10" i="6"/>
  <c r="Q10" i="6"/>
  <c r="P10" i="6"/>
  <c r="O10" i="6"/>
  <c r="N10" i="6"/>
  <c r="K10" i="6"/>
  <c r="M10" i="6" s="1"/>
  <c r="J10" i="6"/>
  <c r="V9" i="6"/>
  <c r="U9" i="6"/>
  <c r="T9" i="6"/>
  <c r="S9" i="6"/>
  <c r="R9" i="6"/>
  <c r="Q9" i="6"/>
  <c r="P9" i="6"/>
  <c r="O9" i="6"/>
  <c r="N9" i="6"/>
  <c r="M9" i="6"/>
  <c r="L9" i="6"/>
  <c r="K9" i="6"/>
  <c r="J9" i="6"/>
  <c r="V8" i="6"/>
  <c r="U8" i="6"/>
  <c r="T8" i="6"/>
  <c r="S8" i="6"/>
  <c r="R8" i="6"/>
  <c r="Q8" i="6"/>
  <c r="P8" i="6"/>
  <c r="O8" i="6"/>
  <c r="N8" i="6"/>
  <c r="M8" i="6"/>
  <c r="K8" i="6"/>
  <c r="L8" i="6" s="1"/>
  <c r="J8" i="6"/>
  <c r="V7" i="6"/>
  <c r="U7" i="6"/>
  <c r="T7" i="6"/>
  <c r="S7" i="6"/>
  <c r="R7" i="6"/>
  <c r="Q7" i="6"/>
  <c r="P7" i="6"/>
  <c r="O7" i="6"/>
  <c r="N7" i="6"/>
  <c r="K7" i="6"/>
  <c r="L7" i="6" s="1"/>
  <c r="J7" i="6"/>
  <c r="V6" i="6"/>
  <c r="U6" i="6"/>
  <c r="T6" i="6"/>
  <c r="S6" i="6"/>
  <c r="R6" i="6"/>
  <c r="Q6" i="6"/>
  <c r="P6" i="6"/>
  <c r="O6" i="6"/>
  <c r="N6" i="6"/>
  <c r="M6" i="6"/>
  <c r="L6" i="6"/>
  <c r="K6" i="6"/>
  <c r="J6" i="6"/>
  <c r="V5" i="6"/>
  <c r="U5" i="6"/>
  <c r="T5" i="6"/>
  <c r="S5" i="6"/>
  <c r="R5" i="6"/>
  <c r="Q5" i="6"/>
  <c r="P5" i="6"/>
  <c r="O5" i="6"/>
  <c r="N5" i="6"/>
  <c r="M5" i="6"/>
  <c r="L5" i="6"/>
  <c r="K5" i="6"/>
  <c r="J5" i="6"/>
  <c r="V4" i="6"/>
  <c r="U4" i="6"/>
  <c r="T4" i="6"/>
  <c r="S4" i="6"/>
  <c r="R4" i="6"/>
  <c r="Q4" i="6"/>
  <c r="P4" i="6"/>
  <c r="O4" i="6"/>
  <c r="N4" i="6"/>
  <c r="K4" i="6"/>
  <c r="M4" i="6" s="1"/>
  <c r="J4" i="6"/>
  <c r="V3" i="6"/>
  <c r="U3" i="6"/>
  <c r="T3" i="6"/>
  <c r="S3" i="6"/>
  <c r="R3" i="6"/>
  <c r="Q3" i="6"/>
  <c r="P3" i="6"/>
  <c r="O3" i="6"/>
  <c r="N3" i="6"/>
  <c r="K3" i="6"/>
  <c r="M3" i="6" s="1"/>
  <c r="J3" i="6"/>
  <c r="V2" i="6"/>
  <c r="U2" i="6"/>
  <c r="T2" i="6"/>
  <c r="S2" i="6"/>
  <c r="R2" i="6"/>
  <c r="Q2" i="6"/>
  <c r="P2" i="6"/>
  <c r="O2" i="6"/>
  <c r="N2" i="6"/>
  <c r="K2" i="6"/>
  <c r="L2" i="6" s="1"/>
  <c r="J2" i="6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N501" i="1"/>
  <c r="J501" i="1"/>
  <c r="M501" i="1" s="1"/>
  <c r="N500" i="1"/>
  <c r="J500" i="1"/>
  <c r="M500" i="1" s="1"/>
  <c r="N499" i="1"/>
  <c r="J499" i="1"/>
  <c r="M499" i="1" s="1"/>
  <c r="N498" i="1"/>
  <c r="J498" i="1"/>
  <c r="L498" i="1" s="1"/>
  <c r="N497" i="1"/>
  <c r="M497" i="1"/>
  <c r="J497" i="1"/>
  <c r="L497" i="1" s="1"/>
  <c r="N496" i="1"/>
  <c r="J496" i="1"/>
  <c r="M496" i="1" s="1"/>
  <c r="N495" i="1"/>
  <c r="L495" i="1"/>
  <c r="J495" i="1"/>
  <c r="M495" i="1" s="1"/>
  <c r="N494" i="1"/>
  <c r="M494" i="1"/>
  <c r="K494" i="1"/>
  <c r="J494" i="1"/>
  <c r="L494" i="1" s="1"/>
  <c r="N493" i="1"/>
  <c r="M493" i="1"/>
  <c r="J493" i="1"/>
  <c r="L493" i="1" s="1"/>
  <c r="N492" i="1"/>
  <c r="J492" i="1"/>
  <c r="M492" i="1" s="1"/>
  <c r="N491" i="1"/>
  <c r="L491" i="1"/>
  <c r="J491" i="1"/>
  <c r="M491" i="1" s="1"/>
  <c r="N490" i="1"/>
  <c r="M490" i="1"/>
  <c r="K490" i="1"/>
  <c r="J490" i="1"/>
  <c r="L490" i="1" s="1"/>
  <c r="N489" i="1"/>
  <c r="M489" i="1"/>
  <c r="J489" i="1"/>
  <c r="L489" i="1" s="1"/>
  <c r="N488" i="1"/>
  <c r="J488" i="1"/>
  <c r="M488" i="1" s="1"/>
  <c r="N487" i="1"/>
  <c r="L487" i="1"/>
  <c r="J487" i="1"/>
  <c r="M487" i="1" s="1"/>
  <c r="N486" i="1"/>
  <c r="K486" i="1"/>
  <c r="J486" i="1"/>
  <c r="L486" i="1" s="1"/>
  <c r="N485" i="1"/>
  <c r="M485" i="1"/>
  <c r="J485" i="1"/>
  <c r="L485" i="1" s="1"/>
  <c r="N484" i="1"/>
  <c r="J484" i="1"/>
  <c r="M484" i="1" s="1"/>
  <c r="N483" i="1"/>
  <c r="L483" i="1"/>
  <c r="J483" i="1"/>
  <c r="M483" i="1" s="1"/>
  <c r="N482" i="1"/>
  <c r="M482" i="1"/>
  <c r="K482" i="1"/>
  <c r="J482" i="1"/>
  <c r="L482" i="1" s="1"/>
  <c r="N481" i="1"/>
  <c r="M481" i="1"/>
  <c r="K481" i="1"/>
  <c r="J481" i="1"/>
  <c r="L481" i="1" s="1"/>
  <c r="N480" i="1"/>
  <c r="J480" i="1"/>
  <c r="M480" i="1" s="1"/>
  <c r="N479" i="1"/>
  <c r="L479" i="1"/>
  <c r="J479" i="1"/>
  <c r="M479" i="1" s="1"/>
  <c r="N478" i="1"/>
  <c r="M478" i="1"/>
  <c r="K478" i="1"/>
  <c r="J478" i="1"/>
  <c r="L478" i="1" s="1"/>
  <c r="N477" i="1"/>
  <c r="M477" i="1"/>
  <c r="J477" i="1"/>
  <c r="L477" i="1" s="1"/>
  <c r="N476" i="1"/>
  <c r="J476" i="1"/>
  <c r="M476" i="1" s="1"/>
  <c r="N475" i="1"/>
  <c r="L475" i="1"/>
  <c r="J475" i="1"/>
  <c r="M475" i="1" s="1"/>
  <c r="N474" i="1"/>
  <c r="M474" i="1"/>
  <c r="K474" i="1"/>
  <c r="J474" i="1"/>
  <c r="L474" i="1" s="1"/>
  <c r="N473" i="1"/>
  <c r="M473" i="1"/>
  <c r="J473" i="1"/>
  <c r="L473" i="1" s="1"/>
  <c r="N472" i="1"/>
  <c r="J472" i="1"/>
  <c r="M472" i="1" s="1"/>
  <c r="N471" i="1"/>
  <c r="L471" i="1"/>
  <c r="J471" i="1"/>
  <c r="M471" i="1" s="1"/>
  <c r="N470" i="1"/>
  <c r="M470" i="1"/>
  <c r="K470" i="1"/>
  <c r="J470" i="1"/>
  <c r="L470" i="1" s="1"/>
  <c r="N469" i="1"/>
  <c r="M469" i="1"/>
  <c r="J469" i="1"/>
  <c r="L469" i="1" s="1"/>
  <c r="N468" i="1"/>
  <c r="J468" i="1"/>
  <c r="M468" i="1" s="1"/>
  <c r="N467" i="1"/>
  <c r="L467" i="1"/>
  <c r="J467" i="1"/>
  <c r="M467" i="1" s="1"/>
  <c r="N466" i="1"/>
  <c r="M466" i="1"/>
  <c r="K466" i="1"/>
  <c r="J466" i="1"/>
  <c r="L466" i="1" s="1"/>
  <c r="N465" i="1"/>
  <c r="M465" i="1"/>
  <c r="J465" i="1"/>
  <c r="L465" i="1" s="1"/>
  <c r="N464" i="1"/>
  <c r="M464" i="1"/>
  <c r="J464" i="1"/>
  <c r="L464" i="1" s="1"/>
  <c r="N463" i="1"/>
  <c r="M463" i="1"/>
  <c r="J463" i="1"/>
  <c r="L463" i="1" s="1"/>
  <c r="N462" i="1"/>
  <c r="M462" i="1"/>
  <c r="J462" i="1"/>
  <c r="L462" i="1" s="1"/>
  <c r="N461" i="1"/>
  <c r="L461" i="1"/>
  <c r="K461" i="1"/>
  <c r="J461" i="1"/>
  <c r="M461" i="1" s="1"/>
  <c r="N460" i="1"/>
  <c r="J460" i="1"/>
  <c r="L460" i="1" s="1"/>
  <c r="N459" i="1"/>
  <c r="J459" i="1"/>
  <c r="M459" i="1" s="1"/>
  <c r="N458" i="1"/>
  <c r="M458" i="1"/>
  <c r="K458" i="1"/>
  <c r="J458" i="1"/>
  <c r="L458" i="1" s="1"/>
  <c r="N457" i="1"/>
  <c r="M457" i="1"/>
  <c r="L457" i="1"/>
  <c r="K457" i="1"/>
  <c r="J457" i="1"/>
  <c r="N456" i="1"/>
  <c r="M456" i="1"/>
  <c r="J456" i="1"/>
  <c r="L456" i="1" s="1"/>
  <c r="N455" i="1"/>
  <c r="L455" i="1"/>
  <c r="J455" i="1"/>
  <c r="K455" i="1" s="1"/>
  <c r="N454" i="1"/>
  <c r="J454" i="1"/>
  <c r="L454" i="1" s="1"/>
  <c r="N453" i="1"/>
  <c r="J453" i="1"/>
  <c r="M453" i="1" s="1"/>
  <c r="N452" i="1"/>
  <c r="M452" i="1"/>
  <c r="K452" i="1"/>
  <c r="J452" i="1"/>
  <c r="L452" i="1" s="1"/>
  <c r="N451" i="1"/>
  <c r="M451" i="1"/>
  <c r="L451" i="1"/>
  <c r="K451" i="1"/>
  <c r="J451" i="1"/>
  <c r="N450" i="1"/>
  <c r="J450" i="1"/>
  <c r="L450" i="1" s="1"/>
  <c r="N449" i="1"/>
  <c r="L449" i="1"/>
  <c r="J449" i="1"/>
  <c r="M449" i="1" s="1"/>
  <c r="N448" i="1"/>
  <c r="M448" i="1"/>
  <c r="K448" i="1"/>
  <c r="J448" i="1"/>
  <c r="L448" i="1" s="1"/>
  <c r="N447" i="1"/>
  <c r="M447" i="1"/>
  <c r="J447" i="1"/>
  <c r="L447" i="1" s="1"/>
  <c r="N446" i="1"/>
  <c r="M446" i="1"/>
  <c r="J446" i="1"/>
  <c r="L446" i="1" s="1"/>
  <c r="N445" i="1"/>
  <c r="L445" i="1"/>
  <c r="K445" i="1"/>
  <c r="J445" i="1"/>
  <c r="M445" i="1" s="1"/>
  <c r="N444" i="1"/>
  <c r="J444" i="1"/>
  <c r="L444" i="1" s="1"/>
  <c r="N443" i="1"/>
  <c r="J443" i="1"/>
  <c r="M443" i="1" s="1"/>
  <c r="N442" i="1"/>
  <c r="M442" i="1"/>
  <c r="K442" i="1"/>
  <c r="J442" i="1"/>
  <c r="L442" i="1" s="1"/>
  <c r="N441" i="1"/>
  <c r="M441" i="1"/>
  <c r="L441" i="1"/>
  <c r="K441" i="1"/>
  <c r="J441" i="1"/>
  <c r="N440" i="1"/>
  <c r="M440" i="1"/>
  <c r="J440" i="1"/>
  <c r="L440" i="1" s="1"/>
  <c r="N439" i="1"/>
  <c r="M439" i="1"/>
  <c r="L439" i="1"/>
  <c r="J439" i="1"/>
  <c r="K439" i="1" s="1"/>
  <c r="N438" i="1"/>
  <c r="J438" i="1"/>
  <c r="L438" i="1" s="1"/>
  <c r="N437" i="1"/>
  <c r="J437" i="1"/>
  <c r="M437" i="1" s="1"/>
  <c r="N436" i="1"/>
  <c r="M436" i="1"/>
  <c r="K436" i="1"/>
  <c r="J436" i="1"/>
  <c r="L436" i="1" s="1"/>
  <c r="N435" i="1"/>
  <c r="M435" i="1"/>
  <c r="L435" i="1"/>
  <c r="K435" i="1"/>
  <c r="J435" i="1"/>
  <c r="N434" i="1"/>
  <c r="J434" i="1"/>
  <c r="L434" i="1" s="1"/>
  <c r="N433" i="1"/>
  <c r="L433" i="1"/>
  <c r="J433" i="1"/>
  <c r="M433" i="1" s="1"/>
  <c r="N432" i="1"/>
  <c r="M432" i="1"/>
  <c r="K432" i="1"/>
  <c r="J432" i="1"/>
  <c r="L432" i="1" s="1"/>
  <c r="N431" i="1"/>
  <c r="M431" i="1"/>
  <c r="J431" i="1"/>
  <c r="L431" i="1" s="1"/>
  <c r="N430" i="1"/>
  <c r="M430" i="1"/>
  <c r="J430" i="1"/>
  <c r="L430" i="1" s="1"/>
  <c r="N429" i="1"/>
  <c r="L429" i="1"/>
  <c r="K429" i="1"/>
  <c r="J429" i="1"/>
  <c r="M429" i="1" s="1"/>
  <c r="N428" i="1"/>
  <c r="J428" i="1"/>
  <c r="L428" i="1" s="1"/>
  <c r="N427" i="1"/>
  <c r="J427" i="1"/>
  <c r="M427" i="1" s="1"/>
  <c r="N426" i="1"/>
  <c r="M426" i="1"/>
  <c r="K426" i="1"/>
  <c r="J426" i="1"/>
  <c r="L426" i="1" s="1"/>
  <c r="N425" i="1"/>
  <c r="M425" i="1"/>
  <c r="L425" i="1"/>
  <c r="K425" i="1"/>
  <c r="J425" i="1"/>
  <c r="N424" i="1"/>
  <c r="M424" i="1"/>
  <c r="J424" i="1"/>
  <c r="L424" i="1" s="1"/>
  <c r="N423" i="1"/>
  <c r="M423" i="1"/>
  <c r="L423" i="1"/>
  <c r="J423" i="1"/>
  <c r="K423" i="1" s="1"/>
  <c r="N422" i="1"/>
  <c r="J422" i="1"/>
  <c r="L422" i="1" s="1"/>
  <c r="N421" i="1"/>
  <c r="J421" i="1"/>
  <c r="M421" i="1" s="1"/>
  <c r="N420" i="1"/>
  <c r="M420" i="1"/>
  <c r="K420" i="1"/>
  <c r="J420" i="1"/>
  <c r="L420" i="1" s="1"/>
  <c r="N419" i="1"/>
  <c r="M419" i="1"/>
  <c r="L419" i="1"/>
  <c r="K419" i="1"/>
  <c r="J419" i="1"/>
  <c r="N418" i="1"/>
  <c r="J418" i="1"/>
  <c r="L418" i="1" s="1"/>
  <c r="N417" i="1"/>
  <c r="L417" i="1"/>
  <c r="J417" i="1"/>
  <c r="M417" i="1" s="1"/>
  <c r="N416" i="1"/>
  <c r="M416" i="1"/>
  <c r="K416" i="1"/>
  <c r="J416" i="1"/>
  <c r="L416" i="1" s="1"/>
  <c r="N415" i="1"/>
  <c r="M415" i="1"/>
  <c r="J415" i="1"/>
  <c r="L415" i="1" s="1"/>
  <c r="N414" i="1"/>
  <c r="M414" i="1"/>
  <c r="K414" i="1"/>
  <c r="J414" i="1"/>
  <c r="L414" i="1" s="1"/>
  <c r="N413" i="1"/>
  <c r="L413" i="1"/>
  <c r="K413" i="1"/>
  <c r="J413" i="1"/>
  <c r="M413" i="1" s="1"/>
  <c r="N412" i="1"/>
  <c r="J412" i="1"/>
  <c r="L412" i="1" s="1"/>
  <c r="N411" i="1"/>
  <c r="L411" i="1"/>
  <c r="K411" i="1"/>
  <c r="J411" i="1"/>
  <c r="M411" i="1" s="1"/>
  <c r="N410" i="1"/>
  <c r="J410" i="1"/>
  <c r="L410" i="1" s="1"/>
  <c r="N409" i="1"/>
  <c r="J409" i="1"/>
  <c r="M409" i="1" s="1"/>
  <c r="N408" i="1"/>
  <c r="J408" i="1"/>
  <c r="L408" i="1" s="1"/>
  <c r="N407" i="1"/>
  <c r="J407" i="1"/>
  <c r="M407" i="1" s="1"/>
  <c r="N406" i="1"/>
  <c r="M406" i="1"/>
  <c r="K406" i="1"/>
  <c r="J406" i="1"/>
  <c r="L406" i="1" s="1"/>
  <c r="N405" i="1"/>
  <c r="M405" i="1"/>
  <c r="L405" i="1"/>
  <c r="K405" i="1"/>
  <c r="J405" i="1"/>
  <c r="N404" i="1"/>
  <c r="M404" i="1"/>
  <c r="J404" i="1"/>
  <c r="L404" i="1" s="1"/>
  <c r="N403" i="1"/>
  <c r="M403" i="1"/>
  <c r="L403" i="1"/>
  <c r="K403" i="1"/>
  <c r="J403" i="1"/>
  <c r="N402" i="1"/>
  <c r="M402" i="1"/>
  <c r="J402" i="1"/>
  <c r="L402" i="1" s="1"/>
  <c r="N401" i="1"/>
  <c r="M401" i="1"/>
  <c r="L401" i="1"/>
  <c r="K401" i="1"/>
  <c r="J401" i="1"/>
  <c r="N400" i="1"/>
  <c r="J400" i="1"/>
  <c r="L400" i="1" s="1"/>
  <c r="N399" i="1"/>
  <c r="M399" i="1"/>
  <c r="L399" i="1"/>
  <c r="J399" i="1"/>
  <c r="K399" i="1" s="1"/>
  <c r="N398" i="1"/>
  <c r="J398" i="1"/>
  <c r="L398" i="1" s="1"/>
  <c r="N397" i="1"/>
  <c r="J397" i="1"/>
  <c r="M397" i="1" s="1"/>
  <c r="N396" i="1"/>
  <c r="J396" i="1"/>
  <c r="L396" i="1" s="1"/>
  <c r="N395" i="1"/>
  <c r="M395" i="1"/>
  <c r="L395" i="1"/>
  <c r="J395" i="1"/>
  <c r="K395" i="1" s="1"/>
  <c r="N394" i="1"/>
  <c r="J394" i="1"/>
  <c r="L394" i="1" s="1"/>
  <c r="N393" i="1"/>
  <c r="J393" i="1"/>
  <c r="M393" i="1" s="1"/>
  <c r="N392" i="1"/>
  <c r="J392" i="1"/>
  <c r="L392" i="1" s="1"/>
  <c r="N391" i="1"/>
  <c r="J391" i="1"/>
  <c r="M391" i="1" s="1"/>
  <c r="N390" i="1"/>
  <c r="M390" i="1"/>
  <c r="K390" i="1"/>
  <c r="J390" i="1"/>
  <c r="L390" i="1" s="1"/>
  <c r="N389" i="1"/>
  <c r="M389" i="1"/>
  <c r="L389" i="1"/>
  <c r="K389" i="1"/>
  <c r="J389" i="1"/>
  <c r="N388" i="1"/>
  <c r="M388" i="1"/>
  <c r="J388" i="1"/>
  <c r="L388" i="1" s="1"/>
  <c r="N387" i="1"/>
  <c r="M387" i="1"/>
  <c r="L387" i="1"/>
  <c r="K387" i="1"/>
  <c r="J387" i="1"/>
  <c r="N386" i="1"/>
  <c r="J386" i="1"/>
  <c r="L386" i="1" s="1"/>
  <c r="N385" i="1"/>
  <c r="L385" i="1"/>
  <c r="J385" i="1"/>
  <c r="M385" i="1" s="1"/>
  <c r="N384" i="1"/>
  <c r="J384" i="1"/>
  <c r="L384" i="1" s="1"/>
  <c r="N383" i="1"/>
  <c r="L383" i="1"/>
  <c r="J383" i="1"/>
  <c r="M383" i="1" s="1"/>
  <c r="N382" i="1"/>
  <c r="M382" i="1"/>
  <c r="K382" i="1"/>
  <c r="J382" i="1"/>
  <c r="L382" i="1" s="1"/>
  <c r="N381" i="1"/>
  <c r="M381" i="1"/>
  <c r="J381" i="1"/>
  <c r="L381" i="1" s="1"/>
  <c r="N380" i="1"/>
  <c r="J380" i="1"/>
  <c r="L380" i="1" s="1"/>
  <c r="N379" i="1"/>
  <c r="L379" i="1"/>
  <c r="J379" i="1"/>
  <c r="M379" i="1" s="1"/>
  <c r="N378" i="1"/>
  <c r="M378" i="1"/>
  <c r="K378" i="1"/>
  <c r="J378" i="1"/>
  <c r="L378" i="1" s="1"/>
  <c r="N377" i="1"/>
  <c r="M377" i="1"/>
  <c r="J377" i="1"/>
  <c r="L377" i="1" s="1"/>
  <c r="N376" i="1"/>
  <c r="M376" i="1"/>
  <c r="J376" i="1"/>
  <c r="L376" i="1" s="1"/>
  <c r="N375" i="1"/>
  <c r="M375" i="1"/>
  <c r="J375" i="1"/>
  <c r="L375" i="1" s="1"/>
  <c r="N374" i="1"/>
  <c r="M374" i="1"/>
  <c r="K374" i="1"/>
  <c r="J374" i="1"/>
  <c r="L374" i="1" s="1"/>
  <c r="N373" i="1"/>
  <c r="L373" i="1"/>
  <c r="K373" i="1"/>
  <c r="J373" i="1"/>
  <c r="M373" i="1" s="1"/>
  <c r="N372" i="1"/>
  <c r="M372" i="1"/>
  <c r="J372" i="1"/>
  <c r="L372" i="1" s="1"/>
  <c r="N371" i="1"/>
  <c r="L371" i="1"/>
  <c r="K371" i="1"/>
  <c r="J371" i="1"/>
  <c r="M371" i="1" s="1"/>
  <c r="N370" i="1"/>
  <c r="J370" i="1"/>
  <c r="L370" i="1" s="1"/>
  <c r="N369" i="1"/>
  <c r="J369" i="1"/>
  <c r="M369" i="1" s="1"/>
  <c r="N368" i="1"/>
  <c r="J368" i="1"/>
  <c r="L368" i="1" s="1"/>
  <c r="N367" i="1"/>
  <c r="J367" i="1"/>
  <c r="M367" i="1" s="1"/>
  <c r="N366" i="1"/>
  <c r="M366" i="1"/>
  <c r="K366" i="1"/>
  <c r="J366" i="1"/>
  <c r="L366" i="1" s="1"/>
  <c r="N365" i="1"/>
  <c r="M365" i="1"/>
  <c r="L365" i="1"/>
  <c r="K365" i="1"/>
  <c r="J365" i="1"/>
  <c r="N364" i="1"/>
  <c r="J364" i="1"/>
  <c r="L364" i="1" s="1"/>
  <c r="N363" i="1"/>
  <c r="J363" i="1"/>
  <c r="M363" i="1" s="1"/>
  <c r="N362" i="1"/>
  <c r="M362" i="1"/>
  <c r="K362" i="1"/>
  <c r="J362" i="1"/>
  <c r="L362" i="1" s="1"/>
  <c r="N361" i="1"/>
  <c r="M361" i="1"/>
  <c r="L361" i="1"/>
  <c r="K361" i="1"/>
  <c r="J361" i="1"/>
  <c r="N360" i="1"/>
  <c r="M360" i="1"/>
  <c r="J360" i="1"/>
  <c r="L360" i="1" s="1"/>
  <c r="N359" i="1"/>
  <c r="M359" i="1"/>
  <c r="L359" i="1"/>
  <c r="K359" i="1"/>
  <c r="J359" i="1"/>
  <c r="N358" i="1"/>
  <c r="M358" i="1"/>
  <c r="J358" i="1"/>
  <c r="L358" i="1" s="1"/>
  <c r="N357" i="1"/>
  <c r="M357" i="1"/>
  <c r="L357" i="1"/>
  <c r="K357" i="1"/>
  <c r="J357" i="1"/>
  <c r="N356" i="1"/>
  <c r="J356" i="1"/>
  <c r="L356" i="1" s="1"/>
  <c r="N355" i="1"/>
  <c r="M355" i="1"/>
  <c r="L355" i="1"/>
  <c r="K355" i="1"/>
  <c r="J355" i="1"/>
  <c r="N354" i="1"/>
  <c r="J354" i="1"/>
  <c r="L354" i="1" s="1"/>
  <c r="N353" i="1"/>
  <c r="J353" i="1"/>
  <c r="M353" i="1" s="1"/>
  <c r="N352" i="1"/>
  <c r="J352" i="1"/>
  <c r="L352" i="1" s="1"/>
  <c r="N351" i="1"/>
  <c r="J351" i="1"/>
  <c r="M351" i="1" s="1"/>
  <c r="N350" i="1"/>
  <c r="J350" i="1"/>
  <c r="M350" i="1" s="1"/>
  <c r="N349" i="1"/>
  <c r="M349" i="1"/>
  <c r="L349" i="1"/>
  <c r="J349" i="1"/>
  <c r="K349" i="1" s="1"/>
  <c r="N348" i="1"/>
  <c r="J348" i="1"/>
  <c r="L348" i="1" s="1"/>
  <c r="N347" i="1"/>
  <c r="J347" i="1"/>
  <c r="M347" i="1" s="1"/>
  <c r="N346" i="1"/>
  <c r="J346" i="1"/>
  <c r="M346" i="1" s="1"/>
  <c r="N345" i="1"/>
  <c r="L345" i="1"/>
  <c r="J345" i="1"/>
  <c r="M345" i="1" s="1"/>
  <c r="N344" i="1"/>
  <c r="J344" i="1"/>
  <c r="L344" i="1" s="1"/>
  <c r="N343" i="1"/>
  <c r="L343" i="1"/>
  <c r="J343" i="1"/>
  <c r="M343" i="1" s="1"/>
  <c r="N342" i="1"/>
  <c r="M342" i="1"/>
  <c r="L342" i="1"/>
  <c r="K342" i="1"/>
  <c r="J342" i="1"/>
  <c r="N341" i="1"/>
  <c r="L341" i="1"/>
  <c r="K341" i="1"/>
  <c r="J341" i="1"/>
  <c r="M341" i="1" s="1"/>
  <c r="N340" i="1"/>
  <c r="J340" i="1"/>
  <c r="L340" i="1" s="1"/>
  <c r="N339" i="1"/>
  <c r="M339" i="1"/>
  <c r="J339" i="1"/>
  <c r="L339" i="1" s="1"/>
  <c r="N338" i="1"/>
  <c r="J338" i="1"/>
  <c r="M338" i="1" s="1"/>
  <c r="N337" i="1"/>
  <c r="J337" i="1"/>
  <c r="M337" i="1" s="1"/>
  <c r="N336" i="1"/>
  <c r="J336" i="1"/>
  <c r="L336" i="1" s="1"/>
  <c r="N335" i="1"/>
  <c r="M335" i="1"/>
  <c r="L335" i="1"/>
  <c r="K335" i="1"/>
  <c r="J335" i="1"/>
  <c r="N334" i="1"/>
  <c r="M334" i="1"/>
  <c r="L334" i="1"/>
  <c r="K334" i="1"/>
  <c r="J334" i="1"/>
  <c r="N333" i="1"/>
  <c r="K333" i="1"/>
  <c r="J333" i="1"/>
  <c r="L333" i="1" s="1"/>
  <c r="N332" i="1"/>
  <c r="J332" i="1"/>
  <c r="L332" i="1" s="1"/>
  <c r="N331" i="1"/>
  <c r="L331" i="1"/>
  <c r="J331" i="1"/>
  <c r="M331" i="1" s="1"/>
  <c r="N330" i="1"/>
  <c r="M330" i="1"/>
  <c r="L330" i="1"/>
  <c r="K330" i="1"/>
  <c r="J330" i="1"/>
  <c r="N329" i="1"/>
  <c r="J329" i="1"/>
  <c r="K329" i="1" s="1"/>
  <c r="N328" i="1"/>
  <c r="M328" i="1"/>
  <c r="J328" i="1"/>
  <c r="L328" i="1" s="1"/>
  <c r="N327" i="1"/>
  <c r="M327" i="1"/>
  <c r="L327" i="1"/>
  <c r="K327" i="1"/>
  <c r="J327" i="1"/>
  <c r="N326" i="1"/>
  <c r="M326" i="1"/>
  <c r="L326" i="1"/>
  <c r="K326" i="1"/>
  <c r="J326" i="1"/>
  <c r="N325" i="1"/>
  <c r="L325" i="1"/>
  <c r="J325" i="1"/>
  <c r="M325" i="1" s="1"/>
  <c r="N324" i="1"/>
  <c r="J324" i="1"/>
  <c r="L324" i="1" s="1"/>
  <c r="N323" i="1"/>
  <c r="L323" i="1"/>
  <c r="J323" i="1"/>
  <c r="M323" i="1" s="1"/>
  <c r="N322" i="1"/>
  <c r="J322" i="1"/>
  <c r="K322" i="1" s="1"/>
  <c r="N321" i="1"/>
  <c r="M321" i="1"/>
  <c r="L321" i="1"/>
  <c r="K321" i="1"/>
  <c r="J321" i="1"/>
  <c r="N320" i="1"/>
  <c r="J320" i="1"/>
  <c r="L320" i="1" s="1"/>
  <c r="N319" i="1"/>
  <c r="L319" i="1"/>
  <c r="J319" i="1"/>
  <c r="M319" i="1" s="1"/>
  <c r="N318" i="1"/>
  <c r="J318" i="1"/>
  <c r="M318" i="1" s="1"/>
  <c r="N317" i="1"/>
  <c r="J317" i="1"/>
  <c r="K317" i="1" s="1"/>
  <c r="N316" i="1"/>
  <c r="J316" i="1"/>
  <c r="L316" i="1" s="1"/>
  <c r="N315" i="1"/>
  <c r="M315" i="1"/>
  <c r="L315" i="1"/>
  <c r="K315" i="1"/>
  <c r="J315" i="1"/>
  <c r="N314" i="1"/>
  <c r="L314" i="1"/>
  <c r="K314" i="1"/>
  <c r="J314" i="1"/>
  <c r="M314" i="1" s="1"/>
  <c r="N313" i="1"/>
  <c r="M313" i="1"/>
  <c r="L313" i="1"/>
  <c r="K313" i="1"/>
  <c r="J313" i="1"/>
  <c r="N312" i="1"/>
  <c r="K312" i="1"/>
  <c r="J312" i="1"/>
  <c r="L312" i="1" s="1"/>
  <c r="N311" i="1"/>
  <c r="M311" i="1"/>
  <c r="K311" i="1"/>
  <c r="J311" i="1"/>
  <c r="L311" i="1" s="1"/>
  <c r="N310" i="1"/>
  <c r="J310" i="1"/>
  <c r="K310" i="1" s="1"/>
  <c r="N309" i="1"/>
  <c r="L309" i="1"/>
  <c r="J309" i="1"/>
  <c r="M309" i="1" s="1"/>
  <c r="N308" i="1"/>
  <c r="J308" i="1"/>
  <c r="L308" i="1" s="1"/>
  <c r="N307" i="1"/>
  <c r="M307" i="1"/>
  <c r="K307" i="1"/>
  <c r="J307" i="1"/>
  <c r="L307" i="1" s="1"/>
  <c r="N306" i="1"/>
  <c r="M306" i="1"/>
  <c r="L306" i="1"/>
  <c r="K306" i="1"/>
  <c r="J306" i="1"/>
  <c r="N305" i="1"/>
  <c r="J305" i="1"/>
  <c r="M305" i="1" s="1"/>
  <c r="N304" i="1"/>
  <c r="J304" i="1"/>
  <c r="L304" i="1" s="1"/>
  <c r="N303" i="1"/>
  <c r="M303" i="1"/>
  <c r="L303" i="1"/>
  <c r="K303" i="1"/>
  <c r="J303" i="1"/>
  <c r="N302" i="1"/>
  <c r="L302" i="1"/>
  <c r="K302" i="1"/>
  <c r="J302" i="1"/>
  <c r="M302" i="1" s="1"/>
  <c r="N301" i="1"/>
  <c r="K301" i="1"/>
  <c r="J301" i="1"/>
  <c r="L301" i="1" s="1"/>
  <c r="N300" i="1"/>
  <c r="J300" i="1"/>
  <c r="L300" i="1" s="1"/>
  <c r="N299" i="1"/>
  <c r="J299" i="1"/>
  <c r="M299" i="1" s="1"/>
  <c r="N298" i="1"/>
  <c r="J298" i="1"/>
  <c r="M298" i="1" s="1"/>
  <c r="N297" i="1"/>
  <c r="J297" i="1"/>
  <c r="K297" i="1" s="1"/>
  <c r="N296" i="1"/>
  <c r="M296" i="1"/>
  <c r="J296" i="1"/>
  <c r="L296" i="1" s="1"/>
  <c r="N295" i="1"/>
  <c r="L295" i="1"/>
  <c r="K295" i="1"/>
  <c r="J295" i="1"/>
  <c r="M295" i="1" s="1"/>
  <c r="N294" i="1"/>
  <c r="K294" i="1"/>
  <c r="J294" i="1"/>
  <c r="L294" i="1" s="1"/>
  <c r="N293" i="1"/>
  <c r="J293" i="1"/>
  <c r="M293" i="1" s="1"/>
  <c r="N292" i="1"/>
  <c r="J292" i="1"/>
  <c r="L292" i="1" s="1"/>
  <c r="N291" i="1"/>
  <c r="L291" i="1"/>
  <c r="J291" i="1"/>
  <c r="M291" i="1" s="1"/>
  <c r="N290" i="1"/>
  <c r="J290" i="1"/>
  <c r="K290" i="1" s="1"/>
  <c r="N289" i="1"/>
  <c r="J289" i="1"/>
  <c r="L289" i="1" s="1"/>
  <c r="N288" i="1"/>
  <c r="J288" i="1"/>
  <c r="L288" i="1" s="1"/>
  <c r="N287" i="1"/>
  <c r="J287" i="1"/>
  <c r="M287" i="1" s="1"/>
  <c r="N286" i="1"/>
  <c r="J286" i="1"/>
  <c r="M286" i="1" s="1"/>
  <c r="N285" i="1"/>
  <c r="M285" i="1"/>
  <c r="L285" i="1"/>
  <c r="J285" i="1"/>
  <c r="K285" i="1" s="1"/>
  <c r="N284" i="1"/>
  <c r="J284" i="1"/>
  <c r="L284" i="1" s="1"/>
  <c r="N283" i="1"/>
  <c r="J283" i="1"/>
  <c r="N282" i="1"/>
  <c r="J282" i="1"/>
  <c r="N281" i="1"/>
  <c r="J281" i="1"/>
  <c r="N280" i="1"/>
  <c r="J280" i="1"/>
  <c r="N279" i="1"/>
  <c r="J279" i="1"/>
  <c r="N278" i="1"/>
  <c r="M278" i="1"/>
  <c r="L278" i="1"/>
  <c r="J278" i="1"/>
  <c r="K278" i="1" s="1"/>
  <c r="N277" i="1"/>
  <c r="J277" i="1"/>
  <c r="N276" i="1"/>
  <c r="J276" i="1"/>
  <c r="L276" i="1" s="1"/>
  <c r="N275" i="1"/>
  <c r="L275" i="1"/>
  <c r="K275" i="1"/>
  <c r="J275" i="1"/>
  <c r="M275" i="1" s="1"/>
  <c r="N274" i="1"/>
  <c r="M274" i="1"/>
  <c r="L274" i="1"/>
  <c r="K274" i="1"/>
  <c r="J274" i="1"/>
  <c r="N273" i="1"/>
  <c r="J273" i="1"/>
  <c r="M273" i="1" s="1"/>
  <c r="N272" i="1"/>
  <c r="J272" i="1"/>
  <c r="L272" i="1" s="1"/>
  <c r="N271" i="1"/>
  <c r="L271" i="1"/>
  <c r="J271" i="1"/>
  <c r="M271" i="1" s="1"/>
  <c r="N270" i="1"/>
  <c r="M270" i="1"/>
  <c r="K270" i="1"/>
  <c r="J270" i="1"/>
  <c r="L270" i="1" s="1"/>
  <c r="N269" i="1"/>
  <c r="M269" i="1"/>
  <c r="J269" i="1"/>
  <c r="L269" i="1" s="1"/>
  <c r="N268" i="1"/>
  <c r="J268" i="1"/>
  <c r="L268" i="1" s="1"/>
  <c r="N267" i="1"/>
  <c r="M267" i="1"/>
  <c r="L267" i="1"/>
  <c r="K267" i="1"/>
  <c r="J267" i="1"/>
  <c r="N266" i="1"/>
  <c r="J266" i="1"/>
  <c r="M266" i="1" s="1"/>
  <c r="N265" i="1"/>
  <c r="J265" i="1"/>
  <c r="K265" i="1" s="1"/>
  <c r="N264" i="1"/>
  <c r="J264" i="1"/>
  <c r="N263" i="1"/>
  <c r="J263" i="1"/>
  <c r="N262" i="1"/>
  <c r="M262" i="1"/>
  <c r="K262" i="1"/>
  <c r="J262" i="1"/>
  <c r="L262" i="1" s="1"/>
  <c r="N261" i="1"/>
  <c r="K261" i="1"/>
  <c r="J261" i="1"/>
  <c r="M261" i="1" s="1"/>
  <c r="N260" i="1"/>
  <c r="J260" i="1"/>
  <c r="N259" i="1"/>
  <c r="J259" i="1"/>
  <c r="N258" i="1"/>
  <c r="J258" i="1"/>
  <c r="K258" i="1" s="1"/>
  <c r="N257" i="1"/>
  <c r="J257" i="1"/>
  <c r="M257" i="1" s="1"/>
  <c r="N256" i="1"/>
  <c r="K256" i="1"/>
  <c r="J256" i="1"/>
  <c r="L256" i="1" s="1"/>
  <c r="N255" i="1"/>
  <c r="M255" i="1"/>
  <c r="L255" i="1"/>
  <c r="K255" i="1"/>
  <c r="J255" i="1"/>
  <c r="N254" i="1"/>
  <c r="K254" i="1"/>
  <c r="J254" i="1"/>
  <c r="M254" i="1" s="1"/>
  <c r="N253" i="1"/>
  <c r="J253" i="1"/>
  <c r="N252" i="1"/>
  <c r="J252" i="1"/>
  <c r="L252" i="1" s="1"/>
  <c r="N251" i="1"/>
  <c r="M251" i="1"/>
  <c r="L251" i="1"/>
  <c r="J251" i="1"/>
  <c r="K251" i="1" s="1"/>
  <c r="N250" i="1"/>
  <c r="J250" i="1"/>
  <c r="M250" i="1" s="1"/>
  <c r="N249" i="1"/>
  <c r="M249" i="1"/>
  <c r="L249" i="1"/>
  <c r="K249" i="1"/>
  <c r="J249" i="1"/>
  <c r="N248" i="1"/>
  <c r="K248" i="1"/>
  <c r="J248" i="1"/>
  <c r="L248" i="1" s="1"/>
  <c r="N247" i="1"/>
  <c r="M247" i="1"/>
  <c r="L247" i="1"/>
  <c r="K247" i="1"/>
  <c r="J247" i="1"/>
  <c r="N246" i="1"/>
  <c r="M246" i="1"/>
  <c r="J246" i="1"/>
  <c r="K246" i="1" s="1"/>
  <c r="N245" i="1"/>
  <c r="M245" i="1"/>
  <c r="K245" i="1"/>
  <c r="J245" i="1"/>
  <c r="L245" i="1" s="1"/>
  <c r="N244" i="1"/>
  <c r="J244" i="1"/>
  <c r="L244" i="1" s="1"/>
  <c r="N243" i="1"/>
  <c r="M243" i="1"/>
  <c r="J243" i="1"/>
  <c r="N242" i="1"/>
  <c r="J242" i="1"/>
  <c r="N241" i="1"/>
  <c r="J241" i="1"/>
  <c r="M241" i="1" s="1"/>
  <c r="N240" i="1"/>
  <c r="J240" i="1"/>
  <c r="L240" i="1" s="1"/>
  <c r="N239" i="1"/>
  <c r="L239" i="1"/>
  <c r="J239" i="1"/>
  <c r="M239" i="1" s="1"/>
  <c r="N238" i="1"/>
  <c r="J238" i="1"/>
  <c r="N237" i="1"/>
  <c r="M237" i="1"/>
  <c r="J237" i="1"/>
  <c r="L237" i="1" s="1"/>
  <c r="N236" i="1"/>
  <c r="J236" i="1"/>
  <c r="L236" i="1" s="1"/>
  <c r="N235" i="1"/>
  <c r="M235" i="1"/>
  <c r="K235" i="1"/>
  <c r="J235" i="1"/>
  <c r="L235" i="1" s="1"/>
  <c r="N234" i="1"/>
  <c r="J234" i="1"/>
  <c r="N233" i="1"/>
  <c r="J233" i="1"/>
  <c r="K233" i="1" s="1"/>
  <c r="N232" i="1"/>
  <c r="J232" i="1"/>
  <c r="N231" i="1"/>
  <c r="M231" i="1"/>
  <c r="L231" i="1"/>
  <c r="J231" i="1"/>
  <c r="K231" i="1" s="1"/>
  <c r="N230" i="1"/>
  <c r="K230" i="1"/>
  <c r="J230" i="1"/>
  <c r="N229" i="1"/>
  <c r="K229" i="1"/>
  <c r="J229" i="1"/>
  <c r="M229" i="1" s="1"/>
  <c r="N228" i="1"/>
  <c r="M228" i="1"/>
  <c r="J228" i="1"/>
  <c r="N227" i="1"/>
  <c r="M227" i="1"/>
  <c r="L227" i="1"/>
  <c r="J227" i="1"/>
  <c r="K227" i="1" s="1"/>
  <c r="N226" i="1"/>
  <c r="J226" i="1"/>
  <c r="K226" i="1" s="1"/>
  <c r="N225" i="1"/>
  <c r="J225" i="1"/>
  <c r="M225" i="1" s="1"/>
  <c r="N224" i="1"/>
  <c r="M224" i="1"/>
  <c r="J224" i="1"/>
  <c r="L224" i="1" s="1"/>
  <c r="N223" i="1"/>
  <c r="J223" i="1"/>
  <c r="M223" i="1" s="1"/>
  <c r="N222" i="1"/>
  <c r="J222" i="1"/>
  <c r="M222" i="1" s="1"/>
  <c r="N221" i="1"/>
  <c r="L221" i="1"/>
  <c r="J221" i="1"/>
  <c r="N220" i="1"/>
  <c r="J220" i="1"/>
  <c r="N219" i="1"/>
  <c r="J219" i="1"/>
  <c r="N218" i="1"/>
  <c r="J218" i="1"/>
  <c r="M218" i="1" s="1"/>
  <c r="N217" i="1"/>
  <c r="M217" i="1"/>
  <c r="L217" i="1"/>
  <c r="K217" i="1"/>
  <c r="J217" i="1"/>
  <c r="N216" i="1"/>
  <c r="J216" i="1"/>
  <c r="L216" i="1" s="1"/>
  <c r="N215" i="1"/>
  <c r="M215" i="1"/>
  <c r="L215" i="1"/>
  <c r="K215" i="1"/>
  <c r="J215" i="1"/>
  <c r="N214" i="1"/>
  <c r="M214" i="1"/>
  <c r="L214" i="1"/>
  <c r="J214" i="1"/>
  <c r="K214" i="1" s="1"/>
  <c r="N213" i="1"/>
  <c r="J213" i="1"/>
  <c r="N212" i="1"/>
  <c r="J212" i="1"/>
  <c r="L212" i="1" s="1"/>
  <c r="N211" i="1"/>
  <c r="M211" i="1"/>
  <c r="L211" i="1"/>
  <c r="K211" i="1"/>
  <c r="J211" i="1"/>
  <c r="N210" i="1"/>
  <c r="M210" i="1"/>
  <c r="L210" i="1"/>
  <c r="K210" i="1"/>
  <c r="J210" i="1"/>
  <c r="N209" i="1"/>
  <c r="J209" i="1"/>
  <c r="N208" i="1"/>
  <c r="K208" i="1"/>
  <c r="J208" i="1"/>
  <c r="L208" i="1" s="1"/>
  <c r="N207" i="1"/>
  <c r="J207" i="1"/>
  <c r="N206" i="1"/>
  <c r="J206" i="1"/>
  <c r="L206" i="1" s="1"/>
  <c r="N205" i="1"/>
  <c r="J205" i="1"/>
  <c r="N204" i="1"/>
  <c r="J204" i="1"/>
  <c r="L204" i="1" s="1"/>
  <c r="N203" i="1"/>
  <c r="M203" i="1"/>
  <c r="L203" i="1"/>
  <c r="J203" i="1"/>
  <c r="K203" i="1" s="1"/>
  <c r="N202" i="1"/>
  <c r="J202" i="1"/>
  <c r="L202" i="1" s="1"/>
  <c r="N201" i="1"/>
  <c r="J201" i="1"/>
  <c r="H201" i="1"/>
  <c r="G201" i="1"/>
  <c r="F201" i="1"/>
  <c r="N200" i="1"/>
  <c r="J200" i="1"/>
  <c r="H200" i="1"/>
  <c r="G200" i="1"/>
  <c r="F200" i="1"/>
  <c r="N199" i="1"/>
  <c r="J199" i="1"/>
  <c r="H199" i="1"/>
  <c r="G199" i="1"/>
  <c r="F199" i="1"/>
  <c r="N198" i="1"/>
  <c r="M198" i="1"/>
  <c r="J198" i="1"/>
  <c r="L198" i="1" s="1"/>
  <c r="H198" i="1"/>
  <c r="G198" i="1"/>
  <c r="F198" i="1"/>
  <c r="N197" i="1"/>
  <c r="M197" i="1"/>
  <c r="L197" i="1"/>
  <c r="J197" i="1"/>
  <c r="K197" i="1" s="1"/>
  <c r="H197" i="1"/>
  <c r="G197" i="1"/>
  <c r="F197" i="1"/>
  <c r="N196" i="1"/>
  <c r="M196" i="1"/>
  <c r="L196" i="1"/>
  <c r="J196" i="1"/>
  <c r="K196" i="1" s="1"/>
  <c r="H196" i="1"/>
  <c r="G196" i="1"/>
  <c r="F196" i="1"/>
  <c r="N195" i="1"/>
  <c r="M195" i="1"/>
  <c r="J195" i="1"/>
  <c r="L195" i="1" s="1"/>
  <c r="H195" i="1"/>
  <c r="G195" i="1"/>
  <c r="F195" i="1"/>
  <c r="N194" i="1"/>
  <c r="K194" i="1"/>
  <c r="J194" i="1"/>
  <c r="M194" i="1" s="1"/>
  <c r="H194" i="1"/>
  <c r="G194" i="1"/>
  <c r="F194" i="1"/>
  <c r="N193" i="1"/>
  <c r="L193" i="1"/>
  <c r="J193" i="1"/>
  <c r="H193" i="1"/>
  <c r="G193" i="1"/>
  <c r="F193" i="1"/>
  <c r="N192" i="1"/>
  <c r="J192" i="1"/>
  <c r="M192" i="1" s="1"/>
  <c r="H192" i="1"/>
  <c r="G192" i="1"/>
  <c r="F192" i="1"/>
  <c r="N191" i="1"/>
  <c r="K191" i="1"/>
  <c r="J191" i="1"/>
  <c r="M191" i="1" s="1"/>
  <c r="H191" i="1"/>
  <c r="G191" i="1"/>
  <c r="F191" i="1"/>
  <c r="N190" i="1"/>
  <c r="J190" i="1"/>
  <c r="H190" i="1"/>
  <c r="G190" i="1"/>
  <c r="F190" i="1"/>
  <c r="N189" i="1"/>
  <c r="M189" i="1"/>
  <c r="J189" i="1"/>
  <c r="L189" i="1" s="1"/>
  <c r="H189" i="1"/>
  <c r="G189" i="1"/>
  <c r="F189" i="1"/>
  <c r="N188" i="1"/>
  <c r="L188" i="1"/>
  <c r="J188" i="1"/>
  <c r="K188" i="1" s="1"/>
  <c r="H188" i="1"/>
  <c r="G188" i="1"/>
  <c r="F188" i="1"/>
  <c r="N187" i="1"/>
  <c r="J187" i="1"/>
  <c r="L187" i="1" s="1"/>
  <c r="H187" i="1"/>
  <c r="G187" i="1"/>
  <c r="F187" i="1"/>
  <c r="N186" i="1"/>
  <c r="K186" i="1"/>
  <c r="J186" i="1"/>
  <c r="M186" i="1" s="1"/>
  <c r="H186" i="1"/>
  <c r="G186" i="1"/>
  <c r="F186" i="1"/>
  <c r="N185" i="1"/>
  <c r="J185" i="1"/>
  <c r="H185" i="1"/>
  <c r="G185" i="1"/>
  <c r="F185" i="1"/>
  <c r="N184" i="1"/>
  <c r="M184" i="1"/>
  <c r="K184" i="1"/>
  <c r="J184" i="1"/>
  <c r="L184" i="1" s="1"/>
  <c r="H184" i="1"/>
  <c r="G184" i="1"/>
  <c r="F184" i="1"/>
  <c r="N183" i="1"/>
  <c r="M183" i="1"/>
  <c r="L183" i="1"/>
  <c r="K183" i="1"/>
  <c r="J183" i="1"/>
  <c r="H183" i="1"/>
  <c r="G183" i="1"/>
  <c r="F183" i="1"/>
  <c r="N182" i="1"/>
  <c r="L182" i="1"/>
  <c r="J182" i="1"/>
  <c r="H182" i="1"/>
  <c r="G182" i="1"/>
  <c r="F182" i="1"/>
  <c r="N181" i="1"/>
  <c r="J181" i="1"/>
  <c r="L181" i="1" s="1"/>
  <c r="H181" i="1"/>
  <c r="G181" i="1"/>
  <c r="F181" i="1"/>
  <c r="N180" i="1"/>
  <c r="J180" i="1"/>
  <c r="K180" i="1" s="1"/>
  <c r="H180" i="1"/>
  <c r="G180" i="1"/>
  <c r="F180" i="1"/>
  <c r="N179" i="1"/>
  <c r="J179" i="1"/>
  <c r="L179" i="1" s="1"/>
  <c r="H179" i="1"/>
  <c r="G179" i="1"/>
  <c r="F179" i="1"/>
  <c r="N178" i="1"/>
  <c r="J178" i="1"/>
  <c r="M178" i="1" s="1"/>
  <c r="H178" i="1"/>
  <c r="G178" i="1"/>
  <c r="F178" i="1"/>
  <c r="N177" i="1"/>
  <c r="K177" i="1"/>
  <c r="J177" i="1"/>
  <c r="M177" i="1" s="1"/>
  <c r="H177" i="1"/>
  <c r="G177" i="1"/>
  <c r="F177" i="1"/>
  <c r="N176" i="1"/>
  <c r="J176" i="1"/>
  <c r="H176" i="1"/>
  <c r="G176" i="1"/>
  <c r="F176" i="1"/>
  <c r="N175" i="1"/>
  <c r="M175" i="1"/>
  <c r="K175" i="1"/>
  <c r="J175" i="1"/>
  <c r="L175" i="1" s="1"/>
  <c r="H175" i="1"/>
  <c r="G175" i="1"/>
  <c r="F175" i="1"/>
  <c r="N174" i="1"/>
  <c r="J174" i="1"/>
  <c r="H174" i="1"/>
  <c r="G174" i="1"/>
  <c r="F174" i="1"/>
  <c r="N173" i="1"/>
  <c r="L173" i="1"/>
  <c r="J173" i="1"/>
  <c r="M173" i="1" s="1"/>
  <c r="H173" i="1"/>
  <c r="G173" i="1"/>
  <c r="F173" i="1"/>
  <c r="N172" i="1"/>
  <c r="L172" i="1"/>
  <c r="J172" i="1"/>
  <c r="K172" i="1" s="1"/>
  <c r="H172" i="1"/>
  <c r="G172" i="1"/>
  <c r="F172" i="1"/>
  <c r="N171" i="1"/>
  <c r="M171" i="1"/>
  <c r="K171" i="1"/>
  <c r="J171" i="1"/>
  <c r="L171" i="1" s="1"/>
  <c r="H171" i="1"/>
  <c r="G171" i="1"/>
  <c r="F171" i="1"/>
  <c r="N170" i="1"/>
  <c r="J170" i="1"/>
  <c r="K170" i="1" s="1"/>
  <c r="H170" i="1"/>
  <c r="G170" i="1"/>
  <c r="F170" i="1"/>
  <c r="N169" i="1"/>
  <c r="J169" i="1"/>
  <c r="M169" i="1" s="1"/>
  <c r="H169" i="1"/>
  <c r="G169" i="1"/>
  <c r="F169" i="1"/>
  <c r="N168" i="1"/>
  <c r="K168" i="1"/>
  <c r="J168" i="1"/>
  <c r="M168" i="1" s="1"/>
  <c r="H168" i="1"/>
  <c r="G168" i="1"/>
  <c r="F168" i="1"/>
  <c r="N167" i="1"/>
  <c r="J167" i="1"/>
  <c r="H167" i="1"/>
  <c r="G167" i="1"/>
  <c r="F167" i="1"/>
  <c r="N166" i="1"/>
  <c r="J166" i="1"/>
  <c r="H166" i="1"/>
  <c r="G166" i="1"/>
  <c r="F166" i="1"/>
  <c r="N165" i="1"/>
  <c r="J165" i="1"/>
  <c r="H165" i="1"/>
  <c r="G165" i="1"/>
  <c r="F165" i="1"/>
  <c r="N164" i="1"/>
  <c r="M164" i="1"/>
  <c r="J164" i="1"/>
  <c r="L164" i="1" s="1"/>
  <c r="H164" i="1"/>
  <c r="G164" i="1"/>
  <c r="F164" i="1"/>
  <c r="N163" i="1"/>
  <c r="L163" i="1"/>
  <c r="J163" i="1"/>
  <c r="M163" i="1" s="1"/>
  <c r="H163" i="1"/>
  <c r="G163" i="1"/>
  <c r="F163" i="1"/>
  <c r="N162" i="1"/>
  <c r="L162" i="1"/>
  <c r="J162" i="1"/>
  <c r="K162" i="1" s="1"/>
  <c r="H162" i="1"/>
  <c r="G162" i="1"/>
  <c r="F162" i="1"/>
  <c r="N161" i="1"/>
  <c r="J161" i="1"/>
  <c r="M161" i="1" s="1"/>
  <c r="H161" i="1"/>
  <c r="G161" i="1"/>
  <c r="F161" i="1"/>
  <c r="N160" i="1"/>
  <c r="J160" i="1"/>
  <c r="M160" i="1" s="1"/>
  <c r="H160" i="1"/>
  <c r="G160" i="1"/>
  <c r="F160" i="1"/>
  <c r="N159" i="1"/>
  <c r="J159" i="1"/>
  <c r="H159" i="1"/>
  <c r="G159" i="1"/>
  <c r="F159" i="1"/>
  <c r="N158" i="1"/>
  <c r="J158" i="1"/>
  <c r="L158" i="1" s="1"/>
  <c r="H158" i="1"/>
  <c r="G158" i="1"/>
  <c r="F158" i="1"/>
  <c r="N157" i="1"/>
  <c r="J157" i="1"/>
  <c r="L157" i="1" s="1"/>
  <c r="H157" i="1"/>
  <c r="G157" i="1"/>
  <c r="F157" i="1"/>
  <c r="N156" i="1"/>
  <c r="M156" i="1"/>
  <c r="K156" i="1"/>
  <c r="J156" i="1"/>
  <c r="L156" i="1" s="1"/>
  <c r="H156" i="1"/>
  <c r="G156" i="1"/>
  <c r="F156" i="1"/>
  <c r="N155" i="1"/>
  <c r="M155" i="1"/>
  <c r="L155" i="1"/>
  <c r="K155" i="1"/>
  <c r="J155" i="1"/>
  <c r="H155" i="1"/>
  <c r="G155" i="1"/>
  <c r="F155" i="1"/>
  <c r="N154" i="1"/>
  <c r="J154" i="1"/>
  <c r="K154" i="1" s="1"/>
  <c r="H154" i="1"/>
  <c r="G154" i="1"/>
  <c r="F154" i="1"/>
  <c r="N153" i="1"/>
  <c r="J153" i="1"/>
  <c r="M153" i="1" s="1"/>
  <c r="H153" i="1"/>
  <c r="G153" i="1"/>
  <c r="F153" i="1"/>
  <c r="N152" i="1"/>
  <c r="K152" i="1"/>
  <c r="J152" i="1"/>
  <c r="M152" i="1" s="1"/>
  <c r="H152" i="1"/>
  <c r="G152" i="1"/>
  <c r="F152" i="1"/>
  <c r="N151" i="1"/>
  <c r="J151" i="1"/>
  <c r="H151" i="1"/>
  <c r="G151" i="1"/>
  <c r="F151" i="1"/>
  <c r="N150" i="1"/>
  <c r="K150" i="1"/>
  <c r="J150" i="1"/>
  <c r="L150" i="1" s="1"/>
  <c r="H150" i="1"/>
  <c r="G150" i="1"/>
  <c r="F150" i="1"/>
  <c r="N149" i="1"/>
  <c r="J149" i="1"/>
  <c r="H149" i="1"/>
  <c r="G149" i="1"/>
  <c r="F149" i="1"/>
  <c r="N148" i="1"/>
  <c r="M148" i="1"/>
  <c r="K148" i="1"/>
  <c r="J148" i="1"/>
  <c r="L148" i="1" s="1"/>
  <c r="H148" i="1"/>
  <c r="G148" i="1"/>
  <c r="F148" i="1"/>
  <c r="N147" i="1"/>
  <c r="M147" i="1"/>
  <c r="L147" i="1"/>
  <c r="K147" i="1"/>
  <c r="J147" i="1"/>
  <c r="H147" i="1"/>
  <c r="G147" i="1"/>
  <c r="F147" i="1"/>
  <c r="N146" i="1"/>
  <c r="M146" i="1"/>
  <c r="J146" i="1"/>
  <c r="K146" i="1" s="1"/>
  <c r="H146" i="1"/>
  <c r="G146" i="1"/>
  <c r="F146" i="1"/>
  <c r="N145" i="1"/>
  <c r="J145" i="1"/>
  <c r="M145" i="1" s="1"/>
  <c r="H145" i="1"/>
  <c r="G145" i="1"/>
  <c r="F145" i="1"/>
  <c r="N144" i="1"/>
  <c r="K144" i="1"/>
  <c r="J144" i="1"/>
  <c r="M144" i="1" s="1"/>
  <c r="H144" i="1"/>
  <c r="G144" i="1"/>
  <c r="F144" i="1"/>
  <c r="N143" i="1"/>
  <c r="J143" i="1"/>
  <c r="H143" i="1"/>
  <c r="G143" i="1"/>
  <c r="F143" i="1"/>
  <c r="N142" i="1"/>
  <c r="M142" i="1"/>
  <c r="K142" i="1"/>
  <c r="J142" i="1"/>
  <c r="L142" i="1" s="1"/>
  <c r="H142" i="1"/>
  <c r="G142" i="1"/>
  <c r="F142" i="1"/>
  <c r="N141" i="1"/>
  <c r="J141" i="1"/>
  <c r="L141" i="1" s="1"/>
  <c r="H141" i="1"/>
  <c r="G141" i="1"/>
  <c r="F141" i="1"/>
  <c r="N140" i="1"/>
  <c r="M140" i="1"/>
  <c r="J140" i="1"/>
  <c r="L140" i="1" s="1"/>
  <c r="H140" i="1"/>
  <c r="G140" i="1"/>
  <c r="F140" i="1"/>
  <c r="N139" i="1"/>
  <c r="L139" i="1"/>
  <c r="J139" i="1"/>
  <c r="M139" i="1" s="1"/>
  <c r="H139" i="1"/>
  <c r="G139" i="1"/>
  <c r="F139" i="1"/>
  <c r="N138" i="1"/>
  <c r="L138" i="1"/>
  <c r="J138" i="1"/>
  <c r="K138" i="1" s="1"/>
  <c r="H138" i="1"/>
  <c r="G138" i="1"/>
  <c r="F138" i="1"/>
  <c r="N137" i="1"/>
  <c r="J137" i="1"/>
  <c r="M137" i="1" s="1"/>
  <c r="H137" i="1"/>
  <c r="G137" i="1"/>
  <c r="F137" i="1"/>
  <c r="N136" i="1"/>
  <c r="J136" i="1"/>
  <c r="M136" i="1" s="1"/>
  <c r="H136" i="1"/>
  <c r="G136" i="1"/>
  <c r="F136" i="1"/>
  <c r="N135" i="1"/>
  <c r="J135" i="1"/>
  <c r="H135" i="1"/>
  <c r="G135" i="1"/>
  <c r="F135" i="1"/>
  <c r="N134" i="1"/>
  <c r="J134" i="1"/>
  <c r="L134" i="1" s="1"/>
  <c r="H134" i="1"/>
  <c r="G134" i="1"/>
  <c r="F134" i="1"/>
  <c r="N133" i="1"/>
  <c r="J133" i="1"/>
  <c r="H133" i="1"/>
  <c r="G133" i="1"/>
  <c r="F133" i="1"/>
  <c r="N132" i="1"/>
  <c r="J132" i="1"/>
  <c r="L132" i="1" s="1"/>
  <c r="H132" i="1"/>
  <c r="G132" i="1"/>
  <c r="F132" i="1"/>
  <c r="N131" i="1"/>
  <c r="J131" i="1"/>
  <c r="M131" i="1" s="1"/>
  <c r="H131" i="1"/>
  <c r="G131" i="1"/>
  <c r="F131" i="1"/>
  <c r="N130" i="1"/>
  <c r="J130" i="1"/>
  <c r="K130" i="1" s="1"/>
  <c r="H130" i="1"/>
  <c r="G130" i="1"/>
  <c r="F130" i="1"/>
  <c r="N129" i="1"/>
  <c r="J129" i="1"/>
  <c r="M129" i="1" s="1"/>
  <c r="H129" i="1"/>
  <c r="G129" i="1"/>
  <c r="F129" i="1"/>
  <c r="N128" i="1"/>
  <c r="J128" i="1"/>
  <c r="M128" i="1" s="1"/>
  <c r="H128" i="1"/>
  <c r="G128" i="1"/>
  <c r="F128" i="1"/>
  <c r="N127" i="1"/>
  <c r="J127" i="1"/>
  <c r="H127" i="1"/>
  <c r="G127" i="1"/>
  <c r="F127" i="1"/>
  <c r="N126" i="1"/>
  <c r="M126" i="1"/>
  <c r="J126" i="1"/>
  <c r="L126" i="1" s="1"/>
  <c r="H126" i="1"/>
  <c r="G126" i="1"/>
  <c r="F126" i="1"/>
  <c r="N125" i="1"/>
  <c r="J125" i="1"/>
  <c r="L125" i="1" s="1"/>
  <c r="H125" i="1"/>
  <c r="G125" i="1"/>
  <c r="F125" i="1"/>
  <c r="N124" i="1"/>
  <c r="M124" i="1"/>
  <c r="K124" i="1"/>
  <c r="J124" i="1"/>
  <c r="L124" i="1" s="1"/>
  <c r="H124" i="1"/>
  <c r="G124" i="1"/>
  <c r="F124" i="1"/>
  <c r="N123" i="1"/>
  <c r="M123" i="1"/>
  <c r="L123" i="1"/>
  <c r="K123" i="1"/>
  <c r="J123" i="1"/>
  <c r="H123" i="1"/>
  <c r="G123" i="1"/>
  <c r="F123" i="1"/>
  <c r="N122" i="1"/>
  <c r="M122" i="1"/>
  <c r="L122" i="1"/>
  <c r="K122" i="1"/>
  <c r="J122" i="1"/>
  <c r="H122" i="1"/>
  <c r="G122" i="1"/>
  <c r="F122" i="1"/>
  <c r="N121" i="1"/>
  <c r="J121" i="1"/>
  <c r="M121" i="1" s="1"/>
  <c r="H121" i="1"/>
  <c r="G121" i="1"/>
  <c r="F121" i="1"/>
  <c r="N120" i="1"/>
  <c r="J120" i="1"/>
  <c r="M120" i="1" s="1"/>
  <c r="H120" i="1"/>
  <c r="G120" i="1"/>
  <c r="F120" i="1"/>
  <c r="N119" i="1"/>
  <c r="J119" i="1"/>
  <c r="H119" i="1"/>
  <c r="G119" i="1"/>
  <c r="F119" i="1"/>
  <c r="N118" i="1"/>
  <c r="M118" i="1"/>
  <c r="J118" i="1"/>
  <c r="L118" i="1" s="1"/>
  <c r="H118" i="1"/>
  <c r="G118" i="1"/>
  <c r="F118" i="1"/>
  <c r="N117" i="1"/>
  <c r="J117" i="1"/>
  <c r="H117" i="1"/>
  <c r="G117" i="1"/>
  <c r="F117" i="1"/>
  <c r="N116" i="1"/>
  <c r="M116" i="1"/>
  <c r="J116" i="1"/>
  <c r="L116" i="1" s="1"/>
  <c r="H116" i="1"/>
  <c r="G116" i="1"/>
  <c r="F116" i="1"/>
  <c r="N115" i="1"/>
  <c r="L115" i="1"/>
  <c r="J115" i="1"/>
  <c r="M115" i="1" s="1"/>
  <c r="H115" i="1"/>
  <c r="G115" i="1"/>
  <c r="F115" i="1"/>
  <c r="N114" i="1"/>
  <c r="L114" i="1"/>
  <c r="J114" i="1"/>
  <c r="K114" i="1" s="1"/>
  <c r="H114" i="1"/>
  <c r="G114" i="1"/>
  <c r="F114" i="1"/>
  <c r="N113" i="1"/>
  <c r="J113" i="1"/>
  <c r="H113" i="1"/>
  <c r="G113" i="1"/>
  <c r="F113" i="1"/>
  <c r="N112" i="1"/>
  <c r="J112" i="1"/>
  <c r="M112" i="1" s="1"/>
  <c r="H112" i="1"/>
  <c r="G112" i="1"/>
  <c r="F112" i="1"/>
  <c r="N111" i="1"/>
  <c r="J111" i="1"/>
  <c r="L111" i="1" s="1"/>
  <c r="H111" i="1"/>
  <c r="G111" i="1"/>
  <c r="F111" i="1"/>
  <c r="N110" i="1"/>
  <c r="K110" i="1"/>
  <c r="J110" i="1"/>
  <c r="L110" i="1" s="1"/>
  <c r="H110" i="1"/>
  <c r="G110" i="1"/>
  <c r="F110" i="1"/>
  <c r="N109" i="1"/>
  <c r="J109" i="1"/>
  <c r="L109" i="1" s="1"/>
  <c r="H109" i="1"/>
  <c r="G109" i="1"/>
  <c r="F109" i="1"/>
  <c r="N108" i="1"/>
  <c r="M108" i="1"/>
  <c r="K108" i="1"/>
  <c r="J108" i="1"/>
  <c r="L108" i="1" s="1"/>
  <c r="H108" i="1"/>
  <c r="G108" i="1"/>
  <c r="F108" i="1"/>
  <c r="N107" i="1"/>
  <c r="M107" i="1"/>
  <c r="L107" i="1"/>
  <c r="K107" i="1"/>
  <c r="J107" i="1"/>
  <c r="H107" i="1"/>
  <c r="G107" i="1"/>
  <c r="F107" i="1"/>
  <c r="N106" i="1"/>
  <c r="J106" i="1"/>
  <c r="K106" i="1" s="1"/>
  <c r="H106" i="1"/>
  <c r="G106" i="1"/>
  <c r="F106" i="1"/>
  <c r="N105" i="1"/>
  <c r="J105" i="1"/>
  <c r="H105" i="1"/>
  <c r="G105" i="1"/>
  <c r="F105" i="1"/>
  <c r="N104" i="1"/>
  <c r="K104" i="1"/>
  <c r="J104" i="1"/>
  <c r="M104" i="1" s="1"/>
  <c r="H104" i="1"/>
  <c r="G104" i="1"/>
  <c r="F104" i="1"/>
  <c r="N103" i="1"/>
  <c r="L103" i="1"/>
  <c r="J103" i="1"/>
  <c r="H103" i="1"/>
  <c r="G103" i="1"/>
  <c r="F103" i="1"/>
  <c r="N102" i="1"/>
  <c r="J102" i="1"/>
  <c r="L102" i="1" s="1"/>
  <c r="H102" i="1"/>
  <c r="G102" i="1"/>
  <c r="F102" i="1"/>
  <c r="N101" i="1"/>
  <c r="J101" i="1"/>
  <c r="L101" i="1" s="1"/>
  <c r="H101" i="1"/>
  <c r="G101" i="1"/>
  <c r="F101" i="1"/>
  <c r="N100" i="1"/>
  <c r="J100" i="1"/>
  <c r="L100" i="1" s="1"/>
  <c r="H100" i="1"/>
  <c r="G100" i="1"/>
  <c r="F100" i="1"/>
  <c r="N99" i="1"/>
  <c r="M99" i="1"/>
  <c r="L99" i="1"/>
  <c r="K99" i="1"/>
  <c r="J99" i="1"/>
  <c r="H99" i="1"/>
  <c r="G99" i="1"/>
  <c r="F99" i="1"/>
  <c r="N98" i="1"/>
  <c r="M98" i="1"/>
  <c r="J98" i="1"/>
  <c r="K98" i="1" s="1"/>
  <c r="H98" i="1"/>
  <c r="G98" i="1"/>
  <c r="F98" i="1"/>
  <c r="N97" i="1"/>
  <c r="J97" i="1"/>
  <c r="H97" i="1"/>
  <c r="G97" i="1"/>
  <c r="F97" i="1"/>
  <c r="N96" i="1"/>
  <c r="K96" i="1"/>
  <c r="J96" i="1"/>
  <c r="M96" i="1" s="1"/>
  <c r="H96" i="1"/>
  <c r="G96" i="1"/>
  <c r="F96" i="1"/>
  <c r="N95" i="1"/>
  <c r="J95" i="1"/>
  <c r="H95" i="1"/>
  <c r="G95" i="1"/>
  <c r="F95" i="1"/>
  <c r="N94" i="1"/>
  <c r="M94" i="1"/>
  <c r="K94" i="1"/>
  <c r="J94" i="1"/>
  <c r="L94" i="1" s="1"/>
  <c r="H94" i="1"/>
  <c r="G94" i="1"/>
  <c r="F94" i="1"/>
  <c r="N93" i="1"/>
  <c r="J93" i="1"/>
  <c r="M93" i="1" s="1"/>
  <c r="H93" i="1"/>
  <c r="G93" i="1"/>
  <c r="F93" i="1"/>
  <c r="N92" i="1"/>
  <c r="J92" i="1"/>
  <c r="L92" i="1" s="1"/>
  <c r="H92" i="1"/>
  <c r="G92" i="1"/>
  <c r="F92" i="1"/>
  <c r="N91" i="1"/>
  <c r="J91" i="1"/>
  <c r="M91" i="1" s="1"/>
  <c r="H91" i="1"/>
  <c r="G91" i="1"/>
  <c r="F91" i="1"/>
  <c r="N90" i="1"/>
  <c r="M90" i="1"/>
  <c r="L90" i="1"/>
  <c r="J90" i="1"/>
  <c r="K90" i="1" s="1"/>
  <c r="H90" i="1"/>
  <c r="G90" i="1"/>
  <c r="F90" i="1"/>
  <c r="N89" i="1"/>
  <c r="J89" i="1"/>
  <c r="H89" i="1"/>
  <c r="G89" i="1"/>
  <c r="F89" i="1"/>
  <c r="N88" i="1"/>
  <c r="J88" i="1"/>
  <c r="M88" i="1" s="1"/>
  <c r="H88" i="1"/>
  <c r="G88" i="1"/>
  <c r="F88" i="1"/>
  <c r="N87" i="1"/>
  <c r="J87" i="1"/>
  <c r="L87" i="1" s="1"/>
  <c r="H87" i="1"/>
  <c r="G87" i="1"/>
  <c r="F87" i="1"/>
  <c r="N86" i="1"/>
  <c r="M86" i="1"/>
  <c r="K86" i="1"/>
  <c r="J86" i="1"/>
  <c r="L86" i="1" s="1"/>
  <c r="H86" i="1"/>
  <c r="G86" i="1"/>
  <c r="F86" i="1"/>
  <c r="N85" i="1"/>
  <c r="L85" i="1"/>
  <c r="J85" i="1"/>
  <c r="M85" i="1" s="1"/>
  <c r="H85" i="1"/>
  <c r="G85" i="1"/>
  <c r="F85" i="1"/>
  <c r="N84" i="1"/>
  <c r="J84" i="1"/>
  <c r="K84" i="1" s="1"/>
  <c r="H84" i="1"/>
  <c r="G84" i="1"/>
  <c r="F84" i="1"/>
  <c r="N83" i="1"/>
  <c r="J83" i="1"/>
  <c r="M83" i="1" s="1"/>
  <c r="H83" i="1"/>
  <c r="G83" i="1"/>
  <c r="F83" i="1"/>
  <c r="N82" i="1"/>
  <c r="L82" i="1"/>
  <c r="J82" i="1"/>
  <c r="K82" i="1" s="1"/>
  <c r="H82" i="1"/>
  <c r="G82" i="1"/>
  <c r="F82" i="1"/>
  <c r="N81" i="1"/>
  <c r="J81" i="1"/>
  <c r="H81" i="1"/>
  <c r="G81" i="1"/>
  <c r="F81" i="1"/>
  <c r="N80" i="1"/>
  <c r="J80" i="1"/>
  <c r="K80" i="1" s="1"/>
  <c r="H80" i="1"/>
  <c r="G80" i="1"/>
  <c r="F80" i="1"/>
  <c r="N79" i="1"/>
  <c r="L79" i="1"/>
  <c r="K79" i="1"/>
  <c r="J79" i="1"/>
  <c r="M79" i="1" s="1"/>
  <c r="H79" i="1"/>
  <c r="G79" i="1"/>
  <c r="F79" i="1"/>
  <c r="N78" i="1"/>
  <c r="J78" i="1"/>
  <c r="K78" i="1" s="1"/>
  <c r="H78" i="1"/>
  <c r="G78" i="1"/>
  <c r="F78" i="1"/>
  <c r="N77" i="1"/>
  <c r="J77" i="1"/>
  <c r="L77" i="1" s="1"/>
  <c r="H77" i="1"/>
  <c r="G77" i="1"/>
  <c r="F77" i="1"/>
  <c r="N76" i="1"/>
  <c r="J76" i="1"/>
  <c r="M76" i="1" s="1"/>
  <c r="H76" i="1"/>
  <c r="G76" i="1"/>
  <c r="F76" i="1"/>
  <c r="N75" i="1"/>
  <c r="M75" i="1"/>
  <c r="L75" i="1"/>
  <c r="K75" i="1"/>
  <c r="J75" i="1"/>
  <c r="H75" i="1"/>
  <c r="G75" i="1"/>
  <c r="F75" i="1"/>
  <c r="N74" i="1"/>
  <c r="J74" i="1"/>
  <c r="K74" i="1" s="1"/>
  <c r="H74" i="1"/>
  <c r="G74" i="1"/>
  <c r="F74" i="1"/>
  <c r="N73" i="1"/>
  <c r="J73" i="1"/>
  <c r="H73" i="1"/>
  <c r="G73" i="1"/>
  <c r="F73" i="1"/>
  <c r="N72" i="1"/>
  <c r="J72" i="1"/>
  <c r="H72" i="1"/>
  <c r="G72" i="1"/>
  <c r="F72" i="1"/>
  <c r="N71" i="1"/>
  <c r="J71" i="1"/>
  <c r="M71" i="1" s="1"/>
  <c r="H71" i="1"/>
  <c r="G71" i="1"/>
  <c r="F71" i="1"/>
  <c r="N70" i="1"/>
  <c r="J70" i="1"/>
  <c r="M70" i="1" s="1"/>
  <c r="H70" i="1"/>
  <c r="G70" i="1"/>
  <c r="F70" i="1"/>
  <c r="N69" i="1"/>
  <c r="L69" i="1"/>
  <c r="K69" i="1"/>
  <c r="J69" i="1"/>
  <c r="M69" i="1" s="1"/>
  <c r="H69" i="1"/>
  <c r="G69" i="1"/>
  <c r="F69" i="1"/>
  <c r="N68" i="1"/>
  <c r="M68" i="1"/>
  <c r="L68" i="1"/>
  <c r="K68" i="1"/>
  <c r="J68" i="1"/>
  <c r="H68" i="1"/>
  <c r="G68" i="1"/>
  <c r="F68" i="1"/>
  <c r="N67" i="1"/>
  <c r="M67" i="1"/>
  <c r="L67" i="1"/>
  <c r="K67" i="1"/>
  <c r="J67" i="1"/>
  <c r="H67" i="1"/>
  <c r="G67" i="1"/>
  <c r="F67" i="1"/>
  <c r="N66" i="1"/>
  <c r="J66" i="1"/>
  <c r="K66" i="1" s="1"/>
  <c r="H66" i="1"/>
  <c r="G66" i="1"/>
  <c r="F66" i="1"/>
  <c r="N65" i="1"/>
  <c r="J65" i="1"/>
  <c r="L65" i="1" s="1"/>
  <c r="H65" i="1"/>
  <c r="G65" i="1"/>
  <c r="F65" i="1"/>
  <c r="N64" i="1"/>
  <c r="J64" i="1"/>
  <c r="M64" i="1" s="1"/>
  <c r="H64" i="1"/>
  <c r="G64" i="1"/>
  <c r="F64" i="1"/>
  <c r="N63" i="1"/>
  <c r="M63" i="1"/>
  <c r="K63" i="1"/>
  <c r="J63" i="1"/>
  <c r="L63" i="1" s="1"/>
  <c r="H63" i="1"/>
  <c r="G63" i="1"/>
  <c r="F63" i="1"/>
  <c r="N62" i="1"/>
  <c r="J62" i="1"/>
  <c r="M62" i="1" s="1"/>
  <c r="H62" i="1"/>
  <c r="G62" i="1"/>
  <c r="F62" i="1"/>
  <c r="N61" i="1"/>
  <c r="J61" i="1"/>
  <c r="K61" i="1" s="1"/>
  <c r="H61" i="1"/>
  <c r="G61" i="1"/>
  <c r="F61" i="1"/>
  <c r="N60" i="1"/>
  <c r="J60" i="1"/>
  <c r="L60" i="1" s="1"/>
  <c r="H60" i="1"/>
  <c r="G60" i="1"/>
  <c r="F60" i="1"/>
  <c r="N59" i="1"/>
  <c r="J59" i="1"/>
  <c r="M59" i="1" s="1"/>
  <c r="H59" i="1"/>
  <c r="G59" i="1"/>
  <c r="F59" i="1"/>
  <c r="N58" i="1"/>
  <c r="J58" i="1"/>
  <c r="K58" i="1" s="1"/>
  <c r="H58" i="1"/>
  <c r="G58" i="1"/>
  <c r="F58" i="1"/>
  <c r="N57" i="1"/>
  <c r="J57" i="1"/>
  <c r="L57" i="1" s="1"/>
  <c r="H57" i="1"/>
  <c r="G57" i="1"/>
  <c r="F57" i="1"/>
  <c r="N56" i="1"/>
  <c r="J56" i="1"/>
  <c r="M56" i="1" s="1"/>
  <c r="H56" i="1"/>
  <c r="G56" i="1"/>
  <c r="F56" i="1"/>
  <c r="N55" i="1"/>
  <c r="M55" i="1"/>
  <c r="J55" i="1"/>
  <c r="L55" i="1" s="1"/>
  <c r="H55" i="1"/>
  <c r="G55" i="1"/>
  <c r="F55" i="1"/>
  <c r="N54" i="1"/>
  <c r="J54" i="1"/>
  <c r="M54" i="1" s="1"/>
  <c r="H54" i="1"/>
  <c r="G54" i="1"/>
  <c r="F54" i="1"/>
  <c r="N53" i="1"/>
  <c r="J53" i="1"/>
  <c r="M53" i="1" s="1"/>
  <c r="H53" i="1"/>
  <c r="G53" i="1"/>
  <c r="F53" i="1"/>
  <c r="N52" i="1"/>
  <c r="L52" i="1"/>
  <c r="K52" i="1"/>
  <c r="J52" i="1"/>
  <c r="M52" i="1" s="1"/>
  <c r="H52" i="1"/>
  <c r="G52" i="1"/>
  <c r="F52" i="1"/>
  <c r="N51" i="1"/>
  <c r="J51" i="1"/>
  <c r="K51" i="1" s="1"/>
  <c r="H51" i="1"/>
  <c r="G51" i="1"/>
  <c r="F51" i="1"/>
  <c r="N50" i="1"/>
  <c r="J50" i="1"/>
  <c r="L50" i="1" s="1"/>
  <c r="H50" i="1"/>
  <c r="G50" i="1"/>
  <c r="F50" i="1"/>
  <c r="N49" i="1"/>
  <c r="K49" i="1"/>
  <c r="J49" i="1"/>
  <c r="M49" i="1" s="1"/>
  <c r="H49" i="1"/>
  <c r="G49" i="1"/>
  <c r="F49" i="1"/>
  <c r="N48" i="1"/>
  <c r="L48" i="1"/>
  <c r="J48" i="1"/>
  <c r="M48" i="1" s="1"/>
  <c r="H48" i="1"/>
  <c r="G48" i="1"/>
  <c r="F48" i="1"/>
  <c r="N47" i="1"/>
  <c r="L47" i="1"/>
  <c r="J47" i="1"/>
  <c r="K47" i="1" s="1"/>
  <c r="H47" i="1"/>
  <c r="G47" i="1"/>
  <c r="F47" i="1"/>
  <c r="N46" i="1"/>
  <c r="J46" i="1"/>
  <c r="M46" i="1" s="1"/>
  <c r="H46" i="1"/>
  <c r="G46" i="1"/>
  <c r="F46" i="1"/>
  <c r="N45" i="1"/>
  <c r="K45" i="1"/>
  <c r="J45" i="1"/>
  <c r="M45" i="1" s="1"/>
  <c r="H45" i="1"/>
  <c r="G45" i="1"/>
  <c r="F45" i="1"/>
  <c r="N44" i="1"/>
  <c r="J44" i="1"/>
  <c r="M44" i="1" s="1"/>
  <c r="H44" i="1"/>
  <c r="G44" i="1"/>
  <c r="F44" i="1"/>
  <c r="N43" i="1"/>
  <c r="M43" i="1"/>
  <c r="L43" i="1"/>
  <c r="J43" i="1"/>
  <c r="K43" i="1" s="1"/>
  <c r="H43" i="1"/>
  <c r="G43" i="1"/>
  <c r="F43" i="1"/>
  <c r="N42" i="1"/>
  <c r="J42" i="1"/>
  <c r="L42" i="1" s="1"/>
  <c r="H42" i="1"/>
  <c r="G42" i="1"/>
  <c r="F42" i="1"/>
  <c r="N41" i="1"/>
  <c r="J41" i="1"/>
  <c r="M41" i="1" s="1"/>
  <c r="H41" i="1"/>
  <c r="G41" i="1"/>
  <c r="F41" i="1"/>
  <c r="N40" i="1"/>
  <c r="K40" i="1"/>
  <c r="J40" i="1"/>
  <c r="M40" i="1" s="1"/>
  <c r="H40" i="1"/>
  <c r="G40" i="1"/>
  <c r="F40" i="1"/>
  <c r="N39" i="1"/>
  <c r="M39" i="1"/>
  <c r="K39" i="1"/>
  <c r="J39" i="1"/>
  <c r="L39" i="1" s="1"/>
  <c r="H39" i="1"/>
  <c r="G39" i="1"/>
  <c r="F39" i="1"/>
  <c r="N38" i="1"/>
  <c r="J38" i="1"/>
  <c r="M38" i="1" s="1"/>
  <c r="H38" i="1"/>
  <c r="G38" i="1"/>
  <c r="F38" i="1"/>
  <c r="N37" i="1"/>
  <c r="J37" i="1"/>
  <c r="M37" i="1" s="1"/>
  <c r="H37" i="1"/>
  <c r="G37" i="1"/>
  <c r="F37" i="1"/>
  <c r="N36" i="1"/>
  <c r="J36" i="1"/>
  <c r="M36" i="1" s="1"/>
  <c r="H36" i="1"/>
  <c r="G36" i="1"/>
  <c r="F36" i="1"/>
  <c r="N35" i="1"/>
  <c r="M35" i="1"/>
  <c r="L35" i="1"/>
  <c r="J35" i="1"/>
  <c r="K35" i="1" s="1"/>
  <c r="H35" i="1"/>
  <c r="G35" i="1"/>
  <c r="F35" i="1"/>
  <c r="N34" i="1"/>
  <c r="J34" i="1"/>
  <c r="L34" i="1" s="1"/>
  <c r="H34" i="1"/>
  <c r="G34" i="1"/>
  <c r="F34" i="1"/>
  <c r="N33" i="1"/>
  <c r="K33" i="1"/>
  <c r="J33" i="1"/>
  <c r="M33" i="1" s="1"/>
  <c r="H33" i="1"/>
  <c r="G33" i="1"/>
  <c r="F33" i="1"/>
  <c r="N32" i="1"/>
  <c r="J32" i="1"/>
  <c r="M32" i="1" s="1"/>
  <c r="H32" i="1"/>
  <c r="G32" i="1"/>
  <c r="F32" i="1"/>
  <c r="N31" i="1"/>
  <c r="J31" i="1"/>
  <c r="M31" i="1" s="1"/>
  <c r="H31" i="1"/>
  <c r="G31" i="1"/>
  <c r="F31" i="1"/>
  <c r="N30" i="1"/>
  <c r="J30" i="1"/>
  <c r="M30" i="1" s="1"/>
  <c r="H30" i="1"/>
  <c r="G30" i="1"/>
  <c r="F30" i="1"/>
  <c r="N29" i="1"/>
  <c r="K29" i="1"/>
  <c r="J29" i="1"/>
  <c r="M29" i="1" s="1"/>
  <c r="H29" i="1"/>
  <c r="G29" i="1"/>
  <c r="F29" i="1"/>
  <c r="N28" i="1"/>
  <c r="L28" i="1"/>
  <c r="J28" i="1"/>
  <c r="M28" i="1" s="1"/>
  <c r="H28" i="1"/>
  <c r="G28" i="1"/>
  <c r="F28" i="1"/>
  <c r="N27" i="1"/>
  <c r="M27" i="1"/>
  <c r="L27" i="1"/>
  <c r="J27" i="1"/>
  <c r="K27" i="1" s="1"/>
  <c r="H27" i="1"/>
  <c r="G27" i="1"/>
  <c r="F27" i="1"/>
  <c r="N26" i="1"/>
  <c r="J26" i="1"/>
  <c r="L26" i="1" s="1"/>
  <c r="H26" i="1"/>
  <c r="G26" i="1"/>
  <c r="F26" i="1"/>
  <c r="N25" i="1"/>
  <c r="J25" i="1"/>
  <c r="M25" i="1" s="1"/>
  <c r="H25" i="1"/>
  <c r="G25" i="1"/>
  <c r="F25" i="1"/>
  <c r="N24" i="1"/>
  <c r="K24" i="1"/>
  <c r="J24" i="1"/>
  <c r="M24" i="1" s="1"/>
  <c r="H24" i="1"/>
  <c r="G24" i="1"/>
  <c r="F24" i="1"/>
  <c r="N23" i="1"/>
  <c r="M23" i="1"/>
  <c r="K23" i="1"/>
  <c r="J23" i="1"/>
  <c r="L23" i="1" s="1"/>
  <c r="H23" i="1"/>
  <c r="G23" i="1"/>
  <c r="F23" i="1"/>
  <c r="N22" i="1"/>
  <c r="J22" i="1"/>
  <c r="M22" i="1" s="1"/>
  <c r="H22" i="1"/>
  <c r="G22" i="1"/>
  <c r="F22" i="1"/>
  <c r="N21" i="1"/>
  <c r="K21" i="1"/>
  <c r="J21" i="1"/>
  <c r="M21" i="1" s="1"/>
  <c r="H21" i="1"/>
  <c r="G21" i="1"/>
  <c r="F21" i="1"/>
  <c r="N20" i="1"/>
  <c r="L20" i="1"/>
  <c r="K20" i="1"/>
  <c r="J20" i="1"/>
  <c r="M20" i="1" s="1"/>
  <c r="H20" i="1"/>
  <c r="G20" i="1"/>
  <c r="F20" i="1"/>
  <c r="N19" i="1"/>
  <c r="J19" i="1"/>
  <c r="K19" i="1" s="1"/>
  <c r="H19" i="1"/>
  <c r="G19" i="1"/>
  <c r="F19" i="1"/>
  <c r="N18" i="1"/>
  <c r="J18" i="1"/>
  <c r="L18" i="1" s="1"/>
  <c r="H18" i="1"/>
  <c r="G18" i="1"/>
  <c r="F18" i="1"/>
  <c r="N17" i="1"/>
  <c r="J17" i="1"/>
  <c r="M17" i="1" s="1"/>
  <c r="H17" i="1"/>
  <c r="G17" i="1"/>
  <c r="F17" i="1"/>
  <c r="N16" i="1"/>
  <c r="L16" i="1"/>
  <c r="K16" i="1"/>
  <c r="J16" i="1"/>
  <c r="M16" i="1" s="1"/>
  <c r="H16" i="1"/>
  <c r="G16" i="1"/>
  <c r="F16" i="1"/>
  <c r="N15" i="1"/>
  <c r="M15" i="1"/>
  <c r="L15" i="1"/>
  <c r="J15" i="1"/>
  <c r="K15" i="1" s="1"/>
  <c r="H15" i="1"/>
  <c r="G15" i="1"/>
  <c r="F15" i="1"/>
  <c r="N14" i="1"/>
  <c r="J14" i="1"/>
  <c r="M14" i="1" s="1"/>
  <c r="H14" i="1"/>
  <c r="G14" i="1"/>
  <c r="F14" i="1"/>
  <c r="N13" i="1"/>
  <c r="K13" i="1"/>
  <c r="J13" i="1"/>
  <c r="M13" i="1" s="1"/>
  <c r="H13" i="1"/>
  <c r="G13" i="1"/>
  <c r="F13" i="1"/>
  <c r="N12" i="1"/>
  <c r="J12" i="1"/>
  <c r="M12" i="1" s="1"/>
  <c r="H12" i="1"/>
  <c r="G12" i="1"/>
  <c r="F12" i="1"/>
  <c r="N11" i="1"/>
  <c r="J11" i="1"/>
  <c r="K11" i="1" s="1"/>
  <c r="H11" i="1"/>
  <c r="G11" i="1"/>
  <c r="F11" i="1"/>
  <c r="N10" i="1"/>
  <c r="J10" i="1"/>
  <c r="L10" i="1" s="1"/>
  <c r="H10" i="1"/>
  <c r="G10" i="1"/>
  <c r="F10" i="1"/>
  <c r="N9" i="1"/>
  <c r="J9" i="1"/>
  <c r="M9" i="1" s="1"/>
  <c r="H9" i="1"/>
  <c r="G9" i="1"/>
  <c r="F9" i="1"/>
  <c r="N8" i="1"/>
  <c r="L8" i="1"/>
  <c r="K8" i="1"/>
  <c r="J8" i="1"/>
  <c r="M8" i="1" s="1"/>
  <c r="H8" i="1"/>
  <c r="G8" i="1"/>
  <c r="F8" i="1"/>
  <c r="N7" i="1"/>
  <c r="L7" i="1"/>
  <c r="K7" i="1"/>
  <c r="J7" i="1"/>
  <c r="M7" i="1" s="1"/>
  <c r="H7" i="1"/>
  <c r="G7" i="1"/>
  <c r="F7" i="1"/>
  <c r="N6" i="1"/>
  <c r="J6" i="1"/>
  <c r="M6" i="1" s="1"/>
  <c r="H6" i="1"/>
  <c r="G6" i="1"/>
  <c r="F6" i="1"/>
  <c r="N5" i="1"/>
  <c r="J5" i="1"/>
  <c r="M5" i="1" s="1"/>
  <c r="H5" i="1"/>
  <c r="G5" i="1"/>
  <c r="F5" i="1"/>
  <c r="N4" i="1"/>
  <c r="K4" i="1"/>
  <c r="J4" i="1"/>
  <c r="M4" i="1" s="1"/>
  <c r="H4" i="1"/>
  <c r="G4" i="1"/>
  <c r="F4" i="1"/>
  <c r="N3" i="1"/>
  <c r="M3" i="1"/>
  <c r="J3" i="1"/>
  <c r="K3" i="1" s="1"/>
  <c r="H3" i="1"/>
  <c r="G3" i="1"/>
  <c r="F3" i="1"/>
  <c r="N2" i="1"/>
  <c r="J2" i="1"/>
  <c r="L2" i="1" s="1"/>
  <c r="H2" i="1"/>
  <c r="G2" i="1"/>
  <c r="F2" i="1"/>
  <c r="M213" i="1" l="1"/>
  <c r="K213" i="1"/>
  <c r="K253" i="1"/>
  <c r="M253" i="1"/>
  <c r="L253" i="1"/>
  <c r="L282" i="1"/>
  <c r="M282" i="1"/>
  <c r="K12" i="1"/>
  <c r="K31" i="1"/>
  <c r="K32" i="1"/>
  <c r="K37" i="1"/>
  <c r="M47" i="1"/>
  <c r="L51" i="1"/>
  <c r="K57" i="1"/>
  <c r="K62" i="1"/>
  <c r="L74" i="1"/>
  <c r="K83" i="1"/>
  <c r="M84" i="1"/>
  <c r="K102" i="1"/>
  <c r="L106" i="1"/>
  <c r="K112" i="1"/>
  <c r="K131" i="1"/>
  <c r="K132" i="1"/>
  <c r="K136" i="1"/>
  <c r="L154" i="1"/>
  <c r="K160" i="1"/>
  <c r="K181" i="1"/>
  <c r="K193" i="1"/>
  <c r="M193" i="1"/>
  <c r="L194" i="1"/>
  <c r="K206" i="1"/>
  <c r="L213" i="1"/>
  <c r="K223" i="1"/>
  <c r="M259" i="1"/>
  <c r="L259" i="1"/>
  <c r="K259" i="1"/>
  <c r="L11" i="1"/>
  <c r="L12" i="1"/>
  <c r="K17" i="1"/>
  <c r="L31" i="1"/>
  <c r="L32" i="1"/>
  <c r="K36" i="1"/>
  <c r="M51" i="1"/>
  <c r="K55" i="1"/>
  <c r="K56" i="1"/>
  <c r="L61" i="1"/>
  <c r="L62" i="1"/>
  <c r="M74" i="1"/>
  <c r="M78" i="1"/>
  <c r="L83" i="1"/>
  <c r="L93" i="1"/>
  <c r="M102" i="1"/>
  <c r="M106" i="1"/>
  <c r="L130" i="1"/>
  <c r="L131" i="1"/>
  <c r="M132" i="1"/>
  <c r="M154" i="1"/>
  <c r="M181" i="1"/>
  <c r="M206" i="1"/>
  <c r="L223" i="1"/>
  <c r="M279" i="1"/>
  <c r="L279" i="1"/>
  <c r="K279" i="1"/>
  <c r="M283" i="1"/>
  <c r="L283" i="1"/>
  <c r="K283" i="1"/>
  <c r="M11" i="1"/>
  <c r="L36" i="1"/>
  <c r="K41" i="1"/>
  <c r="L56" i="1"/>
  <c r="M61" i="1"/>
  <c r="M82" i="1"/>
  <c r="K88" i="1"/>
  <c r="K115" i="1"/>
  <c r="K116" i="1"/>
  <c r="K120" i="1"/>
  <c r="K126" i="1"/>
  <c r="M130" i="1"/>
  <c r="K139" i="1"/>
  <c r="K140" i="1"/>
  <c r="M150" i="1"/>
  <c r="K163" i="1"/>
  <c r="K164" i="1"/>
  <c r="K173" i="1"/>
  <c r="K189" i="1"/>
  <c r="K221" i="1"/>
  <c r="M221" i="1"/>
  <c r="L238" i="1"/>
  <c r="M238" i="1"/>
  <c r="K238" i="1"/>
  <c r="L260" i="1"/>
  <c r="M260" i="1"/>
  <c r="K260" i="1"/>
  <c r="L207" i="1"/>
  <c r="K207" i="1"/>
  <c r="L232" i="1"/>
  <c r="M232" i="1"/>
  <c r="M242" i="1"/>
  <c r="K242" i="1"/>
  <c r="M263" i="1"/>
  <c r="L263" i="1"/>
  <c r="K263" i="1"/>
  <c r="L277" i="1"/>
  <c r="M277" i="1"/>
  <c r="K277" i="1"/>
  <c r="L280" i="1"/>
  <c r="K280" i="1"/>
  <c r="K5" i="1"/>
  <c r="L19" i="1"/>
  <c r="K25" i="1"/>
  <c r="L40" i="1"/>
  <c r="K44" i="1"/>
  <c r="K59" i="1"/>
  <c r="K91" i="1"/>
  <c r="M110" i="1"/>
  <c r="M114" i="1"/>
  <c r="K134" i="1"/>
  <c r="M138" i="1"/>
  <c r="K158" i="1"/>
  <c r="M162" i="1"/>
  <c r="L170" i="1"/>
  <c r="M172" i="1"/>
  <c r="M207" i="1"/>
  <c r="K216" i="1"/>
  <c r="L230" i="1"/>
  <c r="M230" i="1"/>
  <c r="L242" i="1"/>
  <c r="M19" i="1"/>
  <c r="L44" i="1"/>
  <c r="L59" i="1"/>
  <c r="L91" i="1"/>
  <c r="M134" i="1"/>
  <c r="M158" i="1"/>
  <c r="L166" i="1"/>
  <c r="M166" i="1"/>
  <c r="M170" i="1"/>
  <c r="L200" i="1"/>
  <c r="M200" i="1"/>
  <c r="L205" i="1"/>
  <c r="M205" i="1"/>
  <c r="K205" i="1"/>
  <c r="M219" i="1"/>
  <c r="K219" i="1"/>
  <c r="L264" i="1"/>
  <c r="M264" i="1"/>
  <c r="M281" i="1"/>
  <c r="L281" i="1"/>
  <c r="K281" i="1"/>
  <c r="L3" i="1"/>
  <c r="L4" i="1"/>
  <c r="K9" i="1"/>
  <c r="L24" i="1"/>
  <c r="K28" i="1"/>
  <c r="K48" i="1"/>
  <c r="K53" i="1"/>
  <c r="L58" i="1"/>
  <c r="K85" i="1"/>
  <c r="L98" i="1"/>
  <c r="K118" i="1"/>
  <c r="K128" i="1"/>
  <c r="L146" i="1"/>
  <c r="K166" i="1"/>
  <c r="K182" i="1"/>
  <c r="M182" i="1"/>
  <c r="K195" i="1"/>
  <c r="K200" i="1"/>
  <c r="L219" i="1"/>
  <c r="L228" i="1"/>
  <c r="K228" i="1"/>
  <c r="L243" i="1"/>
  <c r="K243" i="1"/>
  <c r="K292" i="1"/>
  <c r="L310" i="1"/>
  <c r="K320" i="1"/>
  <c r="K324" i="1"/>
  <c r="K332" i="1"/>
  <c r="K344" i="1"/>
  <c r="K346" i="1"/>
  <c r="K350" i="1"/>
  <c r="K363" i="1"/>
  <c r="K367" i="1"/>
  <c r="K369" i="1"/>
  <c r="M384" i="1"/>
  <c r="K386" i="1"/>
  <c r="K407" i="1"/>
  <c r="K409" i="1"/>
  <c r="K418" i="1"/>
  <c r="K427" i="1"/>
  <c r="K434" i="1"/>
  <c r="K443" i="1"/>
  <c r="K450" i="1"/>
  <c r="M455" i="1"/>
  <c r="K459" i="1"/>
  <c r="M486" i="1"/>
  <c r="K237" i="1"/>
  <c r="K239" i="1"/>
  <c r="M292" i="1"/>
  <c r="M310" i="1"/>
  <c r="M320" i="1"/>
  <c r="M324" i="1"/>
  <c r="M332" i="1"/>
  <c r="L346" i="1"/>
  <c r="L350" i="1"/>
  <c r="L363" i="1"/>
  <c r="L367" i="1"/>
  <c r="L369" i="1"/>
  <c r="M386" i="1"/>
  <c r="L407" i="1"/>
  <c r="L409" i="1"/>
  <c r="M418" i="1"/>
  <c r="L427" i="1"/>
  <c r="M434" i="1"/>
  <c r="L443" i="1"/>
  <c r="M450" i="1"/>
  <c r="L459" i="1"/>
  <c r="K501" i="1"/>
  <c r="K288" i="1"/>
  <c r="K300" i="1"/>
  <c r="K339" i="1"/>
  <c r="M352" i="1"/>
  <c r="K354" i="1"/>
  <c r="K375" i="1"/>
  <c r="K377" i="1"/>
  <c r="K381" i="1"/>
  <c r="M392" i="1"/>
  <c r="K394" i="1"/>
  <c r="K398" i="1"/>
  <c r="K415" i="1"/>
  <c r="K422" i="1"/>
  <c r="K431" i="1"/>
  <c r="K438" i="1"/>
  <c r="K447" i="1"/>
  <c r="K454" i="1"/>
  <c r="K463" i="1"/>
  <c r="K465" i="1"/>
  <c r="K469" i="1"/>
  <c r="K473" i="1"/>
  <c r="K477" i="1"/>
  <c r="K485" i="1"/>
  <c r="K489" i="1"/>
  <c r="K493" i="1"/>
  <c r="K497" i="1"/>
  <c r="K499" i="1"/>
  <c r="L501" i="1"/>
  <c r="L246" i="1"/>
  <c r="K269" i="1"/>
  <c r="K271" i="1"/>
  <c r="M288" i="1"/>
  <c r="K291" i="1"/>
  <c r="M300" i="1"/>
  <c r="K309" i="1"/>
  <c r="K319" i="1"/>
  <c r="K323" i="1"/>
  <c r="K331" i="1"/>
  <c r="K343" i="1"/>
  <c r="K345" i="1"/>
  <c r="M354" i="1"/>
  <c r="M356" i="1"/>
  <c r="K358" i="1"/>
  <c r="K379" i="1"/>
  <c r="K383" i="1"/>
  <c r="K385" i="1"/>
  <c r="M394" i="1"/>
  <c r="M398" i="1"/>
  <c r="M400" i="1"/>
  <c r="K402" i="1"/>
  <c r="K417" i="1"/>
  <c r="M422" i="1"/>
  <c r="K424" i="1"/>
  <c r="K433" i="1"/>
  <c r="M438" i="1"/>
  <c r="K440" i="1"/>
  <c r="K449" i="1"/>
  <c r="M454" i="1"/>
  <c r="K456" i="1"/>
  <c r="K467" i="1"/>
  <c r="K471" i="1"/>
  <c r="K475" i="1"/>
  <c r="K479" i="1"/>
  <c r="K483" i="1"/>
  <c r="K487" i="1"/>
  <c r="K491" i="1"/>
  <c r="K495" i="1"/>
  <c r="L499" i="1"/>
  <c r="K287" i="1"/>
  <c r="K299" i="1"/>
  <c r="L317" i="1"/>
  <c r="K338" i="1"/>
  <c r="K347" i="1"/>
  <c r="K351" i="1"/>
  <c r="K353" i="1"/>
  <c r="M368" i="1"/>
  <c r="K370" i="1"/>
  <c r="K391" i="1"/>
  <c r="K393" i="1"/>
  <c r="K397" i="1"/>
  <c r="M408" i="1"/>
  <c r="K410" i="1"/>
  <c r="K421" i="1"/>
  <c r="K428" i="1"/>
  <c r="K437" i="1"/>
  <c r="K444" i="1"/>
  <c r="K453" i="1"/>
  <c r="K460" i="1"/>
  <c r="K187" i="1"/>
  <c r="K198" i="1"/>
  <c r="K222" i="1"/>
  <c r="K224" i="1"/>
  <c r="K240" i="1"/>
  <c r="L287" i="1"/>
  <c r="M289" i="1"/>
  <c r="L299" i="1"/>
  <c r="M317" i="1"/>
  <c r="L338" i="1"/>
  <c r="L347" i="1"/>
  <c r="L351" i="1"/>
  <c r="L353" i="1"/>
  <c r="M370" i="1"/>
  <c r="L391" i="1"/>
  <c r="L393" i="1"/>
  <c r="L397" i="1"/>
  <c r="M410" i="1"/>
  <c r="M412" i="1"/>
  <c r="L421" i="1"/>
  <c r="M428" i="1"/>
  <c r="K430" i="1"/>
  <c r="L437" i="1"/>
  <c r="M444" i="1"/>
  <c r="K446" i="1"/>
  <c r="L453" i="1"/>
  <c r="M460" i="1"/>
  <c r="K462" i="1"/>
  <c r="M498" i="1"/>
  <c r="M259" i="6"/>
  <c r="L259" i="6"/>
  <c r="M323" i="6"/>
  <c r="L323" i="6"/>
  <c r="L55" i="6"/>
  <c r="L63" i="6"/>
  <c r="L71" i="6"/>
  <c r="L79" i="6"/>
  <c r="L87" i="6"/>
  <c r="L95" i="6"/>
  <c r="L103" i="6"/>
  <c r="L111" i="6"/>
  <c r="L119" i="6"/>
  <c r="L127" i="6"/>
  <c r="L135" i="6"/>
  <c r="L143" i="6"/>
  <c r="L151" i="6"/>
  <c r="L159" i="6"/>
  <c r="L174" i="6"/>
  <c r="L179" i="6"/>
  <c r="L195" i="6"/>
  <c r="L217" i="6"/>
  <c r="M251" i="6"/>
  <c r="L251" i="6"/>
  <c r="M315" i="6"/>
  <c r="L315" i="6"/>
  <c r="L10" i="6"/>
  <c r="M18" i="6"/>
  <c r="L23" i="6"/>
  <c r="L39" i="6"/>
  <c r="L47" i="6"/>
  <c r="L4" i="6"/>
  <c r="M7" i="6"/>
  <c r="L12" i="6"/>
  <c r="M15" i="6"/>
  <c r="L20" i="6"/>
  <c r="L28" i="6"/>
  <c r="M31" i="6"/>
  <c r="L36" i="6"/>
  <c r="L44" i="6"/>
  <c r="L156" i="6"/>
  <c r="L164" i="6"/>
  <c r="M181" i="6"/>
  <c r="L181" i="6"/>
  <c r="L188" i="6"/>
  <c r="L190" i="6"/>
  <c r="M197" i="6"/>
  <c r="L197" i="6"/>
  <c r="M243" i="6"/>
  <c r="L243" i="6"/>
  <c r="M307" i="6"/>
  <c r="L307" i="6"/>
  <c r="M2" i="6"/>
  <c r="M208" i="6"/>
  <c r="L208" i="6"/>
  <c r="M227" i="6"/>
  <c r="L227" i="6"/>
  <c r="L233" i="6"/>
  <c r="M235" i="6"/>
  <c r="L235" i="6"/>
  <c r="L270" i="6"/>
  <c r="M299" i="6"/>
  <c r="L299" i="6"/>
  <c r="M291" i="6"/>
  <c r="L291" i="6"/>
  <c r="L91" i="6"/>
  <c r="L99" i="6"/>
  <c r="L107" i="6"/>
  <c r="L115" i="6"/>
  <c r="L123" i="6"/>
  <c r="L131" i="6"/>
  <c r="L139" i="6"/>
  <c r="L147" i="6"/>
  <c r="L155" i="6"/>
  <c r="L163" i="6"/>
  <c r="L168" i="6"/>
  <c r="L173" i="6"/>
  <c r="M178" i="6"/>
  <c r="L187" i="6"/>
  <c r="L203" i="6"/>
  <c r="M216" i="6"/>
  <c r="L216" i="6"/>
  <c r="L254" i="6"/>
  <c r="M283" i="6"/>
  <c r="L283" i="6"/>
  <c r="M347" i="6"/>
  <c r="L347" i="6"/>
  <c r="L3" i="6"/>
  <c r="L48" i="6"/>
  <c r="L56" i="6"/>
  <c r="L64" i="6"/>
  <c r="L72" i="6"/>
  <c r="L80" i="6"/>
  <c r="M189" i="6"/>
  <c r="L189" i="6"/>
  <c r="M275" i="6"/>
  <c r="L275" i="6"/>
  <c r="M339" i="6"/>
  <c r="L339" i="6"/>
  <c r="M355" i="6"/>
  <c r="L355" i="6"/>
  <c r="M363" i="6"/>
  <c r="L363" i="6"/>
  <c r="M371" i="6"/>
  <c r="L371" i="6"/>
  <c r="M379" i="6"/>
  <c r="L379" i="6"/>
  <c r="M387" i="6"/>
  <c r="L387" i="6"/>
  <c r="M395" i="6"/>
  <c r="L395" i="6"/>
  <c r="M403" i="6"/>
  <c r="L403" i="6"/>
  <c r="M411" i="6"/>
  <c r="L411" i="6"/>
  <c r="M419" i="6"/>
  <c r="L419" i="6"/>
  <c r="M427" i="6"/>
  <c r="L427" i="6"/>
  <c r="M435" i="6"/>
  <c r="L435" i="6"/>
  <c r="M443" i="6"/>
  <c r="L443" i="6"/>
  <c r="M224" i="6"/>
  <c r="L224" i="6"/>
  <c r="L230" i="6"/>
  <c r="L238" i="6"/>
  <c r="M267" i="6"/>
  <c r="L267" i="6"/>
  <c r="M331" i="6"/>
  <c r="L331" i="6"/>
  <c r="M495" i="6"/>
  <c r="L454" i="6"/>
  <c r="L462" i="6"/>
  <c r="L470" i="6"/>
  <c r="L478" i="6"/>
  <c r="L486" i="6"/>
  <c r="L494" i="6"/>
  <c r="L451" i="6"/>
  <c r="L459" i="6"/>
  <c r="L467" i="6"/>
  <c r="L475" i="6"/>
  <c r="L483" i="6"/>
  <c r="L491" i="6"/>
  <c r="L499" i="6"/>
  <c r="L232" i="6"/>
  <c r="L240" i="6"/>
  <c r="L248" i="6"/>
  <c r="L256" i="6"/>
  <c r="L264" i="6"/>
  <c r="L272" i="6"/>
  <c r="L280" i="6"/>
  <c r="L288" i="6"/>
  <c r="L296" i="6"/>
  <c r="L304" i="6"/>
  <c r="L312" i="6"/>
  <c r="L320" i="6"/>
  <c r="L328" i="6"/>
  <c r="L336" i="6"/>
  <c r="L344" i="6"/>
  <c r="L205" i="6"/>
  <c r="L213" i="6"/>
  <c r="L221" i="6"/>
  <c r="L229" i="6"/>
  <c r="L237" i="6"/>
  <c r="L245" i="6"/>
  <c r="L253" i="6"/>
  <c r="L261" i="6"/>
  <c r="L269" i="6"/>
  <c r="L277" i="6"/>
  <c r="L285" i="6"/>
  <c r="L293" i="6"/>
  <c r="L301" i="6"/>
  <c r="L309" i="6"/>
  <c r="L317" i="6"/>
  <c r="L325" i="6"/>
  <c r="L333" i="6"/>
  <c r="L341" i="6"/>
  <c r="L349" i="6"/>
  <c r="L357" i="6"/>
  <c r="L365" i="6"/>
  <c r="L373" i="6"/>
  <c r="L381" i="6"/>
  <c r="L389" i="6"/>
  <c r="L397" i="6"/>
  <c r="L405" i="6"/>
  <c r="L413" i="6"/>
  <c r="L421" i="6"/>
  <c r="L429" i="6"/>
  <c r="L437" i="6"/>
  <c r="L445" i="6"/>
  <c r="L453" i="6"/>
  <c r="L461" i="6"/>
  <c r="L469" i="6"/>
  <c r="L477" i="6"/>
  <c r="L485" i="6"/>
  <c r="L501" i="6"/>
  <c r="L242" i="6"/>
  <c r="L250" i="6"/>
  <c r="L258" i="6"/>
  <c r="L266" i="6"/>
  <c r="L274" i="6"/>
  <c r="L282" i="6"/>
  <c r="L290" i="6"/>
  <c r="L298" i="6"/>
  <c r="L306" i="6"/>
  <c r="L314" i="6"/>
  <c r="L322" i="6"/>
  <c r="L330" i="6"/>
  <c r="L338" i="6"/>
  <c r="L346" i="6"/>
  <c r="L354" i="6"/>
  <c r="L362" i="6"/>
  <c r="L370" i="6"/>
  <c r="L378" i="6"/>
  <c r="L386" i="6"/>
  <c r="L394" i="6"/>
  <c r="L402" i="6"/>
  <c r="L410" i="6"/>
  <c r="L418" i="6"/>
  <c r="L426" i="6"/>
  <c r="L434" i="6"/>
  <c r="L442" i="6"/>
  <c r="L450" i="6"/>
  <c r="L458" i="6"/>
  <c r="L466" i="6"/>
  <c r="L474" i="6"/>
  <c r="L482" i="6"/>
  <c r="L490" i="6"/>
  <c r="L498" i="6"/>
  <c r="L105" i="1"/>
  <c r="K105" i="1"/>
  <c r="M2" i="1"/>
  <c r="M10" i="1"/>
  <c r="M18" i="1"/>
  <c r="M26" i="1"/>
  <c r="M34" i="1"/>
  <c r="M42" i="1"/>
  <c r="M50" i="1"/>
  <c r="M60" i="1"/>
  <c r="M77" i="1"/>
  <c r="L78" i="1"/>
  <c r="L84" i="1"/>
  <c r="M92" i="1"/>
  <c r="K111" i="1"/>
  <c r="M111" i="1"/>
  <c r="M141" i="1"/>
  <c r="K141" i="1"/>
  <c r="K167" i="1"/>
  <c r="M167" i="1"/>
  <c r="L167" i="1"/>
  <c r="M202" i="1"/>
  <c r="K202" i="1"/>
  <c r="L220" i="1"/>
  <c r="M220" i="1"/>
  <c r="K220" i="1"/>
  <c r="K127" i="1"/>
  <c r="M127" i="1"/>
  <c r="L127" i="1"/>
  <c r="M165" i="1"/>
  <c r="K165" i="1"/>
  <c r="M209" i="1"/>
  <c r="K209" i="1"/>
  <c r="L5" i="1"/>
  <c r="K6" i="1"/>
  <c r="L13" i="1"/>
  <c r="K14" i="1"/>
  <c r="L21" i="1"/>
  <c r="K22" i="1"/>
  <c r="L29" i="1"/>
  <c r="K30" i="1"/>
  <c r="L37" i="1"/>
  <c r="K38" i="1"/>
  <c r="L45" i="1"/>
  <c r="K46" i="1"/>
  <c r="L53" i="1"/>
  <c r="K54" i="1"/>
  <c r="K64" i="1"/>
  <c r="K65" i="1"/>
  <c r="L66" i="1"/>
  <c r="M105" i="1"/>
  <c r="M125" i="1"/>
  <c r="K125" i="1"/>
  <c r="K151" i="1"/>
  <c r="M151" i="1"/>
  <c r="L151" i="1"/>
  <c r="L165" i="1"/>
  <c r="K190" i="1"/>
  <c r="M190" i="1"/>
  <c r="L190" i="1"/>
  <c r="L209" i="1"/>
  <c r="L6" i="1"/>
  <c r="L14" i="1"/>
  <c r="L22" i="1"/>
  <c r="L30" i="1"/>
  <c r="L38" i="1"/>
  <c r="L46" i="1"/>
  <c r="L54" i="1"/>
  <c r="L64" i="1"/>
  <c r="M65" i="1"/>
  <c r="M66" i="1"/>
  <c r="K103" i="1"/>
  <c r="M103" i="1"/>
  <c r="M149" i="1"/>
  <c r="K149" i="1"/>
  <c r="L73" i="1"/>
  <c r="K73" i="1"/>
  <c r="L97" i="1"/>
  <c r="K97" i="1"/>
  <c r="M101" i="1"/>
  <c r="K101" i="1"/>
  <c r="K119" i="1"/>
  <c r="M119" i="1"/>
  <c r="K135" i="1"/>
  <c r="M135" i="1"/>
  <c r="L135" i="1"/>
  <c r="L149" i="1"/>
  <c r="K176" i="1"/>
  <c r="M176" i="1"/>
  <c r="L176" i="1"/>
  <c r="K70" i="1"/>
  <c r="M72" i="1"/>
  <c r="L72" i="1"/>
  <c r="M73" i="1"/>
  <c r="K76" i="1"/>
  <c r="L89" i="1"/>
  <c r="K89" i="1"/>
  <c r="M97" i="1"/>
  <c r="K100" i="1"/>
  <c r="M117" i="1"/>
  <c r="K117" i="1"/>
  <c r="L119" i="1"/>
  <c r="M133" i="1"/>
  <c r="K133" i="1"/>
  <c r="K159" i="1"/>
  <c r="M159" i="1"/>
  <c r="L159" i="1"/>
  <c r="M174" i="1"/>
  <c r="K174" i="1"/>
  <c r="M185" i="1"/>
  <c r="K185" i="1"/>
  <c r="K201" i="1"/>
  <c r="M201" i="1"/>
  <c r="L201" i="1"/>
  <c r="M109" i="1"/>
  <c r="K109" i="1"/>
  <c r="K2" i="1"/>
  <c r="L9" i="1"/>
  <c r="K10" i="1"/>
  <c r="L17" i="1"/>
  <c r="K18" i="1"/>
  <c r="L25" i="1"/>
  <c r="K26" i="1"/>
  <c r="L33" i="1"/>
  <c r="K34" i="1"/>
  <c r="L41" i="1"/>
  <c r="K42" i="1"/>
  <c r="L49" i="1"/>
  <c r="K50" i="1"/>
  <c r="M57" i="1"/>
  <c r="M58" i="1"/>
  <c r="K60" i="1"/>
  <c r="L70" i="1"/>
  <c r="K71" i="1"/>
  <c r="K72" i="1"/>
  <c r="L76" i="1"/>
  <c r="K77" i="1"/>
  <c r="L81" i="1"/>
  <c r="K81" i="1"/>
  <c r="M89" i="1"/>
  <c r="K92" i="1"/>
  <c r="K95" i="1"/>
  <c r="M95" i="1"/>
  <c r="M100" i="1"/>
  <c r="M113" i="1"/>
  <c r="L113" i="1"/>
  <c r="K113" i="1"/>
  <c r="L117" i="1"/>
  <c r="L133" i="1"/>
  <c r="M157" i="1"/>
  <c r="K157" i="1"/>
  <c r="L174" i="1"/>
  <c r="L185" i="1"/>
  <c r="M199" i="1"/>
  <c r="K199" i="1"/>
  <c r="M234" i="1"/>
  <c r="L234" i="1"/>
  <c r="K234" i="1"/>
  <c r="L71" i="1"/>
  <c r="M80" i="1"/>
  <c r="L80" i="1"/>
  <c r="M81" i="1"/>
  <c r="K87" i="1"/>
  <c r="M87" i="1"/>
  <c r="K93" i="1"/>
  <c r="L95" i="1"/>
  <c r="K143" i="1"/>
  <c r="M143" i="1"/>
  <c r="L143" i="1"/>
  <c r="L199" i="1"/>
  <c r="M212" i="1"/>
  <c r="L226" i="1"/>
  <c r="L233" i="1"/>
  <c r="M244" i="1"/>
  <c r="L258" i="1"/>
  <c r="L265" i="1"/>
  <c r="K272" i="1"/>
  <c r="M276" i="1"/>
  <c r="K286" i="1"/>
  <c r="L290" i="1"/>
  <c r="K293" i="1"/>
  <c r="M294" i="1"/>
  <c r="L297" i="1"/>
  <c r="M301" i="1"/>
  <c r="K304" i="1"/>
  <c r="M308" i="1"/>
  <c r="K318" i="1"/>
  <c r="L322" i="1"/>
  <c r="K325" i="1"/>
  <c r="L329" i="1"/>
  <c r="M333" i="1"/>
  <c r="K336" i="1"/>
  <c r="M340" i="1"/>
  <c r="K360" i="1"/>
  <c r="K376" i="1"/>
  <c r="K392" i="1"/>
  <c r="K408" i="1"/>
  <c r="L88" i="1"/>
  <c r="L96" i="1"/>
  <c r="L104" i="1"/>
  <c r="L112" i="1"/>
  <c r="L120" i="1"/>
  <c r="K121" i="1"/>
  <c r="L128" i="1"/>
  <c r="K129" i="1"/>
  <c r="L136" i="1"/>
  <c r="K137" i="1"/>
  <c r="L144" i="1"/>
  <c r="K145" i="1"/>
  <c r="L152" i="1"/>
  <c r="K153" i="1"/>
  <c r="L160" i="1"/>
  <c r="K161" i="1"/>
  <c r="L168" i="1"/>
  <c r="K169" i="1"/>
  <c r="L177" i="1"/>
  <c r="K178" i="1"/>
  <c r="K179" i="1"/>
  <c r="L180" i="1"/>
  <c r="L191" i="1"/>
  <c r="K192" i="1"/>
  <c r="K204" i="1"/>
  <c r="M208" i="1"/>
  <c r="K218" i="1"/>
  <c r="L222" i="1"/>
  <c r="K225" i="1"/>
  <c r="M226" i="1"/>
  <c r="L229" i="1"/>
  <c r="M233" i="1"/>
  <c r="K236" i="1"/>
  <c r="M240" i="1"/>
  <c r="K250" i="1"/>
  <c r="L254" i="1"/>
  <c r="K257" i="1"/>
  <c r="M258" i="1"/>
  <c r="L261" i="1"/>
  <c r="M265" i="1"/>
  <c r="K268" i="1"/>
  <c r="M272" i="1"/>
  <c r="K282" i="1"/>
  <c r="L286" i="1"/>
  <c r="K289" i="1"/>
  <c r="M290" i="1"/>
  <c r="L293" i="1"/>
  <c r="M297" i="1"/>
  <c r="M304" i="1"/>
  <c r="L318" i="1"/>
  <c r="M322" i="1"/>
  <c r="M329" i="1"/>
  <c r="M336" i="1"/>
  <c r="L121" i="1"/>
  <c r="L129" i="1"/>
  <c r="L137" i="1"/>
  <c r="L145" i="1"/>
  <c r="L153" i="1"/>
  <c r="L161" i="1"/>
  <c r="L169" i="1"/>
  <c r="L178" i="1"/>
  <c r="M179" i="1"/>
  <c r="M180" i="1"/>
  <c r="L192" i="1"/>
  <c r="M204" i="1"/>
  <c r="L218" i="1"/>
  <c r="L225" i="1"/>
  <c r="K232" i="1"/>
  <c r="M236" i="1"/>
  <c r="L250" i="1"/>
  <c r="L257" i="1"/>
  <c r="K264" i="1"/>
  <c r="M268" i="1"/>
  <c r="K296" i="1"/>
  <c r="K328" i="1"/>
  <c r="K356" i="1"/>
  <c r="K372" i="1"/>
  <c r="K388" i="1"/>
  <c r="K404" i="1"/>
  <c r="K352" i="1"/>
  <c r="K368" i="1"/>
  <c r="K384" i="1"/>
  <c r="K400" i="1"/>
  <c r="K241" i="1"/>
  <c r="K252" i="1"/>
  <c r="M256" i="1"/>
  <c r="K266" i="1"/>
  <c r="K273" i="1"/>
  <c r="K284" i="1"/>
  <c r="K298" i="1"/>
  <c r="K305" i="1"/>
  <c r="K316" i="1"/>
  <c r="K337" i="1"/>
  <c r="K348" i="1"/>
  <c r="L241" i="1"/>
  <c r="M252" i="1"/>
  <c r="L266" i="1"/>
  <c r="L273" i="1"/>
  <c r="M284" i="1"/>
  <c r="L298" i="1"/>
  <c r="L305" i="1"/>
  <c r="M316" i="1"/>
  <c r="L337" i="1"/>
  <c r="M348" i="1"/>
  <c r="K364" i="1"/>
  <c r="K380" i="1"/>
  <c r="K396" i="1"/>
  <c r="K412" i="1"/>
  <c r="L186" i="1"/>
  <c r="M187" i="1"/>
  <c r="M188" i="1"/>
  <c r="K212" i="1"/>
  <c r="M216" i="1"/>
  <c r="K244" i="1"/>
  <c r="M248" i="1"/>
  <c r="K276" i="1"/>
  <c r="M280" i="1"/>
  <c r="K308" i="1"/>
  <c r="M312" i="1"/>
  <c r="K340" i="1"/>
  <c r="M344" i="1"/>
  <c r="M364" i="1"/>
  <c r="M380" i="1"/>
  <c r="M396" i="1"/>
  <c r="K498" i="1"/>
  <c r="K464" i="1"/>
  <c r="K468" i="1"/>
  <c r="K472" i="1"/>
  <c r="K476" i="1"/>
  <c r="K480" i="1"/>
  <c r="K484" i="1"/>
  <c r="K488" i="1"/>
  <c r="K492" i="1"/>
  <c r="K496" i="1"/>
  <c r="K500" i="1"/>
  <c r="L468" i="1"/>
  <c r="L472" i="1"/>
  <c r="L476" i="1"/>
  <c r="L480" i="1"/>
  <c r="L484" i="1"/>
  <c r="L488" i="1"/>
  <c r="L492" i="1"/>
  <c r="L496" i="1"/>
  <c r="L500" i="1"/>
</calcChain>
</file>

<file path=xl/sharedStrings.xml><?xml version="1.0" encoding="utf-8"?>
<sst xmlns="http://schemas.openxmlformats.org/spreadsheetml/2006/main" count="1131" uniqueCount="601">
  <si>
    <t>CustomerID</t>
  </si>
  <si>
    <t>CustomerName</t>
  </si>
  <si>
    <t>Gender</t>
  </si>
  <si>
    <t>Age</t>
  </si>
  <si>
    <t>CityID</t>
  </si>
  <si>
    <t>City</t>
  </si>
  <si>
    <t>State</t>
  </si>
  <si>
    <t>Region</t>
  </si>
  <si>
    <t>DateID</t>
  </si>
  <si>
    <t>Order-Date</t>
  </si>
  <si>
    <t>Year</t>
  </si>
  <si>
    <t>Month</t>
  </si>
  <si>
    <t>Day</t>
  </si>
  <si>
    <t>Revenu</t>
  </si>
  <si>
    <t>Customer_1</t>
  </si>
  <si>
    <t>Female</t>
  </si>
  <si>
    <t>Customer_2</t>
  </si>
  <si>
    <t>Customer_3</t>
  </si>
  <si>
    <t>Male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</si>
  <si>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</si>
  <si>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</si>
  <si>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</si>
  <si>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</si>
  <si>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</si>
  <si>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</si>
  <si>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</si>
  <si>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</si>
  <si>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</si>
  <si>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</si>
  <si>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</si>
  <si>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</si>
  <si>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</si>
  <si>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</si>
  <si>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</si>
  <si>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</si>
  <si>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</si>
  <si>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</si>
  <si>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</si>
  <si>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</si>
  <si>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</si>
  <si>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</si>
  <si>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</si>
  <si>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</si>
  <si>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</si>
  <si>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</si>
  <si>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</si>
  <si>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</si>
  <si>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</si>
  <si>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</si>
  <si>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</si>
  <si>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</si>
  <si>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</si>
  <si>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</si>
  <si>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</si>
  <si>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</si>
  <si>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</si>
  <si>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</si>
  <si>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</si>
  <si>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</si>
  <si>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</si>
  <si>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</si>
  <si>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</si>
  <si>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</si>
  <si>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</si>
  <si>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</si>
  <si>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</si>
  <si>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</si>
  <si>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</si>
  <si>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</si>
  <si>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</si>
  <si>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</si>
  <si>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</si>
  <si>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</si>
  <si>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</si>
  <si>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</si>
  <si>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</si>
  <si>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</si>
  <si>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</si>
  <si>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</si>
  <si>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</si>
  <si>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</si>
  <si>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</si>
  <si>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</si>
  <si>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</si>
  <si>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</si>
  <si>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</si>
  <si>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</si>
  <si>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</si>
  <si>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</si>
  <si>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</si>
  <si>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</si>
  <si>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</si>
  <si>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</si>
  <si>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</si>
  <si>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</si>
  <si>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</si>
  <si>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</si>
  <si>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</si>
  <si>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</si>
  <si>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</si>
  <si>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</si>
  <si>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</si>
  <si>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</si>
  <si>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</si>
  <si>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</si>
  <si>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</si>
  <si>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</si>
  <si>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</si>
  <si>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</si>
  <si>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</si>
  <si>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</si>
  <si>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</si>
  <si>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</si>
  <si>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</si>
  <si>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</si>
  <si>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</si>
  <si>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</si>
  <si>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</si>
  <si>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</si>
  <si>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</si>
  <si>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</si>
  <si>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</si>
  <si>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</si>
  <si>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</si>
  <si>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</si>
  <si>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</si>
  <si>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</si>
  <si>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</si>
  <si>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</si>
  <si>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</si>
  <si>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</si>
  <si>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</si>
  <si>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</si>
  <si>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</si>
  <si>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</si>
  <si>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</si>
  <si>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</si>
  <si>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</si>
  <si>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</si>
  <si>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</si>
  <si>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</si>
  <si>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</si>
  <si>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</si>
  <si>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</si>
  <si>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</si>
  <si>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</si>
  <si>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</si>
  <si>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</si>
  <si>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</si>
  <si>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</si>
  <si>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</si>
  <si>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</si>
  <si>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</si>
  <si>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</si>
  <si>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</si>
  <si>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</si>
  <si>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</si>
  <si>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</si>
  <si>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</si>
  <si>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</si>
  <si>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</si>
  <si>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</si>
  <si>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</si>
  <si>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</si>
  <si>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</si>
  <si>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</si>
  <si>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</si>
  <si>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</si>
  <si>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</si>
  <si>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</si>
  <si>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</si>
  <si>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</si>
  <si>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</si>
  <si>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</si>
  <si>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</si>
  <si>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</si>
  <si>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</si>
  <si>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</si>
  <si>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</si>
  <si>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</si>
  <si>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</si>
  <si>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</si>
  <si>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</si>
  <si>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</si>
  <si>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</si>
  <si>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</si>
  <si>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</si>
  <si>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</si>
  <si>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</si>
  <si>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</si>
  <si>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</si>
  <si>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</si>
  <si>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</si>
  <si>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</si>
  <si>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</si>
  <si>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</si>
  <si>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</si>
  <si>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</si>
  <si>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</si>
  <si>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</si>
  <si>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</si>
  <si>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</si>
  <si>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</si>
  <si>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</si>
  <si>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</si>
  <si>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</si>
  <si>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</si>
  <si>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</si>
  <si>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</si>
  <si>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</si>
  <si>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</si>
  <si>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</si>
  <si>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</si>
  <si>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</si>
  <si>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</si>
  <si>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</si>
  <si>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ProductID</t>
  </si>
  <si>
    <t>ProductName</t>
  </si>
  <si>
    <t>Category</t>
  </si>
  <si>
    <t>Brand</t>
  </si>
  <si>
    <t>Price</t>
  </si>
  <si>
    <t>Product_1</t>
  </si>
  <si>
    <t>Snacks</t>
  </si>
  <si>
    <t>Swishh</t>
  </si>
  <si>
    <t>Product_2</t>
  </si>
  <si>
    <t>Dairy</t>
  </si>
  <si>
    <t>Product_3</t>
  </si>
  <si>
    <t>Product_4</t>
  </si>
  <si>
    <t>Grocery</t>
  </si>
  <si>
    <t>Swiggy Instamart</t>
  </si>
  <si>
    <t>Product_5</t>
  </si>
  <si>
    <t>Product_6</t>
  </si>
  <si>
    <t>Product_7</t>
  </si>
  <si>
    <t>Product_8</t>
  </si>
  <si>
    <t>Product_9</t>
  </si>
  <si>
    <t>Personal Care</t>
  </si>
  <si>
    <t>Product_10</t>
  </si>
  <si>
    <t>Beverages</t>
  </si>
  <si>
    <t>Product_11</t>
  </si>
  <si>
    <t>Product_12</t>
  </si>
  <si>
    <t>Zepto</t>
  </si>
  <si>
    <t>Product_13</t>
  </si>
  <si>
    <t>Product_14</t>
  </si>
  <si>
    <t>Blinkit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</si>
  <si>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</si>
  <si>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</si>
  <si>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</si>
  <si>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</si>
  <si>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</si>
  <si>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</si>
  <si>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</si>
  <si>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</si>
  <si>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</si>
  <si>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</si>
  <si>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</si>
  <si>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</si>
  <si>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</si>
  <si>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</si>
  <si>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</si>
  <si>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</si>
  <si>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</si>
  <si>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</si>
  <si>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</si>
  <si>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</si>
  <si>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</si>
  <si>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</si>
  <si>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</si>
  <si>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</si>
  <si>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</si>
  <si>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</si>
  <si>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</si>
  <si>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</si>
  <si>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</si>
  <si>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</si>
  <si>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</si>
  <si>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</si>
  <si>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</si>
  <si>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</si>
  <si>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</si>
  <si>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</si>
  <si>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</si>
  <si>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</si>
  <si>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</si>
  <si>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</si>
  <si>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</si>
  <si>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</si>
  <si>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</si>
  <si>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</si>
  <si>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</si>
  <si>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</si>
  <si>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</si>
  <si>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</si>
  <si>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</si>
  <si>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</si>
  <si>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</si>
  <si>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</si>
  <si>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</si>
  <si>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</si>
  <si>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</si>
  <si>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</si>
  <si>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</si>
  <si>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</si>
  <si>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</si>
  <si>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</si>
  <si>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</si>
  <si>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</si>
  <si>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</si>
  <si>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</si>
  <si>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</si>
  <si>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</si>
  <si>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</si>
  <si>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</si>
  <si>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</si>
  <si>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</si>
  <si>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</si>
  <si>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</si>
  <si>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</si>
  <si>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</si>
  <si>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</si>
  <si>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</si>
  <si>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</si>
  <si>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</si>
  <si>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</si>
  <si>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</si>
  <si>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</si>
  <si>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</si>
  <si>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</si>
  <si>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</si>
  <si>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</si>
  <si>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</si>
  <si>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StoreID</t>
  </si>
  <si>
    <t>StoreName</t>
  </si>
  <si>
    <t>Store_1</t>
  </si>
  <si>
    <t>Store_2</t>
  </si>
  <si>
    <t>Store_3</t>
  </si>
  <si>
    <t>Store_4</t>
  </si>
  <si>
    <t>Store_5</t>
  </si>
  <si>
    <t>Store_6</t>
  </si>
  <si>
    <t>Store_7</t>
  </si>
  <si>
    <t>Store_8</t>
  </si>
  <si>
    <t>Store_9</t>
  </si>
  <si>
    <t>Store_10</t>
  </si>
  <si>
    <t>Store_11</t>
  </si>
  <si>
    <t>Store_12</t>
  </si>
  <si>
    <t>Store_13</t>
  </si>
  <si>
    <t>Store_14</t>
  </si>
  <si>
    <t>Store_15</t>
  </si>
  <si>
    <t>Store_16</t>
  </si>
  <si>
    <t>Store_17</t>
  </si>
  <si>
    <t>Store_18</t>
  </si>
  <si>
    <t>Store_19</t>
  </si>
  <si>
    <t>Store_20</t>
  </si>
  <si>
    <t>Store_21</t>
  </si>
  <si>
    <t>Store_22</t>
  </si>
  <si>
    <t>Store_23</t>
  </si>
  <si>
    <t>Store_24</t>
  </si>
  <si>
    <t>Store_25</t>
  </si>
  <si>
    <t>Store_26</t>
  </si>
  <si>
    <t>Store_27</t>
  </si>
  <si>
    <t>Store_28</t>
  </si>
  <si>
    <t>Store_29</t>
  </si>
  <si>
    <t>Store_30</t>
  </si>
  <si>
    <t>Store_31</t>
  </si>
  <si>
    <t>Store_32</t>
  </si>
  <si>
    <t>Store_33</t>
  </si>
  <si>
    <t>Store_34</t>
  </si>
  <si>
    <t>Store_35</t>
  </si>
  <si>
    <t>Store_36</t>
  </si>
  <si>
    <t>Store_37</t>
  </si>
  <si>
    <t>Store_38</t>
  </si>
  <si>
    <t>Store_39</t>
  </si>
  <si>
    <t>Store_40</t>
  </si>
  <si>
    <t>Store_41</t>
  </si>
  <si>
    <t>Store_42</t>
  </si>
  <si>
    <t>Store_43</t>
  </si>
  <si>
    <t>Store_44</t>
  </si>
  <si>
    <t>Store_45</t>
  </si>
  <si>
    <t>Store_46</t>
  </si>
  <si>
    <t>Store_47</t>
  </si>
  <si>
    <t>Store_48</t>
  </si>
  <si>
    <t>Store_49</t>
  </si>
  <si>
    <t>Store_50</t>
  </si>
  <si>
    <t>Mumbai</t>
  </si>
  <si>
    <t>Maharashtra</t>
  </si>
  <si>
    <t>West</t>
  </si>
  <si>
    <t>Delhi</t>
  </si>
  <si>
    <t>North</t>
  </si>
  <si>
    <t>Bangalore</t>
  </si>
  <si>
    <t>Karnataka</t>
  </si>
  <si>
    <t>South</t>
  </si>
  <si>
    <t>Chennai</t>
  </si>
  <si>
    <t>Tamil Nadu</t>
  </si>
  <si>
    <t>Hyderabad</t>
  </si>
  <si>
    <t>Telangana</t>
  </si>
  <si>
    <t>Kolkata</t>
  </si>
  <si>
    <t>West Bengal</t>
  </si>
  <si>
    <t>East</t>
  </si>
  <si>
    <t>Pune</t>
  </si>
  <si>
    <t>Ahmedabad</t>
  </si>
  <si>
    <t>Gujarat</t>
  </si>
  <si>
    <t>Jaipur</t>
  </si>
  <si>
    <t>Rajasthan</t>
  </si>
  <si>
    <t>Lucknow</t>
  </si>
  <si>
    <t>UP</t>
  </si>
  <si>
    <t>InventoryID</t>
  </si>
  <si>
    <t>StockQuantity</t>
  </si>
  <si>
    <t>LastUpdatedDateID</t>
  </si>
  <si>
    <t>TransactionID</t>
  </si>
  <si>
    <t>Quantity</t>
  </si>
  <si>
    <t>UnitPrice</t>
  </si>
  <si>
    <t>TotalAmount</t>
  </si>
  <si>
    <t>DeliveryTime(min)</t>
  </si>
  <si>
    <t>Inventory ID</t>
  </si>
  <si>
    <t>Stockquantity</t>
  </si>
  <si>
    <t>Last update Date ID</t>
  </si>
  <si>
    <t>customer Age</t>
  </si>
  <si>
    <t>Customer-name</t>
  </si>
  <si>
    <t>pro-Category</t>
  </si>
  <si>
    <t>Pro-price</t>
  </si>
  <si>
    <t>pro-revenue</t>
  </si>
  <si>
    <t>OrderDate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</si>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</sst>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2" xfId="0" applyFill="1" applyBorder="1"/>
    <xf numFmtId="0" fontId="0" fillId="4" borderId="2" xfId="0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</dxfs>
  <tableStyles count="1" defaultTableStyle="TableStyleMedium2" defaultPivotStyle="PivotStyleLight16">
    <tableStyle name="Invisible" pivot="0" table="0" count="0" xr9:uid="{739F3442-0B29-4E0B-9DBF-1C3DDC4F0B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RPITA%20BANIK\Downloads\Quick_Commerce_Sales-1.xlsx" TargetMode="External"/><Relationship Id="rId1" Type="http://schemas.openxmlformats.org/officeDocument/2006/relationships/externalLinkPath" Target="Quick_Commerce_Sales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ils"/>
      <sheetName val="View"/>
      <sheetName val="Sheet5"/>
      <sheetName val="Customers"/>
      <sheetName val="Sheet2"/>
      <sheetName val="Products"/>
      <sheetName val="Stores"/>
      <sheetName val="Regions"/>
      <sheetName val="Inventory"/>
      <sheetName val="Transactions"/>
      <sheetName val="Dates"/>
      <sheetName val="Sheet3"/>
      <sheetName val="Sheet1"/>
      <sheetName val="Home"/>
    </sheetNames>
    <sheetDataSet>
      <sheetData sheetId="0"/>
      <sheetData sheetId="1"/>
      <sheetData sheetId="2"/>
      <sheetData sheetId="3">
        <row r="2">
          <cell r="A2">
            <v>1</v>
          </cell>
          <cell r="B2" t="str">
            <v>Customer_1</v>
          </cell>
          <cell r="C2" t="str">
            <v>Female</v>
          </cell>
          <cell r="D2">
            <v>39</v>
          </cell>
          <cell r="F2" t="str">
            <v>Jaipur</v>
          </cell>
          <cell r="G2" t="str">
            <v>Rajasthan</v>
          </cell>
          <cell r="H2" t="str">
            <v>North</v>
          </cell>
        </row>
        <row r="3">
          <cell r="A3">
            <v>2</v>
          </cell>
          <cell r="B3" t="str">
            <v>Customer_2</v>
          </cell>
          <cell r="C3" t="str">
            <v>Female</v>
          </cell>
          <cell r="D3">
            <v>26</v>
          </cell>
          <cell r="F3" t="str">
            <v>Ahmedabad</v>
          </cell>
          <cell r="G3" t="str">
            <v>Gujarat</v>
          </cell>
          <cell r="H3" t="str">
            <v>West</v>
          </cell>
        </row>
        <row r="4">
          <cell r="A4">
            <v>3</v>
          </cell>
          <cell r="B4" t="str">
            <v>Customer_3</v>
          </cell>
          <cell r="C4" t="str">
            <v>Male</v>
          </cell>
          <cell r="D4">
            <v>24</v>
          </cell>
          <cell r="F4" t="str">
            <v>Mumbai</v>
          </cell>
          <cell r="G4" t="str">
            <v>Maharashtra</v>
          </cell>
          <cell r="H4" t="str">
            <v>West</v>
          </cell>
        </row>
        <row r="5">
          <cell r="A5">
            <v>4</v>
          </cell>
          <cell r="B5" t="str">
            <v>Customer_4</v>
          </cell>
          <cell r="C5" t="str">
            <v>Male</v>
          </cell>
          <cell r="D5">
            <v>46</v>
          </cell>
          <cell r="F5" t="str">
            <v>Jaipur</v>
          </cell>
          <cell r="G5" t="str">
            <v>Rajasthan</v>
          </cell>
          <cell r="H5" t="str">
            <v>North</v>
          </cell>
        </row>
        <row r="6">
          <cell r="A6">
            <v>5</v>
          </cell>
          <cell r="B6" t="str">
            <v>Customer_5</v>
          </cell>
          <cell r="C6" t="str">
            <v>Female</v>
          </cell>
          <cell r="D6">
            <v>18</v>
          </cell>
          <cell r="F6" t="str">
            <v>Chennai</v>
          </cell>
          <cell r="G6" t="str">
            <v>Tamil Nadu</v>
          </cell>
          <cell r="H6" t="str">
            <v>South</v>
          </cell>
        </row>
        <row r="7">
          <cell r="A7">
            <v>6</v>
          </cell>
          <cell r="B7" t="str">
            <v>Customer_6</v>
          </cell>
          <cell r="C7" t="str">
            <v>Female</v>
          </cell>
          <cell r="D7">
            <v>36</v>
          </cell>
          <cell r="F7" t="str">
            <v>Ahmedabad</v>
          </cell>
          <cell r="G7" t="str">
            <v>Gujarat</v>
          </cell>
          <cell r="H7" t="str">
            <v>West</v>
          </cell>
        </row>
        <row r="8">
          <cell r="A8">
            <v>7</v>
          </cell>
          <cell r="B8" t="str">
            <v>Customer_7</v>
          </cell>
          <cell r="C8" t="str">
            <v>Male</v>
          </cell>
          <cell r="D8">
            <v>40</v>
          </cell>
          <cell r="F8" t="str">
            <v>Kolkata</v>
          </cell>
          <cell r="G8" t="str">
            <v>West Bengal</v>
          </cell>
          <cell r="H8" t="str">
            <v>East</v>
          </cell>
        </row>
        <row r="9">
          <cell r="A9">
            <v>8</v>
          </cell>
          <cell r="B9" t="str">
            <v>Customer_8</v>
          </cell>
          <cell r="C9" t="str">
            <v>Male</v>
          </cell>
          <cell r="D9">
            <v>57</v>
          </cell>
          <cell r="F9" t="str">
            <v>Pune</v>
          </cell>
          <cell r="G9" t="str">
            <v>Maharashtra</v>
          </cell>
          <cell r="H9" t="str">
            <v>West</v>
          </cell>
        </row>
        <row r="10">
          <cell r="A10">
            <v>9</v>
          </cell>
          <cell r="B10" t="str">
            <v>Customer_9</v>
          </cell>
          <cell r="C10" t="str">
            <v>Female</v>
          </cell>
          <cell r="D10">
            <v>31</v>
          </cell>
          <cell r="F10" t="str">
            <v>Hyderabad</v>
          </cell>
          <cell r="G10" t="str">
            <v>Telangana</v>
          </cell>
          <cell r="H10" t="str">
            <v>South</v>
          </cell>
        </row>
        <row r="11">
          <cell r="A11">
            <v>10</v>
          </cell>
          <cell r="B11" t="str">
            <v>Customer_10</v>
          </cell>
          <cell r="C11" t="str">
            <v>Male</v>
          </cell>
          <cell r="D11">
            <v>56</v>
          </cell>
          <cell r="F11" t="str">
            <v>Mumbai</v>
          </cell>
          <cell r="G11" t="str">
            <v>Maharashtra</v>
          </cell>
          <cell r="H11" t="str">
            <v>West</v>
          </cell>
        </row>
        <row r="12">
          <cell r="A12">
            <v>11</v>
          </cell>
          <cell r="B12" t="str">
            <v>Customer_11</v>
          </cell>
          <cell r="C12" t="str">
            <v>Female</v>
          </cell>
          <cell r="D12">
            <v>46</v>
          </cell>
          <cell r="F12" t="str">
            <v>Jaipur</v>
          </cell>
          <cell r="G12" t="str">
            <v>Rajasthan</v>
          </cell>
          <cell r="H12" t="str">
            <v>North</v>
          </cell>
        </row>
        <row r="13">
          <cell r="A13">
            <v>12</v>
          </cell>
          <cell r="B13" t="str">
            <v>Customer_12</v>
          </cell>
          <cell r="C13" t="str">
            <v>Female</v>
          </cell>
          <cell r="D13">
            <v>47</v>
          </cell>
          <cell r="F13" t="str">
            <v>Bangalore</v>
          </cell>
          <cell r="G13" t="str">
            <v>Karnataka</v>
          </cell>
          <cell r="H13" t="str">
            <v>South</v>
          </cell>
        </row>
        <row r="14">
          <cell r="A14">
            <v>13</v>
          </cell>
          <cell r="B14" t="str">
            <v>Customer_13</v>
          </cell>
          <cell r="C14" t="str">
            <v>Male</v>
          </cell>
          <cell r="D14">
            <v>38</v>
          </cell>
          <cell r="F14" t="str">
            <v>Chennai</v>
          </cell>
          <cell r="G14" t="str">
            <v>Tamil Nadu</v>
          </cell>
          <cell r="H14" t="str">
            <v>South</v>
          </cell>
        </row>
        <row r="15">
          <cell r="A15">
            <v>14</v>
          </cell>
          <cell r="B15" t="str">
            <v>Customer_14</v>
          </cell>
          <cell r="C15" t="str">
            <v>Male</v>
          </cell>
          <cell r="D15">
            <v>41</v>
          </cell>
          <cell r="F15" t="str">
            <v>Jaipur</v>
          </cell>
          <cell r="G15" t="str">
            <v>Rajasthan</v>
          </cell>
          <cell r="H15" t="str">
            <v>North</v>
          </cell>
        </row>
        <row r="16">
          <cell r="A16">
            <v>15</v>
          </cell>
          <cell r="B16" t="str">
            <v>Customer_15</v>
          </cell>
          <cell r="C16" t="str">
            <v>Female</v>
          </cell>
          <cell r="D16">
            <v>41</v>
          </cell>
          <cell r="F16" t="str">
            <v>Lucknow</v>
          </cell>
          <cell r="G16" t="str">
            <v>UP</v>
          </cell>
          <cell r="H16" t="str">
            <v>North</v>
          </cell>
        </row>
        <row r="17">
          <cell r="A17">
            <v>16</v>
          </cell>
          <cell r="B17" t="str">
            <v>Customer_16</v>
          </cell>
          <cell r="C17" t="str">
            <v>Female</v>
          </cell>
          <cell r="D17">
            <v>24</v>
          </cell>
          <cell r="F17" t="str">
            <v>Jaipur</v>
          </cell>
          <cell r="G17" t="str">
            <v>Rajasthan</v>
          </cell>
          <cell r="H17" t="str">
            <v>North</v>
          </cell>
        </row>
        <row r="18">
          <cell r="A18">
            <v>17</v>
          </cell>
          <cell r="B18" t="str">
            <v>Customer_17</v>
          </cell>
          <cell r="C18" t="str">
            <v>Male</v>
          </cell>
          <cell r="D18">
            <v>31</v>
          </cell>
          <cell r="F18" t="str">
            <v>Hyderabad</v>
          </cell>
          <cell r="G18" t="str">
            <v>Telangana</v>
          </cell>
          <cell r="H18" t="str">
            <v>South</v>
          </cell>
        </row>
        <row r="19">
          <cell r="A19">
            <v>18</v>
          </cell>
          <cell r="B19" t="str">
            <v>Customer_18</v>
          </cell>
          <cell r="C19" t="str">
            <v>Female</v>
          </cell>
          <cell r="D19">
            <v>20</v>
          </cell>
          <cell r="F19" t="str">
            <v>Hyderabad</v>
          </cell>
          <cell r="G19" t="str">
            <v>Telangana</v>
          </cell>
          <cell r="H19" t="str">
            <v>South</v>
          </cell>
        </row>
        <row r="20">
          <cell r="A20">
            <v>19</v>
          </cell>
          <cell r="B20" t="str">
            <v>Customer_19</v>
          </cell>
          <cell r="C20" t="str">
            <v>Female</v>
          </cell>
          <cell r="D20">
            <v>39</v>
          </cell>
          <cell r="F20" t="str">
            <v>Pune</v>
          </cell>
          <cell r="G20" t="str">
            <v>Maharashtra</v>
          </cell>
          <cell r="H20" t="str">
            <v>West</v>
          </cell>
        </row>
        <row r="21">
          <cell r="A21">
            <v>20</v>
          </cell>
          <cell r="B21" t="str">
            <v>Customer_20</v>
          </cell>
          <cell r="C21" t="str">
            <v>Female</v>
          </cell>
          <cell r="D21">
            <v>19</v>
          </cell>
          <cell r="F21" t="str">
            <v>Jaipur</v>
          </cell>
          <cell r="G21" t="str">
            <v>Rajasthan</v>
          </cell>
          <cell r="H21" t="str">
            <v>North</v>
          </cell>
        </row>
        <row r="22">
          <cell r="A22">
            <v>21</v>
          </cell>
          <cell r="B22" t="str">
            <v>Customer_21</v>
          </cell>
          <cell r="C22" t="str">
            <v>Female</v>
          </cell>
          <cell r="D22">
            <v>33</v>
          </cell>
          <cell r="F22" t="str">
            <v>Hyderabad</v>
          </cell>
          <cell r="G22" t="str">
            <v>Telangana</v>
          </cell>
          <cell r="H22" t="str">
            <v>South</v>
          </cell>
        </row>
        <row r="23">
          <cell r="A23">
            <v>22</v>
          </cell>
          <cell r="B23" t="str">
            <v>Customer_22</v>
          </cell>
          <cell r="C23" t="str">
            <v>Female</v>
          </cell>
          <cell r="D23">
            <v>44</v>
          </cell>
          <cell r="F23" t="str">
            <v>Lucknow</v>
          </cell>
          <cell r="G23" t="str">
            <v>UP</v>
          </cell>
          <cell r="H23" t="str">
            <v>North</v>
          </cell>
        </row>
        <row r="24">
          <cell r="A24">
            <v>23</v>
          </cell>
          <cell r="B24" t="str">
            <v>Customer_23</v>
          </cell>
          <cell r="C24" t="str">
            <v>Female</v>
          </cell>
          <cell r="D24">
            <v>19</v>
          </cell>
          <cell r="F24" t="str">
            <v>Delhi</v>
          </cell>
          <cell r="G24" t="str">
            <v>Delhi</v>
          </cell>
          <cell r="H24" t="str">
            <v>North</v>
          </cell>
        </row>
        <row r="25">
          <cell r="A25">
            <v>24</v>
          </cell>
          <cell r="B25" t="str">
            <v>Customer_24</v>
          </cell>
          <cell r="C25" t="str">
            <v>Male</v>
          </cell>
          <cell r="D25">
            <v>58</v>
          </cell>
          <cell r="F25" t="str">
            <v>Ahmedabad</v>
          </cell>
          <cell r="G25" t="str">
            <v>Gujarat</v>
          </cell>
          <cell r="H25" t="str">
            <v>West</v>
          </cell>
        </row>
        <row r="26">
          <cell r="A26">
            <v>25</v>
          </cell>
          <cell r="B26" t="str">
            <v>Customer_25</v>
          </cell>
          <cell r="C26" t="str">
            <v>Female</v>
          </cell>
          <cell r="D26">
            <v>58</v>
          </cell>
          <cell r="F26" t="str">
            <v>Mumbai</v>
          </cell>
          <cell r="G26" t="str">
            <v>Maharashtra</v>
          </cell>
          <cell r="H26" t="str">
            <v>West</v>
          </cell>
        </row>
        <row r="27">
          <cell r="A27">
            <v>26</v>
          </cell>
          <cell r="B27" t="str">
            <v>Customer_26</v>
          </cell>
          <cell r="C27" t="str">
            <v>Male</v>
          </cell>
          <cell r="D27">
            <v>38</v>
          </cell>
          <cell r="F27" t="str">
            <v>Chennai</v>
          </cell>
          <cell r="G27" t="str">
            <v>Tamil Nadu</v>
          </cell>
          <cell r="H27" t="str">
            <v>South</v>
          </cell>
        </row>
        <row r="28">
          <cell r="A28">
            <v>27</v>
          </cell>
          <cell r="B28" t="str">
            <v>Customer_27</v>
          </cell>
          <cell r="C28" t="str">
            <v>Male</v>
          </cell>
          <cell r="D28">
            <v>50</v>
          </cell>
          <cell r="F28" t="str">
            <v>Pune</v>
          </cell>
          <cell r="G28" t="str">
            <v>Maharashtra</v>
          </cell>
          <cell r="H28" t="str">
            <v>West</v>
          </cell>
        </row>
        <row r="29">
          <cell r="A29">
            <v>28</v>
          </cell>
          <cell r="B29" t="str">
            <v>Customer_28</v>
          </cell>
          <cell r="C29" t="str">
            <v>Female</v>
          </cell>
          <cell r="D29">
            <v>31</v>
          </cell>
          <cell r="F29" t="str">
            <v>Delhi</v>
          </cell>
          <cell r="G29" t="str">
            <v>Delhi</v>
          </cell>
          <cell r="H29" t="str">
            <v>North</v>
          </cell>
        </row>
        <row r="30">
          <cell r="A30">
            <v>29</v>
          </cell>
          <cell r="B30" t="str">
            <v>Customer_29</v>
          </cell>
          <cell r="C30" t="str">
            <v>Male</v>
          </cell>
          <cell r="D30">
            <v>23</v>
          </cell>
          <cell r="F30" t="str">
            <v>Hyderabad</v>
          </cell>
          <cell r="G30" t="str">
            <v>Telangana</v>
          </cell>
          <cell r="H30" t="str">
            <v>South</v>
          </cell>
        </row>
        <row r="31">
          <cell r="A31">
            <v>30</v>
          </cell>
          <cell r="B31" t="str">
            <v>Customer_30</v>
          </cell>
          <cell r="C31" t="str">
            <v>Male</v>
          </cell>
          <cell r="D31">
            <v>59</v>
          </cell>
          <cell r="F31" t="str">
            <v>Lucknow</v>
          </cell>
          <cell r="G31" t="str">
            <v>UP</v>
          </cell>
          <cell r="H31" t="str">
            <v>North</v>
          </cell>
        </row>
        <row r="32">
          <cell r="A32">
            <v>31</v>
          </cell>
          <cell r="B32" t="str">
            <v>Customer_31</v>
          </cell>
          <cell r="C32" t="str">
            <v>Male</v>
          </cell>
          <cell r="D32">
            <v>45</v>
          </cell>
          <cell r="F32" t="str">
            <v>Pune</v>
          </cell>
          <cell r="G32" t="str">
            <v>Maharashtra</v>
          </cell>
          <cell r="H32" t="str">
            <v>West</v>
          </cell>
        </row>
        <row r="33">
          <cell r="A33">
            <v>32</v>
          </cell>
          <cell r="B33" t="str">
            <v>Customer_32</v>
          </cell>
          <cell r="C33" t="str">
            <v>Male</v>
          </cell>
          <cell r="D33">
            <v>46</v>
          </cell>
          <cell r="F33" t="str">
            <v>Ahmedabad</v>
          </cell>
          <cell r="G33" t="str">
            <v>Gujarat</v>
          </cell>
          <cell r="H33" t="str">
            <v>West</v>
          </cell>
        </row>
        <row r="34">
          <cell r="A34">
            <v>33</v>
          </cell>
          <cell r="B34" t="str">
            <v>Customer_33</v>
          </cell>
          <cell r="C34" t="str">
            <v>Female</v>
          </cell>
          <cell r="D34">
            <v>20</v>
          </cell>
          <cell r="F34" t="str">
            <v>Kolkata</v>
          </cell>
          <cell r="G34" t="str">
            <v>West Bengal</v>
          </cell>
          <cell r="H34" t="str">
            <v>East</v>
          </cell>
        </row>
        <row r="35">
          <cell r="A35">
            <v>34</v>
          </cell>
          <cell r="B35" t="str">
            <v>Customer_34</v>
          </cell>
          <cell r="C35" t="str">
            <v>Female</v>
          </cell>
          <cell r="D35">
            <v>43</v>
          </cell>
          <cell r="F35" t="str">
            <v>Delhi</v>
          </cell>
          <cell r="G35" t="str">
            <v>Delhi</v>
          </cell>
          <cell r="H35" t="str">
            <v>North</v>
          </cell>
        </row>
        <row r="36">
          <cell r="A36">
            <v>35</v>
          </cell>
          <cell r="B36" t="str">
            <v>Customer_35</v>
          </cell>
          <cell r="C36" t="str">
            <v>Male</v>
          </cell>
          <cell r="D36">
            <v>35</v>
          </cell>
          <cell r="F36" t="str">
            <v>Pune</v>
          </cell>
          <cell r="G36" t="str">
            <v>Maharashtra</v>
          </cell>
          <cell r="H36" t="str">
            <v>West</v>
          </cell>
        </row>
        <row r="37">
          <cell r="A37">
            <v>36</v>
          </cell>
          <cell r="B37" t="str">
            <v>Customer_36</v>
          </cell>
          <cell r="C37" t="str">
            <v>Male</v>
          </cell>
          <cell r="D37">
            <v>45</v>
          </cell>
          <cell r="F37" t="str">
            <v>Chennai</v>
          </cell>
          <cell r="G37" t="str">
            <v>Tamil Nadu</v>
          </cell>
          <cell r="H37" t="str">
            <v>South</v>
          </cell>
        </row>
        <row r="38">
          <cell r="A38">
            <v>37</v>
          </cell>
          <cell r="B38" t="str">
            <v>Customer_37</v>
          </cell>
          <cell r="C38" t="str">
            <v>Male</v>
          </cell>
          <cell r="D38">
            <v>43</v>
          </cell>
          <cell r="F38" t="str">
            <v>Bangalore</v>
          </cell>
          <cell r="G38" t="str">
            <v>Karnataka</v>
          </cell>
          <cell r="H38" t="str">
            <v>South</v>
          </cell>
        </row>
        <row r="39">
          <cell r="A39">
            <v>38</v>
          </cell>
          <cell r="B39" t="str">
            <v>Customer_38</v>
          </cell>
          <cell r="C39" t="str">
            <v>Male</v>
          </cell>
          <cell r="D39">
            <v>36</v>
          </cell>
          <cell r="F39" t="str">
            <v>Lucknow</v>
          </cell>
          <cell r="G39" t="str">
            <v>UP</v>
          </cell>
          <cell r="H39" t="str">
            <v>North</v>
          </cell>
        </row>
        <row r="40">
          <cell r="A40">
            <v>39</v>
          </cell>
          <cell r="B40" t="str">
            <v>Customer_39</v>
          </cell>
          <cell r="C40" t="str">
            <v>Male</v>
          </cell>
          <cell r="D40">
            <v>36</v>
          </cell>
          <cell r="F40" t="str">
            <v>Ahmedabad</v>
          </cell>
          <cell r="G40" t="str">
            <v>Gujarat</v>
          </cell>
          <cell r="H40" t="str">
            <v>West</v>
          </cell>
        </row>
        <row r="41">
          <cell r="A41">
            <v>40</v>
          </cell>
          <cell r="B41" t="str">
            <v>Customer_40</v>
          </cell>
          <cell r="C41" t="str">
            <v>Male</v>
          </cell>
          <cell r="D41">
            <v>51</v>
          </cell>
          <cell r="F41" t="str">
            <v>Mumbai</v>
          </cell>
          <cell r="G41" t="str">
            <v>Maharashtra</v>
          </cell>
          <cell r="H41" t="str">
            <v>West</v>
          </cell>
        </row>
        <row r="42">
          <cell r="A42">
            <v>41</v>
          </cell>
          <cell r="B42" t="str">
            <v>Customer_41</v>
          </cell>
          <cell r="C42" t="str">
            <v>Female</v>
          </cell>
          <cell r="D42">
            <v>57</v>
          </cell>
          <cell r="F42" t="str">
            <v>Bangalore</v>
          </cell>
          <cell r="G42" t="str">
            <v>Karnataka</v>
          </cell>
          <cell r="H42" t="str">
            <v>South</v>
          </cell>
        </row>
        <row r="43">
          <cell r="A43">
            <v>42</v>
          </cell>
          <cell r="B43" t="str">
            <v>Customer_42</v>
          </cell>
          <cell r="C43" t="str">
            <v>Male</v>
          </cell>
          <cell r="D43">
            <v>23</v>
          </cell>
          <cell r="F43" t="str">
            <v>Mumbai</v>
          </cell>
          <cell r="G43" t="str">
            <v>Maharashtra</v>
          </cell>
          <cell r="H43" t="str">
            <v>West</v>
          </cell>
        </row>
        <row r="44">
          <cell r="A44">
            <v>43</v>
          </cell>
          <cell r="B44" t="str">
            <v>Customer_43</v>
          </cell>
          <cell r="C44" t="str">
            <v>Female</v>
          </cell>
          <cell r="D44">
            <v>22</v>
          </cell>
          <cell r="F44" t="str">
            <v>Jaipur</v>
          </cell>
          <cell r="G44" t="str">
            <v>Rajasthan</v>
          </cell>
          <cell r="H44" t="str">
            <v>North</v>
          </cell>
        </row>
        <row r="45">
          <cell r="A45">
            <v>44</v>
          </cell>
          <cell r="B45" t="str">
            <v>Customer_44</v>
          </cell>
          <cell r="C45" t="str">
            <v>Male</v>
          </cell>
          <cell r="D45">
            <v>47</v>
          </cell>
          <cell r="F45" t="str">
            <v>Jaipur</v>
          </cell>
          <cell r="G45" t="str">
            <v>Rajasthan</v>
          </cell>
          <cell r="H45" t="str">
            <v>North</v>
          </cell>
        </row>
        <row r="46">
          <cell r="A46">
            <v>45</v>
          </cell>
          <cell r="B46" t="str">
            <v>Customer_45</v>
          </cell>
          <cell r="C46" t="str">
            <v>Female</v>
          </cell>
          <cell r="D46">
            <v>51</v>
          </cell>
          <cell r="F46" t="str">
            <v>Ahmedabad</v>
          </cell>
          <cell r="G46" t="str">
            <v>Gujarat</v>
          </cell>
          <cell r="H46" t="str">
            <v>West</v>
          </cell>
        </row>
        <row r="47">
          <cell r="A47">
            <v>46</v>
          </cell>
          <cell r="B47" t="str">
            <v>Customer_46</v>
          </cell>
          <cell r="C47" t="str">
            <v>Male</v>
          </cell>
          <cell r="D47">
            <v>42</v>
          </cell>
          <cell r="F47" t="str">
            <v>Pune</v>
          </cell>
          <cell r="G47" t="str">
            <v>Maharashtra</v>
          </cell>
          <cell r="H47" t="str">
            <v>West</v>
          </cell>
        </row>
        <row r="48">
          <cell r="A48">
            <v>47</v>
          </cell>
          <cell r="B48" t="str">
            <v>Customer_47</v>
          </cell>
          <cell r="C48" t="str">
            <v>Male</v>
          </cell>
          <cell r="D48">
            <v>33</v>
          </cell>
          <cell r="F48" t="str">
            <v>Kolkata</v>
          </cell>
          <cell r="G48" t="str">
            <v>West Bengal</v>
          </cell>
          <cell r="H48" t="str">
            <v>East</v>
          </cell>
        </row>
        <row r="49">
          <cell r="A49">
            <v>48</v>
          </cell>
          <cell r="B49" t="str">
            <v>Customer_48</v>
          </cell>
          <cell r="C49" t="str">
            <v>Male</v>
          </cell>
          <cell r="D49">
            <v>30</v>
          </cell>
          <cell r="F49" t="str">
            <v>Ahmedabad</v>
          </cell>
          <cell r="G49" t="str">
            <v>Gujarat</v>
          </cell>
          <cell r="H49" t="str">
            <v>West</v>
          </cell>
        </row>
        <row r="50">
          <cell r="A50">
            <v>49</v>
          </cell>
          <cell r="B50" t="str">
            <v>Customer_49</v>
          </cell>
          <cell r="C50" t="str">
            <v>Male</v>
          </cell>
          <cell r="D50">
            <v>40</v>
          </cell>
          <cell r="F50" t="str">
            <v>Lucknow</v>
          </cell>
          <cell r="G50" t="str">
            <v>UP</v>
          </cell>
          <cell r="H50" t="str">
            <v>North</v>
          </cell>
        </row>
        <row r="51">
          <cell r="A51">
            <v>50</v>
          </cell>
          <cell r="B51" t="str">
            <v>Customer_50</v>
          </cell>
          <cell r="C51" t="str">
            <v>Female</v>
          </cell>
          <cell r="D51">
            <v>40</v>
          </cell>
          <cell r="F51" t="str">
            <v>Kolkata</v>
          </cell>
          <cell r="G51" t="str">
            <v>West Bengal</v>
          </cell>
          <cell r="H51" t="str">
            <v>East</v>
          </cell>
        </row>
        <row r="52">
          <cell r="A52">
            <v>51</v>
          </cell>
          <cell r="B52" t="str">
            <v>Customer_51</v>
          </cell>
          <cell r="C52" t="str">
            <v>Female</v>
          </cell>
          <cell r="D52">
            <v>20</v>
          </cell>
          <cell r="F52" t="str">
            <v>Lucknow</v>
          </cell>
          <cell r="G52" t="str">
            <v>UP</v>
          </cell>
          <cell r="H52" t="str">
            <v>North</v>
          </cell>
        </row>
        <row r="53">
          <cell r="A53">
            <v>52</v>
          </cell>
          <cell r="B53" t="str">
            <v>Customer_52</v>
          </cell>
          <cell r="C53" t="str">
            <v>Male</v>
          </cell>
          <cell r="D53">
            <v>31</v>
          </cell>
          <cell r="F53" t="str">
            <v>Pune</v>
          </cell>
          <cell r="G53" t="str">
            <v>Maharashtra</v>
          </cell>
          <cell r="H53" t="str">
            <v>West</v>
          </cell>
        </row>
        <row r="54">
          <cell r="A54">
            <v>53</v>
          </cell>
          <cell r="B54" t="str">
            <v>Customer_53</v>
          </cell>
          <cell r="C54" t="str">
            <v>Male</v>
          </cell>
          <cell r="D54">
            <v>35</v>
          </cell>
          <cell r="F54" t="str">
            <v>Pune</v>
          </cell>
          <cell r="G54" t="str">
            <v>Maharashtra</v>
          </cell>
          <cell r="H54" t="str">
            <v>West</v>
          </cell>
        </row>
        <row r="55">
          <cell r="A55">
            <v>54</v>
          </cell>
          <cell r="B55" t="str">
            <v>Customer_54</v>
          </cell>
          <cell r="C55" t="str">
            <v>Male</v>
          </cell>
          <cell r="D55">
            <v>23</v>
          </cell>
          <cell r="F55" t="str">
            <v>Mumbai</v>
          </cell>
          <cell r="G55" t="str">
            <v>Maharashtra</v>
          </cell>
          <cell r="H55" t="str">
            <v>West</v>
          </cell>
        </row>
        <row r="56">
          <cell r="A56">
            <v>55</v>
          </cell>
          <cell r="B56" t="str">
            <v>Customer_55</v>
          </cell>
          <cell r="C56" t="str">
            <v>Female</v>
          </cell>
          <cell r="D56">
            <v>24</v>
          </cell>
          <cell r="F56" t="str">
            <v>Chennai</v>
          </cell>
          <cell r="G56" t="str">
            <v>Tamil Nadu</v>
          </cell>
          <cell r="H56" t="str">
            <v>South</v>
          </cell>
        </row>
        <row r="57">
          <cell r="A57">
            <v>56</v>
          </cell>
          <cell r="B57" t="str">
            <v>Customer_56</v>
          </cell>
          <cell r="C57" t="str">
            <v>Male</v>
          </cell>
          <cell r="D57">
            <v>40</v>
          </cell>
          <cell r="F57" t="str">
            <v>Ahmedabad</v>
          </cell>
          <cell r="G57" t="str">
            <v>Gujarat</v>
          </cell>
          <cell r="H57" t="str">
            <v>West</v>
          </cell>
        </row>
        <row r="58">
          <cell r="A58">
            <v>57</v>
          </cell>
          <cell r="B58" t="str">
            <v>Customer_57</v>
          </cell>
          <cell r="C58" t="str">
            <v>Male</v>
          </cell>
          <cell r="D58">
            <v>24</v>
          </cell>
          <cell r="F58" t="str">
            <v>Hyderabad</v>
          </cell>
          <cell r="G58" t="str">
            <v>Telangana</v>
          </cell>
          <cell r="H58" t="str">
            <v>South</v>
          </cell>
        </row>
        <row r="59">
          <cell r="A59">
            <v>58</v>
          </cell>
          <cell r="B59" t="str">
            <v>Customer_58</v>
          </cell>
          <cell r="C59" t="str">
            <v>Male</v>
          </cell>
          <cell r="D59">
            <v>34</v>
          </cell>
          <cell r="F59" t="str">
            <v>Ahmedabad</v>
          </cell>
          <cell r="G59" t="str">
            <v>Gujarat</v>
          </cell>
          <cell r="H59" t="str">
            <v>West</v>
          </cell>
        </row>
        <row r="60">
          <cell r="A60">
            <v>59</v>
          </cell>
          <cell r="B60" t="str">
            <v>Customer_59</v>
          </cell>
          <cell r="C60" t="str">
            <v>Male</v>
          </cell>
          <cell r="D60">
            <v>25</v>
          </cell>
          <cell r="F60" t="str">
            <v>Chennai</v>
          </cell>
          <cell r="G60" t="str">
            <v>Tamil Nadu</v>
          </cell>
          <cell r="H60" t="str">
            <v>South</v>
          </cell>
        </row>
        <row r="61">
          <cell r="A61">
            <v>60</v>
          </cell>
          <cell r="B61" t="str">
            <v>Customer_60</v>
          </cell>
          <cell r="C61" t="str">
            <v>Male</v>
          </cell>
          <cell r="D61">
            <v>54</v>
          </cell>
          <cell r="F61" t="str">
            <v>Jaipur</v>
          </cell>
          <cell r="G61" t="str">
            <v>Rajasthan</v>
          </cell>
          <cell r="H61" t="str">
            <v>North</v>
          </cell>
        </row>
        <row r="62">
          <cell r="A62">
            <v>61</v>
          </cell>
          <cell r="B62" t="str">
            <v>Customer_61</v>
          </cell>
          <cell r="C62" t="str">
            <v>Male</v>
          </cell>
          <cell r="D62">
            <v>27</v>
          </cell>
          <cell r="F62" t="str">
            <v>Pune</v>
          </cell>
          <cell r="G62" t="str">
            <v>Maharashtra</v>
          </cell>
          <cell r="H62" t="str">
            <v>West</v>
          </cell>
        </row>
        <row r="63">
          <cell r="A63">
            <v>62</v>
          </cell>
          <cell r="B63" t="str">
            <v>Customer_62</v>
          </cell>
          <cell r="C63" t="str">
            <v>Male</v>
          </cell>
          <cell r="D63">
            <v>30</v>
          </cell>
          <cell r="F63" t="str">
            <v>Hyderabad</v>
          </cell>
          <cell r="G63" t="str">
            <v>Telangana</v>
          </cell>
          <cell r="H63" t="str">
            <v>South</v>
          </cell>
        </row>
        <row r="64">
          <cell r="A64">
            <v>63</v>
          </cell>
          <cell r="B64" t="str">
            <v>Customer_63</v>
          </cell>
          <cell r="C64" t="str">
            <v>Male</v>
          </cell>
          <cell r="D64">
            <v>19</v>
          </cell>
          <cell r="F64" t="str">
            <v>Jaipur</v>
          </cell>
          <cell r="G64" t="str">
            <v>Rajasthan</v>
          </cell>
          <cell r="H64" t="str">
            <v>North</v>
          </cell>
        </row>
        <row r="65">
          <cell r="A65">
            <v>64</v>
          </cell>
          <cell r="B65" t="str">
            <v>Customer_64</v>
          </cell>
          <cell r="C65" t="str">
            <v>Female</v>
          </cell>
          <cell r="D65">
            <v>22</v>
          </cell>
          <cell r="F65" t="str">
            <v>Delhi</v>
          </cell>
          <cell r="G65" t="str">
            <v>Delhi</v>
          </cell>
          <cell r="H65" t="str">
            <v>North</v>
          </cell>
        </row>
        <row r="66">
          <cell r="A66">
            <v>65</v>
          </cell>
          <cell r="B66" t="str">
            <v>Customer_65</v>
          </cell>
          <cell r="C66" t="str">
            <v>Female</v>
          </cell>
          <cell r="D66">
            <v>38</v>
          </cell>
          <cell r="F66" t="str">
            <v>Mumbai</v>
          </cell>
          <cell r="G66" t="str">
            <v>Maharashtra</v>
          </cell>
          <cell r="H66" t="str">
            <v>West</v>
          </cell>
        </row>
        <row r="67">
          <cell r="A67">
            <v>66</v>
          </cell>
          <cell r="B67" t="str">
            <v>Customer_66</v>
          </cell>
          <cell r="C67" t="str">
            <v>Female</v>
          </cell>
          <cell r="D67">
            <v>38</v>
          </cell>
          <cell r="F67" t="str">
            <v>Delhi</v>
          </cell>
          <cell r="G67" t="str">
            <v>Delhi</v>
          </cell>
          <cell r="H67" t="str">
            <v>North</v>
          </cell>
        </row>
        <row r="68">
          <cell r="A68">
            <v>67</v>
          </cell>
          <cell r="B68" t="str">
            <v>Customer_67</v>
          </cell>
          <cell r="C68" t="str">
            <v>Male</v>
          </cell>
          <cell r="D68">
            <v>40</v>
          </cell>
          <cell r="F68" t="str">
            <v>Jaipur</v>
          </cell>
          <cell r="G68" t="str">
            <v>Rajasthan</v>
          </cell>
          <cell r="H68" t="str">
            <v>North</v>
          </cell>
        </row>
        <row r="69">
          <cell r="A69">
            <v>68</v>
          </cell>
          <cell r="B69" t="str">
            <v>Customer_68</v>
          </cell>
          <cell r="C69" t="str">
            <v>Female</v>
          </cell>
          <cell r="D69">
            <v>40</v>
          </cell>
          <cell r="F69" t="str">
            <v>Bangalore</v>
          </cell>
          <cell r="G69" t="str">
            <v>Karnataka</v>
          </cell>
          <cell r="H69" t="str">
            <v>South</v>
          </cell>
        </row>
        <row r="70">
          <cell r="A70">
            <v>69</v>
          </cell>
          <cell r="B70" t="str">
            <v>Customer_69</v>
          </cell>
          <cell r="C70" t="str">
            <v>Female</v>
          </cell>
          <cell r="D70">
            <v>27</v>
          </cell>
          <cell r="F70" t="str">
            <v>Jaipur</v>
          </cell>
          <cell r="G70" t="str">
            <v>Rajasthan</v>
          </cell>
          <cell r="H70" t="str">
            <v>North</v>
          </cell>
        </row>
        <row r="71">
          <cell r="A71">
            <v>70</v>
          </cell>
          <cell r="B71" t="str">
            <v>Customer_70</v>
          </cell>
          <cell r="C71" t="str">
            <v>Male</v>
          </cell>
          <cell r="D71">
            <v>40</v>
          </cell>
          <cell r="F71" t="str">
            <v>Mumbai</v>
          </cell>
          <cell r="G71" t="str">
            <v>Maharashtra</v>
          </cell>
          <cell r="H71" t="str">
            <v>West</v>
          </cell>
        </row>
        <row r="72">
          <cell r="A72">
            <v>71</v>
          </cell>
          <cell r="B72" t="str">
            <v>Customer_71</v>
          </cell>
          <cell r="C72" t="str">
            <v>Male</v>
          </cell>
          <cell r="D72">
            <v>40</v>
          </cell>
          <cell r="F72" t="str">
            <v>Kolkata</v>
          </cell>
          <cell r="G72" t="str">
            <v>West Bengal</v>
          </cell>
          <cell r="H72" t="str">
            <v>East</v>
          </cell>
        </row>
        <row r="73">
          <cell r="A73">
            <v>72</v>
          </cell>
          <cell r="B73" t="str">
            <v>Customer_72</v>
          </cell>
          <cell r="C73" t="str">
            <v>Female</v>
          </cell>
          <cell r="D73">
            <v>46</v>
          </cell>
          <cell r="F73" t="str">
            <v>Chennai</v>
          </cell>
          <cell r="G73" t="str">
            <v>Tamil Nadu</v>
          </cell>
          <cell r="H73" t="str">
            <v>South</v>
          </cell>
        </row>
        <row r="74">
          <cell r="A74">
            <v>73</v>
          </cell>
          <cell r="B74" t="str">
            <v>Customer_73</v>
          </cell>
          <cell r="C74" t="str">
            <v>Male</v>
          </cell>
          <cell r="D74">
            <v>24</v>
          </cell>
          <cell r="F74" t="str">
            <v>Lucknow</v>
          </cell>
          <cell r="G74" t="str">
            <v>UP</v>
          </cell>
          <cell r="H74" t="str">
            <v>North</v>
          </cell>
        </row>
        <row r="75">
          <cell r="A75">
            <v>74</v>
          </cell>
          <cell r="B75" t="str">
            <v>Customer_74</v>
          </cell>
          <cell r="C75" t="str">
            <v>Male</v>
          </cell>
          <cell r="D75">
            <v>22</v>
          </cell>
          <cell r="F75" t="str">
            <v>Bangalore</v>
          </cell>
          <cell r="G75" t="str">
            <v>Karnataka</v>
          </cell>
          <cell r="H75" t="str">
            <v>South</v>
          </cell>
        </row>
        <row r="76">
          <cell r="A76">
            <v>75</v>
          </cell>
          <cell r="B76" t="str">
            <v>Customer_75</v>
          </cell>
          <cell r="C76" t="str">
            <v>Male</v>
          </cell>
          <cell r="D76">
            <v>35</v>
          </cell>
          <cell r="F76" t="str">
            <v>Jaipur</v>
          </cell>
          <cell r="G76" t="str">
            <v>Rajasthan</v>
          </cell>
          <cell r="H76" t="str">
            <v>North</v>
          </cell>
        </row>
        <row r="77">
          <cell r="A77">
            <v>76</v>
          </cell>
          <cell r="B77" t="str">
            <v>Customer_76</v>
          </cell>
          <cell r="C77" t="str">
            <v>Male</v>
          </cell>
          <cell r="D77">
            <v>50</v>
          </cell>
          <cell r="F77" t="str">
            <v>Lucknow</v>
          </cell>
          <cell r="G77" t="str">
            <v>UP</v>
          </cell>
          <cell r="H77" t="str">
            <v>North</v>
          </cell>
        </row>
        <row r="78">
          <cell r="A78">
            <v>77</v>
          </cell>
          <cell r="B78" t="str">
            <v>Customer_77</v>
          </cell>
          <cell r="C78" t="str">
            <v>Female</v>
          </cell>
          <cell r="D78">
            <v>25</v>
          </cell>
          <cell r="F78" t="str">
            <v>Mumbai</v>
          </cell>
          <cell r="G78" t="str">
            <v>Maharashtra</v>
          </cell>
          <cell r="H78" t="str">
            <v>West</v>
          </cell>
        </row>
        <row r="79">
          <cell r="A79">
            <v>78</v>
          </cell>
          <cell r="B79" t="str">
            <v>Customer_78</v>
          </cell>
          <cell r="C79" t="str">
            <v>Female</v>
          </cell>
          <cell r="D79">
            <v>55</v>
          </cell>
          <cell r="F79" t="str">
            <v>Kolkata</v>
          </cell>
          <cell r="G79" t="str">
            <v>West Bengal</v>
          </cell>
          <cell r="H79" t="str">
            <v>East</v>
          </cell>
        </row>
        <row r="80">
          <cell r="A80">
            <v>79</v>
          </cell>
          <cell r="B80" t="str">
            <v>Customer_79</v>
          </cell>
          <cell r="C80" t="str">
            <v>Male</v>
          </cell>
          <cell r="D80">
            <v>19</v>
          </cell>
          <cell r="F80" t="str">
            <v>Ahmedabad</v>
          </cell>
          <cell r="G80" t="str">
            <v>Gujarat</v>
          </cell>
          <cell r="H80" t="str">
            <v>West</v>
          </cell>
        </row>
        <row r="81">
          <cell r="A81">
            <v>80</v>
          </cell>
          <cell r="B81" t="str">
            <v>Customer_80</v>
          </cell>
          <cell r="C81" t="str">
            <v>Male</v>
          </cell>
          <cell r="D81">
            <v>28</v>
          </cell>
          <cell r="F81" t="str">
            <v>Delhi</v>
          </cell>
          <cell r="G81" t="str">
            <v>Delhi</v>
          </cell>
          <cell r="H81" t="str">
            <v>North</v>
          </cell>
        </row>
        <row r="82">
          <cell r="A82">
            <v>81</v>
          </cell>
          <cell r="B82" t="str">
            <v>Customer_81</v>
          </cell>
          <cell r="C82" t="str">
            <v>Female</v>
          </cell>
          <cell r="D82">
            <v>56</v>
          </cell>
          <cell r="F82" t="str">
            <v>Kolkata</v>
          </cell>
          <cell r="G82" t="str">
            <v>West Bengal</v>
          </cell>
          <cell r="H82" t="str">
            <v>East</v>
          </cell>
        </row>
        <row r="83">
          <cell r="A83">
            <v>82</v>
          </cell>
          <cell r="B83" t="str">
            <v>Customer_82</v>
          </cell>
          <cell r="C83" t="str">
            <v>Female</v>
          </cell>
          <cell r="D83">
            <v>40</v>
          </cell>
          <cell r="F83" t="str">
            <v>Chennai</v>
          </cell>
          <cell r="G83" t="str">
            <v>Tamil Nadu</v>
          </cell>
          <cell r="H83" t="str">
            <v>South</v>
          </cell>
        </row>
        <row r="84">
          <cell r="A84">
            <v>83</v>
          </cell>
          <cell r="B84" t="str">
            <v>Customer_83</v>
          </cell>
          <cell r="C84" t="str">
            <v>Female</v>
          </cell>
          <cell r="D84">
            <v>48</v>
          </cell>
          <cell r="F84" t="str">
            <v>Mumbai</v>
          </cell>
          <cell r="G84" t="str">
            <v>Maharashtra</v>
          </cell>
          <cell r="H84" t="str">
            <v>West</v>
          </cell>
        </row>
        <row r="85">
          <cell r="A85">
            <v>84</v>
          </cell>
          <cell r="B85" t="str">
            <v>Customer_84</v>
          </cell>
          <cell r="C85" t="str">
            <v>Female</v>
          </cell>
          <cell r="D85">
            <v>33</v>
          </cell>
          <cell r="F85" t="str">
            <v>Pune</v>
          </cell>
          <cell r="G85" t="str">
            <v>Maharashtra</v>
          </cell>
          <cell r="H85" t="str">
            <v>West</v>
          </cell>
        </row>
        <row r="86">
          <cell r="A86">
            <v>85</v>
          </cell>
          <cell r="B86" t="str">
            <v>Customer_85</v>
          </cell>
          <cell r="C86" t="str">
            <v>Male</v>
          </cell>
          <cell r="D86">
            <v>19</v>
          </cell>
          <cell r="F86" t="str">
            <v>Lucknow</v>
          </cell>
          <cell r="G86" t="str">
            <v>UP</v>
          </cell>
          <cell r="H86" t="str">
            <v>North</v>
          </cell>
        </row>
        <row r="87">
          <cell r="A87">
            <v>86</v>
          </cell>
          <cell r="B87" t="str">
            <v>Customer_86</v>
          </cell>
          <cell r="C87" t="str">
            <v>Female</v>
          </cell>
          <cell r="D87">
            <v>50</v>
          </cell>
          <cell r="F87" t="str">
            <v>Jaipur</v>
          </cell>
          <cell r="G87" t="str">
            <v>Rajasthan</v>
          </cell>
          <cell r="H87" t="str">
            <v>North</v>
          </cell>
        </row>
        <row r="88">
          <cell r="A88">
            <v>87</v>
          </cell>
          <cell r="B88" t="str">
            <v>Customer_87</v>
          </cell>
          <cell r="C88" t="str">
            <v>Female</v>
          </cell>
          <cell r="D88">
            <v>34</v>
          </cell>
          <cell r="F88" t="str">
            <v>Hyderabad</v>
          </cell>
          <cell r="G88" t="str">
            <v>Telangana</v>
          </cell>
          <cell r="H88" t="str">
            <v>South</v>
          </cell>
        </row>
        <row r="89">
          <cell r="A89">
            <v>88</v>
          </cell>
          <cell r="B89" t="str">
            <v>Customer_88</v>
          </cell>
          <cell r="C89" t="str">
            <v>Female</v>
          </cell>
          <cell r="D89">
            <v>36</v>
          </cell>
          <cell r="F89" t="str">
            <v>Kolkata</v>
          </cell>
          <cell r="G89" t="str">
            <v>West Bengal</v>
          </cell>
          <cell r="H89" t="str">
            <v>East</v>
          </cell>
        </row>
        <row r="90">
          <cell r="A90">
            <v>89</v>
          </cell>
          <cell r="B90" t="str">
            <v>Customer_89</v>
          </cell>
          <cell r="C90" t="str">
            <v>Male</v>
          </cell>
          <cell r="D90">
            <v>44</v>
          </cell>
          <cell r="F90" t="str">
            <v>Chennai</v>
          </cell>
          <cell r="G90" t="str">
            <v>Tamil Nadu</v>
          </cell>
          <cell r="H90" t="str">
            <v>South</v>
          </cell>
        </row>
        <row r="91">
          <cell r="A91">
            <v>90</v>
          </cell>
          <cell r="B91" t="str">
            <v>Customer_90</v>
          </cell>
          <cell r="C91" t="str">
            <v>Male</v>
          </cell>
          <cell r="D91">
            <v>20</v>
          </cell>
          <cell r="F91" t="str">
            <v>Kolkata</v>
          </cell>
          <cell r="G91" t="str">
            <v>West Bengal</v>
          </cell>
          <cell r="H91" t="str">
            <v>East</v>
          </cell>
        </row>
        <row r="92">
          <cell r="A92">
            <v>91</v>
          </cell>
          <cell r="B92" t="str">
            <v>Customer_91</v>
          </cell>
          <cell r="C92" t="str">
            <v>Male</v>
          </cell>
          <cell r="D92">
            <v>60</v>
          </cell>
          <cell r="F92" t="str">
            <v>Mumbai</v>
          </cell>
          <cell r="G92" t="str">
            <v>Maharashtra</v>
          </cell>
          <cell r="H92" t="str">
            <v>West</v>
          </cell>
        </row>
        <row r="93">
          <cell r="A93">
            <v>92</v>
          </cell>
          <cell r="B93" t="str">
            <v>Customer_92</v>
          </cell>
          <cell r="C93" t="str">
            <v>Female</v>
          </cell>
          <cell r="D93">
            <v>47</v>
          </cell>
          <cell r="F93" t="str">
            <v>Mumbai</v>
          </cell>
          <cell r="G93" t="str">
            <v>Maharashtra</v>
          </cell>
          <cell r="H93" t="str">
            <v>West</v>
          </cell>
        </row>
        <row r="94">
          <cell r="A94">
            <v>93</v>
          </cell>
          <cell r="B94" t="str">
            <v>Customer_93</v>
          </cell>
          <cell r="C94" t="str">
            <v>Female</v>
          </cell>
          <cell r="D94">
            <v>39</v>
          </cell>
          <cell r="F94" t="str">
            <v>Delhi</v>
          </cell>
          <cell r="G94" t="str">
            <v>Delhi</v>
          </cell>
          <cell r="H94" t="str">
            <v>North</v>
          </cell>
        </row>
        <row r="95">
          <cell r="A95">
            <v>94</v>
          </cell>
          <cell r="B95" t="str">
            <v>Customer_94</v>
          </cell>
          <cell r="C95" t="str">
            <v>Female</v>
          </cell>
          <cell r="D95">
            <v>45</v>
          </cell>
          <cell r="F95" t="str">
            <v>Lucknow</v>
          </cell>
          <cell r="G95" t="str">
            <v>UP</v>
          </cell>
          <cell r="H95" t="str">
            <v>North</v>
          </cell>
        </row>
        <row r="96">
          <cell r="A96">
            <v>95</v>
          </cell>
          <cell r="B96" t="str">
            <v>Customer_95</v>
          </cell>
          <cell r="C96" t="str">
            <v>Female</v>
          </cell>
          <cell r="D96">
            <v>41</v>
          </cell>
          <cell r="F96" t="str">
            <v>Ahmedabad</v>
          </cell>
          <cell r="G96" t="str">
            <v>Gujarat</v>
          </cell>
          <cell r="H96" t="str">
            <v>West</v>
          </cell>
        </row>
        <row r="97">
          <cell r="A97">
            <v>96</v>
          </cell>
          <cell r="B97" t="str">
            <v>Customer_96</v>
          </cell>
          <cell r="C97" t="str">
            <v>Male</v>
          </cell>
          <cell r="D97">
            <v>33</v>
          </cell>
          <cell r="F97" t="str">
            <v>Pune</v>
          </cell>
          <cell r="G97" t="str">
            <v>Maharashtra</v>
          </cell>
          <cell r="H97" t="str">
            <v>West</v>
          </cell>
        </row>
        <row r="98">
          <cell r="A98">
            <v>97</v>
          </cell>
          <cell r="B98" t="str">
            <v>Customer_97</v>
          </cell>
          <cell r="C98" t="str">
            <v>Male</v>
          </cell>
          <cell r="D98">
            <v>19</v>
          </cell>
          <cell r="F98" t="str">
            <v>Kolkata</v>
          </cell>
          <cell r="G98" t="str">
            <v>West Bengal</v>
          </cell>
          <cell r="H98" t="str">
            <v>East</v>
          </cell>
        </row>
        <row r="99">
          <cell r="A99">
            <v>98</v>
          </cell>
          <cell r="B99" t="str">
            <v>Customer_98</v>
          </cell>
          <cell r="C99" t="str">
            <v>Male</v>
          </cell>
          <cell r="D99">
            <v>33</v>
          </cell>
          <cell r="F99" t="str">
            <v>Ahmedabad</v>
          </cell>
          <cell r="G99" t="str">
            <v>Gujarat</v>
          </cell>
          <cell r="H99" t="str">
            <v>West</v>
          </cell>
        </row>
        <row r="100">
          <cell r="A100">
            <v>99</v>
          </cell>
          <cell r="B100" t="str">
            <v>Customer_99</v>
          </cell>
          <cell r="C100" t="str">
            <v>Male</v>
          </cell>
          <cell r="D100">
            <v>49</v>
          </cell>
          <cell r="F100" t="str">
            <v>Bangalore</v>
          </cell>
          <cell r="G100" t="str">
            <v>Karnataka</v>
          </cell>
          <cell r="H100" t="str">
            <v>South</v>
          </cell>
        </row>
        <row r="101">
          <cell r="A101">
            <v>100</v>
          </cell>
          <cell r="B101" t="str">
            <v>Customer_100</v>
          </cell>
          <cell r="C101" t="str">
            <v>Male</v>
          </cell>
          <cell r="D101">
            <v>46</v>
          </cell>
          <cell r="F101" t="str">
            <v>Delhi</v>
          </cell>
          <cell r="G101" t="str">
            <v>Delhi</v>
          </cell>
          <cell r="H101" t="str">
            <v>North</v>
          </cell>
        </row>
        <row r="102">
          <cell r="A102">
            <v>101</v>
          </cell>
          <cell r="B102" t="str">
            <v>Customer_101</v>
          </cell>
          <cell r="C102" t="str">
            <v>Female</v>
          </cell>
          <cell r="D102">
            <v>53</v>
          </cell>
          <cell r="F102" t="str">
            <v>Pune</v>
          </cell>
          <cell r="G102" t="str">
            <v>Maharashtra</v>
          </cell>
          <cell r="H102" t="str">
            <v>West</v>
          </cell>
        </row>
        <row r="103">
          <cell r="A103">
            <v>102</v>
          </cell>
          <cell r="B103" t="str">
            <v>Customer_102</v>
          </cell>
          <cell r="C103" t="str">
            <v>Female</v>
          </cell>
          <cell r="D103">
            <v>50</v>
          </cell>
          <cell r="F103" t="str">
            <v>Chennai</v>
          </cell>
          <cell r="G103" t="str">
            <v>Tamil Nadu</v>
          </cell>
          <cell r="H103" t="str">
            <v>South</v>
          </cell>
        </row>
        <row r="104">
          <cell r="A104">
            <v>103</v>
          </cell>
          <cell r="B104" t="str">
            <v>Customer_103</v>
          </cell>
          <cell r="C104" t="str">
            <v>Female</v>
          </cell>
          <cell r="D104">
            <v>51</v>
          </cell>
          <cell r="F104" t="str">
            <v>Bangalore</v>
          </cell>
          <cell r="G104" t="str">
            <v>Karnataka</v>
          </cell>
          <cell r="H104" t="str">
            <v>South</v>
          </cell>
        </row>
        <row r="105">
          <cell r="A105">
            <v>104</v>
          </cell>
          <cell r="B105" t="str">
            <v>Customer_104</v>
          </cell>
          <cell r="C105" t="str">
            <v>Male</v>
          </cell>
          <cell r="D105">
            <v>44</v>
          </cell>
          <cell r="F105" t="str">
            <v>Ahmedabad</v>
          </cell>
          <cell r="G105" t="str">
            <v>Gujarat</v>
          </cell>
          <cell r="H105" t="str">
            <v>West</v>
          </cell>
        </row>
        <row r="106">
          <cell r="A106">
            <v>105</v>
          </cell>
          <cell r="B106" t="str">
            <v>Customer_105</v>
          </cell>
          <cell r="C106" t="str">
            <v>Male</v>
          </cell>
          <cell r="D106">
            <v>20</v>
          </cell>
          <cell r="F106" t="str">
            <v>Jaipur</v>
          </cell>
          <cell r="G106" t="str">
            <v>Rajasthan</v>
          </cell>
          <cell r="H106" t="str">
            <v>North</v>
          </cell>
        </row>
        <row r="107">
          <cell r="A107">
            <v>106</v>
          </cell>
          <cell r="B107" t="str">
            <v>Customer_106</v>
          </cell>
          <cell r="C107" t="str">
            <v>Male</v>
          </cell>
          <cell r="D107">
            <v>60</v>
          </cell>
          <cell r="F107" t="str">
            <v>Jaipur</v>
          </cell>
          <cell r="G107" t="str">
            <v>Rajasthan</v>
          </cell>
          <cell r="H107" t="str">
            <v>North</v>
          </cell>
        </row>
        <row r="108">
          <cell r="A108">
            <v>107</v>
          </cell>
          <cell r="B108" t="str">
            <v>Customer_107</v>
          </cell>
          <cell r="C108" t="str">
            <v>Male</v>
          </cell>
          <cell r="D108">
            <v>26</v>
          </cell>
          <cell r="F108" t="str">
            <v>Ahmedabad</v>
          </cell>
          <cell r="G108" t="str">
            <v>Gujarat</v>
          </cell>
          <cell r="H108" t="str">
            <v>West</v>
          </cell>
        </row>
        <row r="109">
          <cell r="A109">
            <v>108</v>
          </cell>
          <cell r="B109" t="str">
            <v>Customer_108</v>
          </cell>
          <cell r="C109" t="str">
            <v>Male</v>
          </cell>
          <cell r="D109">
            <v>49</v>
          </cell>
          <cell r="F109" t="str">
            <v>Chennai</v>
          </cell>
          <cell r="G109" t="str">
            <v>Tamil Nadu</v>
          </cell>
          <cell r="H109" t="str">
            <v>South</v>
          </cell>
        </row>
        <row r="110">
          <cell r="A110">
            <v>109</v>
          </cell>
          <cell r="B110" t="str">
            <v>Customer_109</v>
          </cell>
          <cell r="C110" t="str">
            <v>Female</v>
          </cell>
          <cell r="D110">
            <v>43</v>
          </cell>
          <cell r="F110" t="str">
            <v>Kolkata</v>
          </cell>
          <cell r="G110" t="str">
            <v>West Bengal</v>
          </cell>
          <cell r="H110" t="str">
            <v>East</v>
          </cell>
        </row>
        <row r="111">
          <cell r="A111">
            <v>110</v>
          </cell>
          <cell r="B111" t="str">
            <v>Customer_110</v>
          </cell>
          <cell r="C111" t="str">
            <v>Male</v>
          </cell>
          <cell r="D111">
            <v>51</v>
          </cell>
          <cell r="F111" t="str">
            <v>Bangalore</v>
          </cell>
          <cell r="G111" t="str">
            <v>Karnataka</v>
          </cell>
          <cell r="H111" t="str">
            <v>South</v>
          </cell>
        </row>
        <row r="112">
          <cell r="A112">
            <v>111</v>
          </cell>
          <cell r="B112" t="str">
            <v>Customer_111</v>
          </cell>
          <cell r="C112" t="str">
            <v>Female</v>
          </cell>
          <cell r="D112">
            <v>38</v>
          </cell>
          <cell r="F112" t="str">
            <v>Ahmedabad</v>
          </cell>
          <cell r="G112" t="str">
            <v>Gujarat</v>
          </cell>
          <cell r="H112" t="str">
            <v>West</v>
          </cell>
        </row>
        <row r="113">
          <cell r="A113">
            <v>112</v>
          </cell>
          <cell r="B113" t="str">
            <v>Customer_112</v>
          </cell>
          <cell r="C113" t="str">
            <v>Female</v>
          </cell>
          <cell r="D113">
            <v>59</v>
          </cell>
          <cell r="F113" t="str">
            <v>Hyderabad</v>
          </cell>
          <cell r="G113" t="str">
            <v>Telangana</v>
          </cell>
          <cell r="H113" t="str">
            <v>South</v>
          </cell>
        </row>
        <row r="114">
          <cell r="A114">
            <v>113</v>
          </cell>
          <cell r="B114" t="str">
            <v>Customer_113</v>
          </cell>
          <cell r="C114" t="str">
            <v>Male</v>
          </cell>
          <cell r="D114">
            <v>36</v>
          </cell>
          <cell r="F114" t="str">
            <v>Mumbai</v>
          </cell>
          <cell r="G114" t="str">
            <v>Maharashtra</v>
          </cell>
          <cell r="H114" t="str">
            <v>West</v>
          </cell>
        </row>
        <row r="115">
          <cell r="A115">
            <v>114</v>
          </cell>
          <cell r="B115" t="str">
            <v>Customer_114</v>
          </cell>
          <cell r="C115" t="str">
            <v>Male</v>
          </cell>
          <cell r="D115">
            <v>38</v>
          </cell>
          <cell r="F115" t="str">
            <v>Delhi</v>
          </cell>
          <cell r="G115" t="str">
            <v>Delhi</v>
          </cell>
          <cell r="H115" t="str">
            <v>North</v>
          </cell>
        </row>
        <row r="116">
          <cell r="A116">
            <v>115</v>
          </cell>
          <cell r="B116" t="str">
            <v>Customer_115</v>
          </cell>
          <cell r="C116" t="str">
            <v>Female</v>
          </cell>
          <cell r="D116">
            <v>47</v>
          </cell>
          <cell r="F116" t="str">
            <v>Lucknow</v>
          </cell>
          <cell r="G116" t="str">
            <v>UP</v>
          </cell>
          <cell r="H116" t="str">
            <v>North</v>
          </cell>
        </row>
        <row r="117">
          <cell r="A117">
            <v>116</v>
          </cell>
          <cell r="B117" t="str">
            <v>Customer_116</v>
          </cell>
          <cell r="C117" t="str">
            <v>Female</v>
          </cell>
          <cell r="D117">
            <v>21</v>
          </cell>
          <cell r="F117" t="str">
            <v>Mumbai</v>
          </cell>
          <cell r="G117" t="str">
            <v>Maharashtra</v>
          </cell>
          <cell r="H117" t="str">
            <v>West</v>
          </cell>
        </row>
        <row r="118">
          <cell r="A118">
            <v>117</v>
          </cell>
          <cell r="B118" t="str">
            <v>Customer_117</v>
          </cell>
          <cell r="C118" t="str">
            <v>Male</v>
          </cell>
          <cell r="D118">
            <v>49</v>
          </cell>
          <cell r="F118" t="str">
            <v>Ahmedabad</v>
          </cell>
          <cell r="G118" t="str">
            <v>Gujarat</v>
          </cell>
          <cell r="H118" t="str">
            <v>West</v>
          </cell>
        </row>
        <row r="119">
          <cell r="A119">
            <v>118</v>
          </cell>
          <cell r="B119" t="str">
            <v>Customer_118</v>
          </cell>
          <cell r="C119" t="str">
            <v>Male</v>
          </cell>
          <cell r="D119">
            <v>23</v>
          </cell>
          <cell r="F119" t="str">
            <v>Mumbai</v>
          </cell>
          <cell r="G119" t="str">
            <v>Maharashtra</v>
          </cell>
          <cell r="H119" t="str">
            <v>West</v>
          </cell>
        </row>
        <row r="120">
          <cell r="A120">
            <v>119</v>
          </cell>
          <cell r="B120" t="str">
            <v>Customer_119</v>
          </cell>
          <cell r="C120" t="str">
            <v>Male</v>
          </cell>
          <cell r="D120">
            <v>27</v>
          </cell>
          <cell r="F120" t="str">
            <v>Bangalore</v>
          </cell>
          <cell r="G120" t="str">
            <v>Karnataka</v>
          </cell>
          <cell r="H120" t="str">
            <v>South</v>
          </cell>
        </row>
        <row r="121">
          <cell r="A121">
            <v>120</v>
          </cell>
          <cell r="B121" t="str">
            <v>Customer_120</v>
          </cell>
          <cell r="C121" t="str">
            <v>Female</v>
          </cell>
          <cell r="D121">
            <v>42</v>
          </cell>
          <cell r="F121" t="str">
            <v>Ahmedabad</v>
          </cell>
          <cell r="G121" t="str">
            <v>Gujarat</v>
          </cell>
          <cell r="H121" t="str">
            <v>West</v>
          </cell>
        </row>
        <row r="122">
          <cell r="A122">
            <v>121</v>
          </cell>
          <cell r="B122" t="str">
            <v>Customer_121</v>
          </cell>
          <cell r="C122" t="str">
            <v>Female</v>
          </cell>
          <cell r="D122">
            <v>47</v>
          </cell>
          <cell r="F122" t="str">
            <v>Chennai</v>
          </cell>
          <cell r="G122" t="str">
            <v>Tamil Nadu</v>
          </cell>
          <cell r="H122" t="str">
            <v>South</v>
          </cell>
        </row>
        <row r="123">
          <cell r="A123">
            <v>122</v>
          </cell>
          <cell r="B123" t="str">
            <v>Customer_122</v>
          </cell>
          <cell r="C123" t="str">
            <v>Female</v>
          </cell>
          <cell r="D123">
            <v>39</v>
          </cell>
          <cell r="F123" t="str">
            <v>Kolkata</v>
          </cell>
          <cell r="G123" t="str">
            <v>West Bengal</v>
          </cell>
          <cell r="H123" t="str">
            <v>East</v>
          </cell>
        </row>
        <row r="124">
          <cell r="A124">
            <v>123</v>
          </cell>
          <cell r="B124" t="str">
            <v>Customer_123</v>
          </cell>
          <cell r="C124" t="str">
            <v>Female</v>
          </cell>
          <cell r="D124">
            <v>51</v>
          </cell>
          <cell r="F124" t="str">
            <v>Kolkata</v>
          </cell>
          <cell r="G124" t="str">
            <v>West Bengal</v>
          </cell>
          <cell r="H124" t="str">
            <v>East</v>
          </cell>
        </row>
        <row r="125">
          <cell r="A125">
            <v>124</v>
          </cell>
          <cell r="B125" t="str">
            <v>Customer_124</v>
          </cell>
          <cell r="C125" t="str">
            <v>Female</v>
          </cell>
          <cell r="D125">
            <v>45</v>
          </cell>
          <cell r="F125" t="str">
            <v>Pune</v>
          </cell>
          <cell r="G125" t="str">
            <v>Maharashtra</v>
          </cell>
          <cell r="H125" t="str">
            <v>West</v>
          </cell>
        </row>
        <row r="126">
          <cell r="A126">
            <v>125</v>
          </cell>
          <cell r="B126" t="str">
            <v>Customer_125</v>
          </cell>
          <cell r="C126" t="str">
            <v>Female</v>
          </cell>
          <cell r="D126">
            <v>29</v>
          </cell>
          <cell r="F126" t="str">
            <v>Bangalore</v>
          </cell>
          <cell r="G126" t="str">
            <v>Karnataka</v>
          </cell>
          <cell r="H126" t="str">
            <v>South</v>
          </cell>
        </row>
        <row r="127">
          <cell r="A127">
            <v>126</v>
          </cell>
          <cell r="B127" t="str">
            <v>Customer_126</v>
          </cell>
          <cell r="C127" t="str">
            <v>Female</v>
          </cell>
          <cell r="D127">
            <v>52</v>
          </cell>
          <cell r="F127" t="str">
            <v>Chennai</v>
          </cell>
          <cell r="G127" t="str">
            <v>Tamil Nadu</v>
          </cell>
          <cell r="H127" t="str">
            <v>South</v>
          </cell>
        </row>
        <row r="128">
          <cell r="A128">
            <v>127</v>
          </cell>
          <cell r="B128" t="str">
            <v>Customer_127</v>
          </cell>
          <cell r="C128" t="str">
            <v>Male</v>
          </cell>
          <cell r="D128">
            <v>55</v>
          </cell>
          <cell r="F128" t="str">
            <v>Chennai</v>
          </cell>
          <cell r="G128" t="str">
            <v>Tamil Nadu</v>
          </cell>
          <cell r="H128" t="str">
            <v>South</v>
          </cell>
        </row>
        <row r="129">
          <cell r="A129">
            <v>128</v>
          </cell>
          <cell r="B129" t="str">
            <v>Customer_128</v>
          </cell>
          <cell r="C129" t="str">
            <v>Female</v>
          </cell>
          <cell r="D129">
            <v>47</v>
          </cell>
          <cell r="F129" t="str">
            <v>Ahmedabad</v>
          </cell>
          <cell r="G129" t="str">
            <v>Gujarat</v>
          </cell>
          <cell r="H129" t="str">
            <v>West</v>
          </cell>
        </row>
        <row r="130">
          <cell r="A130">
            <v>129</v>
          </cell>
          <cell r="B130" t="str">
            <v>Customer_129</v>
          </cell>
          <cell r="C130" t="str">
            <v>Male</v>
          </cell>
          <cell r="D130">
            <v>59</v>
          </cell>
          <cell r="F130" t="str">
            <v>Pune</v>
          </cell>
          <cell r="G130" t="str">
            <v>Maharashtra</v>
          </cell>
          <cell r="H130" t="str">
            <v>West</v>
          </cell>
        </row>
        <row r="131">
          <cell r="A131">
            <v>130</v>
          </cell>
          <cell r="B131" t="str">
            <v>Customer_130</v>
          </cell>
          <cell r="C131" t="str">
            <v>Female</v>
          </cell>
          <cell r="D131">
            <v>53</v>
          </cell>
          <cell r="F131" t="str">
            <v>Hyderabad</v>
          </cell>
          <cell r="G131" t="str">
            <v>Telangana</v>
          </cell>
          <cell r="H131" t="str">
            <v>South</v>
          </cell>
        </row>
        <row r="132">
          <cell r="A132">
            <v>131</v>
          </cell>
          <cell r="B132" t="str">
            <v>Customer_131</v>
          </cell>
          <cell r="C132" t="str">
            <v>Female</v>
          </cell>
          <cell r="D132">
            <v>40</v>
          </cell>
          <cell r="F132" t="str">
            <v>Ahmedabad</v>
          </cell>
          <cell r="G132" t="str">
            <v>Gujarat</v>
          </cell>
          <cell r="H132" t="str">
            <v>West</v>
          </cell>
        </row>
        <row r="133">
          <cell r="A133">
            <v>132</v>
          </cell>
          <cell r="B133" t="str">
            <v>Customer_132</v>
          </cell>
          <cell r="C133" t="str">
            <v>Male</v>
          </cell>
          <cell r="D133">
            <v>28</v>
          </cell>
          <cell r="F133" t="str">
            <v>Chennai</v>
          </cell>
          <cell r="G133" t="str">
            <v>Tamil Nadu</v>
          </cell>
          <cell r="H133" t="str">
            <v>South</v>
          </cell>
        </row>
        <row r="134">
          <cell r="A134">
            <v>133</v>
          </cell>
          <cell r="B134" t="str">
            <v>Customer_133</v>
          </cell>
          <cell r="C134" t="str">
            <v>Male</v>
          </cell>
          <cell r="D134">
            <v>31</v>
          </cell>
          <cell r="F134" t="str">
            <v>Mumbai</v>
          </cell>
          <cell r="G134" t="str">
            <v>Maharashtra</v>
          </cell>
          <cell r="H134" t="str">
            <v>West</v>
          </cell>
        </row>
        <row r="135">
          <cell r="A135">
            <v>134</v>
          </cell>
          <cell r="B135" t="str">
            <v>Customer_134</v>
          </cell>
          <cell r="C135" t="str">
            <v>Female</v>
          </cell>
          <cell r="D135">
            <v>36</v>
          </cell>
          <cell r="F135" t="str">
            <v>Mumbai</v>
          </cell>
          <cell r="G135" t="str">
            <v>Maharashtra</v>
          </cell>
          <cell r="H135" t="str">
            <v>West</v>
          </cell>
        </row>
        <row r="136">
          <cell r="A136">
            <v>135</v>
          </cell>
          <cell r="B136" t="str">
            <v>Customer_135</v>
          </cell>
          <cell r="C136" t="str">
            <v>Male</v>
          </cell>
          <cell r="D136">
            <v>25</v>
          </cell>
          <cell r="F136" t="str">
            <v>Lucknow</v>
          </cell>
          <cell r="G136" t="str">
            <v>UP</v>
          </cell>
          <cell r="H136" t="str">
            <v>North</v>
          </cell>
        </row>
        <row r="137">
          <cell r="A137">
            <v>136</v>
          </cell>
          <cell r="B137" t="str">
            <v>Customer_136</v>
          </cell>
          <cell r="C137" t="str">
            <v>Male</v>
          </cell>
          <cell r="D137">
            <v>43</v>
          </cell>
          <cell r="F137" t="str">
            <v>Kolkata</v>
          </cell>
          <cell r="G137" t="str">
            <v>West Bengal</v>
          </cell>
          <cell r="H137" t="str">
            <v>East</v>
          </cell>
        </row>
        <row r="138">
          <cell r="A138">
            <v>137</v>
          </cell>
          <cell r="B138" t="str">
            <v>Customer_137</v>
          </cell>
          <cell r="C138" t="str">
            <v>Male</v>
          </cell>
          <cell r="D138">
            <v>32</v>
          </cell>
          <cell r="F138" t="str">
            <v>Delhi</v>
          </cell>
          <cell r="G138" t="str">
            <v>Delhi</v>
          </cell>
          <cell r="H138" t="str">
            <v>North</v>
          </cell>
        </row>
        <row r="139">
          <cell r="A139">
            <v>138</v>
          </cell>
          <cell r="B139" t="str">
            <v>Customer_138</v>
          </cell>
          <cell r="C139" t="str">
            <v>Male</v>
          </cell>
          <cell r="D139">
            <v>37</v>
          </cell>
          <cell r="F139" t="str">
            <v>Delhi</v>
          </cell>
          <cell r="G139" t="str">
            <v>Delhi</v>
          </cell>
          <cell r="H139" t="str">
            <v>North</v>
          </cell>
        </row>
        <row r="140">
          <cell r="A140">
            <v>139</v>
          </cell>
          <cell r="B140" t="str">
            <v>Customer_139</v>
          </cell>
          <cell r="C140" t="str">
            <v>Female</v>
          </cell>
          <cell r="D140">
            <v>29</v>
          </cell>
          <cell r="F140" t="str">
            <v>Jaipur</v>
          </cell>
          <cell r="G140" t="str">
            <v>Rajasthan</v>
          </cell>
          <cell r="H140" t="str">
            <v>North</v>
          </cell>
        </row>
        <row r="141">
          <cell r="A141">
            <v>140</v>
          </cell>
          <cell r="B141" t="str">
            <v>Customer_140</v>
          </cell>
          <cell r="C141" t="str">
            <v>Male</v>
          </cell>
          <cell r="D141">
            <v>20</v>
          </cell>
          <cell r="F141" t="str">
            <v>Chennai</v>
          </cell>
          <cell r="G141" t="str">
            <v>Tamil Nadu</v>
          </cell>
          <cell r="H141" t="str">
            <v>South</v>
          </cell>
        </row>
        <row r="142">
          <cell r="A142">
            <v>141</v>
          </cell>
          <cell r="B142" t="str">
            <v>Customer_141</v>
          </cell>
          <cell r="C142" t="str">
            <v>Female</v>
          </cell>
          <cell r="D142">
            <v>28</v>
          </cell>
          <cell r="F142" t="str">
            <v>Chennai</v>
          </cell>
          <cell r="G142" t="str">
            <v>Tamil Nadu</v>
          </cell>
          <cell r="H142" t="str">
            <v>South</v>
          </cell>
        </row>
        <row r="143">
          <cell r="A143">
            <v>142</v>
          </cell>
          <cell r="B143" t="str">
            <v>Customer_142</v>
          </cell>
          <cell r="C143" t="str">
            <v>Female</v>
          </cell>
          <cell r="D143">
            <v>22</v>
          </cell>
          <cell r="F143" t="str">
            <v>Mumbai</v>
          </cell>
          <cell r="G143" t="str">
            <v>Maharashtra</v>
          </cell>
          <cell r="H143" t="str">
            <v>West</v>
          </cell>
        </row>
        <row r="144">
          <cell r="A144">
            <v>143</v>
          </cell>
          <cell r="B144" t="str">
            <v>Customer_143</v>
          </cell>
          <cell r="C144" t="str">
            <v>Male</v>
          </cell>
          <cell r="D144">
            <v>58</v>
          </cell>
          <cell r="F144" t="str">
            <v>Hyderabad</v>
          </cell>
          <cell r="G144" t="str">
            <v>Telangana</v>
          </cell>
          <cell r="H144" t="str">
            <v>South</v>
          </cell>
        </row>
        <row r="145">
          <cell r="A145">
            <v>144</v>
          </cell>
          <cell r="B145" t="str">
            <v>Customer_144</v>
          </cell>
          <cell r="C145" t="str">
            <v>Male</v>
          </cell>
          <cell r="D145">
            <v>53</v>
          </cell>
          <cell r="F145" t="str">
            <v>Ahmedabad</v>
          </cell>
          <cell r="G145" t="str">
            <v>Gujarat</v>
          </cell>
          <cell r="H145" t="str">
            <v>West</v>
          </cell>
        </row>
        <row r="146">
          <cell r="A146">
            <v>145</v>
          </cell>
          <cell r="B146" t="str">
            <v>Customer_145</v>
          </cell>
          <cell r="C146" t="str">
            <v>Male</v>
          </cell>
          <cell r="D146">
            <v>55</v>
          </cell>
          <cell r="F146" t="str">
            <v>Kolkata</v>
          </cell>
          <cell r="G146" t="str">
            <v>West Bengal</v>
          </cell>
          <cell r="H146" t="str">
            <v>East</v>
          </cell>
        </row>
        <row r="147">
          <cell r="A147">
            <v>146</v>
          </cell>
          <cell r="B147" t="str">
            <v>Customer_146</v>
          </cell>
          <cell r="C147" t="str">
            <v>Male</v>
          </cell>
          <cell r="D147">
            <v>27</v>
          </cell>
          <cell r="F147" t="str">
            <v>Mumbai</v>
          </cell>
          <cell r="G147" t="str">
            <v>Maharashtra</v>
          </cell>
          <cell r="H147" t="str">
            <v>West</v>
          </cell>
        </row>
        <row r="148">
          <cell r="A148">
            <v>147</v>
          </cell>
          <cell r="B148" t="str">
            <v>Customer_147</v>
          </cell>
          <cell r="C148" t="str">
            <v>Female</v>
          </cell>
          <cell r="D148">
            <v>43</v>
          </cell>
          <cell r="F148" t="str">
            <v>Kolkata</v>
          </cell>
          <cell r="G148" t="str">
            <v>West Bengal</v>
          </cell>
          <cell r="H148" t="str">
            <v>East</v>
          </cell>
        </row>
        <row r="149">
          <cell r="A149">
            <v>148</v>
          </cell>
          <cell r="B149" t="str">
            <v>Customer_148</v>
          </cell>
          <cell r="C149" t="str">
            <v>Female</v>
          </cell>
          <cell r="D149">
            <v>42</v>
          </cell>
          <cell r="F149" t="str">
            <v>Jaipur</v>
          </cell>
          <cell r="G149" t="str">
            <v>Rajasthan</v>
          </cell>
          <cell r="H149" t="str">
            <v>North</v>
          </cell>
        </row>
        <row r="150">
          <cell r="A150">
            <v>149</v>
          </cell>
          <cell r="B150" t="str">
            <v>Customer_149</v>
          </cell>
          <cell r="C150" t="str">
            <v>Female</v>
          </cell>
          <cell r="D150">
            <v>52</v>
          </cell>
          <cell r="F150" t="str">
            <v>Mumbai</v>
          </cell>
          <cell r="G150" t="str">
            <v>Maharashtra</v>
          </cell>
          <cell r="H150" t="str">
            <v>West</v>
          </cell>
        </row>
        <row r="151">
          <cell r="A151">
            <v>150</v>
          </cell>
          <cell r="B151" t="str">
            <v>Customer_150</v>
          </cell>
          <cell r="C151" t="str">
            <v>Female</v>
          </cell>
          <cell r="D151">
            <v>26</v>
          </cell>
          <cell r="F151" t="str">
            <v>Jaipur</v>
          </cell>
          <cell r="G151" t="str">
            <v>Rajasthan</v>
          </cell>
          <cell r="H151" t="str">
            <v>North</v>
          </cell>
        </row>
        <row r="152">
          <cell r="A152">
            <v>151</v>
          </cell>
          <cell r="B152" t="str">
            <v>Customer_151</v>
          </cell>
          <cell r="C152" t="str">
            <v>Male</v>
          </cell>
          <cell r="D152">
            <v>26</v>
          </cell>
          <cell r="F152" t="str">
            <v>Delhi</v>
          </cell>
          <cell r="G152" t="str">
            <v>Delhi</v>
          </cell>
          <cell r="H152" t="str">
            <v>North</v>
          </cell>
        </row>
        <row r="153">
          <cell r="A153">
            <v>152</v>
          </cell>
          <cell r="B153" t="str">
            <v>Customer_152</v>
          </cell>
          <cell r="C153" t="str">
            <v>Male</v>
          </cell>
          <cell r="D153">
            <v>28</v>
          </cell>
          <cell r="F153" t="str">
            <v>Delhi</v>
          </cell>
          <cell r="G153" t="str">
            <v>Delhi</v>
          </cell>
          <cell r="H153" t="str">
            <v>North</v>
          </cell>
        </row>
        <row r="154">
          <cell r="A154">
            <v>153</v>
          </cell>
          <cell r="B154" t="str">
            <v>Customer_153</v>
          </cell>
          <cell r="C154" t="str">
            <v>Female</v>
          </cell>
          <cell r="D154">
            <v>44</v>
          </cell>
          <cell r="F154" t="str">
            <v>Pune</v>
          </cell>
          <cell r="G154" t="str">
            <v>Maharashtra</v>
          </cell>
          <cell r="H154" t="str">
            <v>West</v>
          </cell>
        </row>
        <row r="155">
          <cell r="A155">
            <v>154</v>
          </cell>
          <cell r="B155" t="str">
            <v>Customer_154</v>
          </cell>
          <cell r="C155" t="str">
            <v>Female</v>
          </cell>
          <cell r="D155">
            <v>18</v>
          </cell>
          <cell r="F155" t="str">
            <v>Jaipur</v>
          </cell>
          <cell r="G155" t="str">
            <v>Rajasthan</v>
          </cell>
          <cell r="H155" t="str">
            <v>North</v>
          </cell>
        </row>
        <row r="156">
          <cell r="A156">
            <v>155</v>
          </cell>
          <cell r="B156" t="str">
            <v>Customer_155</v>
          </cell>
          <cell r="C156" t="str">
            <v>Female</v>
          </cell>
          <cell r="D156">
            <v>29</v>
          </cell>
          <cell r="F156" t="str">
            <v>Lucknow</v>
          </cell>
          <cell r="G156" t="str">
            <v>UP</v>
          </cell>
          <cell r="H156" t="str">
            <v>North</v>
          </cell>
        </row>
        <row r="157">
          <cell r="A157">
            <v>156</v>
          </cell>
          <cell r="B157" t="str">
            <v>Customer_156</v>
          </cell>
          <cell r="C157" t="str">
            <v>Female</v>
          </cell>
          <cell r="D157">
            <v>47</v>
          </cell>
          <cell r="F157" t="str">
            <v>Pune</v>
          </cell>
          <cell r="G157" t="str">
            <v>Maharashtra</v>
          </cell>
          <cell r="H157" t="str">
            <v>West</v>
          </cell>
        </row>
        <row r="158">
          <cell r="A158">
            <v>157</v>
          </cell>
          <cell r="B158" t="str">
            <v>Customer_157</v>
          </cell>
          <cell r="C158" t="str">
            <v>Female</v>
          </cell>
          <cell r="D158">
            <v>30</v>
          </cell>
          <cell r="F158" t="str">
            <v>Chennai</v>
          </cell>
          <cell r="G158" t="str">
            <v>Tamil Nadu</v>
          </cell>
          <cell r="H158" t="str">
            <v>South</v>
          </cell>
        </row>
        <row r="159">
          <cell r="A159">
            <v>158</v>
          </cell>
          <cell r="B159" t="str">
            <v>Customer_158</v>
          </cell>
          <cell r="C159" t="str">
            <v>Male</v>
          </cell>
          <cell r="D159">
            <v>30</v>
          </cell>
          <cell r="F159" t="str">
            <v>Hyderabad</v>
          </cell>
          <cell r="G159" t="str">
            <v>Telangana</v>
          </cell>
          <cell r="H159" t="str">
            <v>South</v>
          </cell>
        </row>
        <row r="160">
          <cell r="A160">
            <v>159</v>
          </cell>
          <cell r="B160" t="str">
            <v>Customer_159</v>
          </cell>
          <cell r="C160" t="str">
            <v>Male</v>
          </cell>
          <cell r="D160">
            <v>48</v>
          </cell>
          <cell r="F160" t="str">
            <v>Mumbai</v>
          </cell>
          <cell r="G160" t="str">
            <v>Maharashtra</v>
          </cell>
          <cell r="H160" t="str">
            <v>West</v>
          </cell>
        </row>
        <row r="161">
          <cell r="A161">
            <v>160</v>
          </cell>
          <cell r="B161" t="str">
            <v>Customer_160</v>
          </cell>
          <cell r="C161" t="str">
            <v>Female</v>
          </cell>
          <cell r="D161">
            <v>25</v>
          </cell>
          <cell r="F161" t="str">
            <v>Ahmedabad</v>
          </cell>
          <cell r="G161" t="str">
            <v>Gujarat</v>
          </cell>
          <cell r="H161" t="str">
            <v>West</v>
          </cell>
        </row>
        <row r="162">
          <cell r="A162">
            <v>161</v>
          </cell>
          <cell r="B162" t="str">
            <v>Customer_161</v>
          </cell>
          <cell r="C162" t="str">
            <v>Male</v>
          </cell>
          <cell r="D162">
            <v>37</v>
          </cell>
          <cell r="F162" t="str">
            <v>Hyderabad</v>
          </cell>
          <cell r="G162" t="str">
            <v>Telangana</v>
          </cell>
          <cell r="H162" t="str">
            <v>South</v>
          </cell>
        </row>
        <row r="163">
          <cell r="A163">
            <v>162</v>
          </cell>
          <cell r="B163" t="str">
            <v>Customer_162</v>
          </cell>
          <cell r="C163" t="str">
            <v>Male</v>
          </cell>
          <cell r="D163">
            <v>54</v>
          </cell>
          <cell r="F163" t="str">
            <v>Hyderabad</v>
          </cell>
          <cell r="G163" t="str">
            <v>Telangana</v>
          </cell>
          <cell r="H163" t="str">
            <v>South</v>
          </cell>
        </row>
        <row r="164">
          <cell r="A164">
            <v>163</v>
          </cell>
          <cell r="B164" t="str">
            <v>Customer_163</v>
          </cell>
          <cell r="C164" t="str">
            <v>Male</v>
          </cell>
          <cell r="D164">
            <v>47</v>
          </cell>
          <cell r="F164" t="str">
            <v>Bangalore</v>
          </cell>
          <cell r="G164" t="str">
            <v>Karnataka</v>
          </cell>
          <cell r="H164" t="str">
            <v>South</v>
          </cell>
        </row>
        <row r="165">
          <cell r="A165">
            <v>164</v>
          </cell>
          <cell r="B165" t="str">
            <v>Customer_164</v>
          </cell>
          <cell r="C165" t="str">
            <v>Male</v>
          </cell>
          <cell r="D165">
            <v>49</v>
          </cell>
          <cell r="F165" t="str">
            <v>Pune</v>
          </cell>
          <cell r="G165" t="str">
            <v>Maharashtra</v>
          </cell>
          <cell r="H165" t="str">
            <v>West</v>
          </cell>
        </row>
        <row r="166">
          <cell r="A166">
            <v>165</v>
          </cell>
          <cell r="B166" t="str">
            <v>Customer_165</v>
          </cell>
          <cell r="C166" t="str">
            <v>Male</v>
          </cell>
          <cell r="D166">
            <v>58</v>
          </cell>
          <cell r="F166" t="str">
            <v>Lucknow</v>
          </cell>
          <cell r="G166" t="str">
            <v>UP</v>
          </cell>
          <cell r="H166" t="str">
            <v>North</v>
          </cell>
        </row>
        <row r="167">
          <cell r="A167">
            <v>166</v>
          </cell>
          <cell r="B167" t="str">
            <v>Customer_166</v>
          </cell>
          <cell r="C167" t="str">
            <v>Male</v>
          </cell>
          <cell r="D167">
            <v>28</v>
          </cell>
          <cell r="F167" t="str">
            <v>Lucknow</v>
          </cell>
          <cell r="G167" t="str">
            <v>UP</v>
          </cell>
          <cell r="H167" t="str">
            <v>North</v>
          </cell>
        </row>
        <row r="168">
          <cell r="A168">
            <v>167</v>
          </cell>
          <cell r="B168" t="str">
            <v>Customer_167</v>
          </cell>
          <cell r="C168" t="str">
            <v>Male</v>
          </cell>
          <cell r="D168">
            <v>51</v>
          </cell>
          <cell r="F168" t="str">
            <v>Hyderabad</v>
          </cell>
          <cell r="G168" t="str">
            <v>Telangana</v>
          </cell>
          <cell r="H168" t="str">
            <v>South</v>
          </cell>
        </row>
        <row r="169">
          <cell r="A169">
            <v>168</v>
          </cell>
          <cell r="B169" t="str">
            <v>Customer_168</v>
          </cell>
          <cell r="C169" t="str">
            <v>Female</v>
          </cell>
          <cell r="D169">
            <v>27</v>
          </cell>
          <cell r="F169" t="str">
            <v>Kolkata</v>
          </cell>
          <cell r="G169" t="str">
            <v>West Bengal</v>
          </cell>
          <cell r="H169" t="str">
            <v>East</v>
          </cell>
        </row>
        <row r="170">
          <cell r="A170">
            <v>169</v>
          </cell>
          <cell r="B170" t="str">
            <v>Customer_169</v>
          </cell>
          <cell r="C170" t="str">
            <v>Male</v>
          </cell>
          <cell r="D170">
            <v>45</v>
          </cell>
          <cell r="F170" t="str">
            <v>Lucknow</v>
          </cell>
          <cell r="G170" t="str">
            <v>UP</v>
          </cell>
          <cell r="H170" t="str">
            <v>North</v>
          </cell>
        </row>
        <row r="171">
          <cell r="A171">
            <v>170</v>
          </cell>
          <cell r="B171" t="str">
            <v>Customer_170</v>
          </cell>
          <cell r="C171" t="str">
            <v>Female</v>
          </cell>
          <cell r="D171">
            <v>21</v>
          </cell>
          <cell r="F171" t="str">
            <v>Delhi</v>
          </cell>
          <cell r="G171" t="str">
            <v>Delhi</v>
          </cell>
          <cell r="H171" t="str">
            <v>North</v>
          </cell>
        </row>
        <row r="172">
          <cell r="A172">
            <v>171</v>
          </cell>
          <cell r="B172" t="str">
            <v>Customer_171</v>
          </cell>
          <cell r="C172" t="str">
            <v>Male</v>
          </cell>
          <cell r="D172">
            <v>29</v>
          </cell>
          <cell r="F172" t="str">
            <v>Lucknow</v>
          </cell>
          <cell r="G172" t="str">
            <v>UP</v>
          </cell>
          <cell r="H172" t="str">
            <v>North</v>
          </cell>
        </row>
        <row r="173">
          <cell r="A173">
            <v>172</v>
          </cell>
          <cell r="B173" t="str">
            <v>Customer_172</v>
          </cell>
          <cell r="C173" t="str">
            <v>Female</v>
          </cell>
          <cell r="D173">
            <v>35</v>
          </cell>
          <cell r="F173" t="str">
            <v>Kolkata</v>
          </cell>
          <cell r="G173" t="str">
            <v>West Bengal</v>
          </cell>
          <cell r="H173" t="str">
            <v>East</v>
          </cell>
        </row>
        <row r="174">
          <cell r="A174">
            <v>173</v>
          </cell>
          <cell r="B174" t="str">
            <v>Customer_173</v>
          </cell>
          <cell r="C174" t="str">
            <v>Female</v>
          </cell>
          <cell r="D174">
            <v>50</v>
          </cell>
          <cell r="F174" t="str">
            <v>Delhi</v>
          </cell>
          <cell r="G174" t="str">
            <v>Delhi</v>
          </cell>
          <cell r="H174" t="str">
            <v>North</v>
          </cell>
        </row>
        <row r="175">
          <cell r="A175">
            <v>174</v>
          </cell>
          <cell r="B175" t="str">
            <v>Customer_174</v>
          </cell>
          <cell r="C175" t="str">
            <v>Male</v>
          </cell>
          <cell r="D175">
            <v>59</v>
          </cell>
          <cell r="F175" t="str">
            <v>Lucknow</v>
          </cell>
          <cell r="G175" t="str">
            <v>UP</v>
          </cell>
          <cell r="H175" t="str">
            <v>North</v>
          </cell>
        </row>
        <row r="176">
          <cell r="A176">
            <v>175</v>
          </cell>
          <cell r="B176" t="str">
            <v>Customer_175</v>
          </cell>
          <cell r="C176" t="str">
            <v>Male</v>
          </cell>
          <cell r="D176">
            <v>40</v>
          </cell>
          <cell r="F176" t="str">
            <v>Bangalore</v>
          </cell>
          <cell r="G176" t="str">
            <v>Karnataka</v>
          </cell>
          <cell r="H176" t="str">
            <v>South</v>
          </cell>
        </row>
        <row r="177">
          <cell r="A177">
            <v>176</v>
          </cell>
          <cell r="B177" t="str">
            <v>Customer_176</v>
          </cell>
          <cell r="C177" t="str">
            <v>Female</v>
          </cell>
          <cell r="D177">
            <v>45</v>
          </cell>
          <cell r="F177" t="str">
            <v>Ahmedabad</v>
          </cell>
          <cell r="G177" t="str">
            <v>Gujarat</v>
          </cell>
          <cell r="H177" t="str">
            <v>West</v>
          </cell>
        </row>
        <row r="178">
          <cell r="A178">
            <v>177</v>
          </cell>
          <cell r="B178" t="str">
            <v>Customer_177</v>
          </cell>
          <cell r="C178" t="str">
            <v>Female</v>
          </cell>
          <cell r="D178">
            <v>44</v>
          </cell>
          <cell r="F178" t="str">
            <v>Kolkata</v>
          </cell>
          <cell r="G178" t="str">
            <v>West Bengal</v>
          </cell>
          <cell r="H178" t="str">
            <v>East</v>
          </cell>
        </row>
        <row r="179">
          <cell r="A179">
            <v>178</v>
          </cell>
          <cell r="B179" t="str">
            <v>Customer_178</v>
          </cell>
          <cell r="C179" t="str">
            <v>Female</v>
          </cell>
          <cell r="D179">
            <v>27</v>
          </cell>
          <cell r="F179" t="str">
            <v>Kolkata</v>
          </cell>
          <cell r="G179" t="str">
            <v>West Bengal</v>
          </cell>
          <cell r="H179" t="str">
            <v>East</v>
          </cell>
        </row>
        <row r="180">
          <cell r="A180">
            <v>179</v>
          </cell>
          <cell r="B180" t="str">
            <v>Customer_179</v>
          </cell>
          <cell r="C180" t="str">
            <v>Female</v>
          </cell>
          <cell r="D180">
            <v>19</v>
          </cell>
          <cell r="F180" t="str">
            <v>Delhi</v>
          </cell>
          <cell r="G180" t="str">
            <v>Delhi</v>
          </cell>
          <cell r="H180" t="str">
            <v>North</v>
          </cell>
        </row>
        <row r="181">
          <cell r="A181">
            <v>180</v>
          </cell>
          <cell r="B181" t="str">
            <v>Customer_180</v>
          </cell>
          <cell r="C181" t="str">
            <v>Female</v>
          </cell>
          <cell r="D181">
            <v>30</v>
          </cell>
          <cell r="F181" t="str">
            <v>Delhi</v>
          </cell>
          <cell r="G181" t="str">
            <v>Delhi</v>
          </cell>
          <cell r="H181" t="str">
            <v>North</v>
          </cell>
        </row>
        <row r="182">
          <cell r="A182">
            <v>181</v>
          </cell>
          <cell r="B182" t="str">
            <v>Customer_181</v>
          </cell>
          <cell r="C182" t="str">
            <v>Female</v>
          </cell>
          <cell r="D182">
            <v>45</v>
          </cell>
          <cell r="F182" t="str">
            <v>Ahmedabad</v>
          </cell>
          <cell r="G182" t="str">
            <v>Gujarat</v>
          </cell>
          <cell r="H182" t="str">
            <v>West</v>
          </cell>
        </row>
        <row r="183">
          <cell r="A183">
            <v>182</v>
          </cell>
          <cell r="B183" t="str">
            <v>Customer_182</v>
          </cell>
          <cell r="C183" t="str">
            <v>Female</v>
          </cell>
          <cell r="D183">
            <v>28</v>
          </cell>
          <cell r="F183" t="str">
            <v>Chennai</v>
          </cell>
          <cell r="G183" t="str">
            <v>Tamil Nadu</v>
          </cell>
          <cell r="H183" t="str">
            <v>South</v>
          </cell>
        </row>
        <row r="184">
          <cell r="A184">
            <v>183</v>
          </cell>
          <cell r="B184" t="str">
            <v>Customer_183</v>
          </cell>
          <cell r="C184" t="str">
            <v>Male</v>
          </cell>
          <cell r="D184">
            <v>59</v>
          </cell>
          <cell r="F184" t="str">
            <v>Ahmedabad</v>
          </cell>
          <cell r="G184" t="str">
            <v>Gujarat</v>
          </cell>
          <cell r="H184" t="str">
            <v>West</v>
          </cell>
        </row>
        <row r="185">
          <cell r="A185">
            <v>184</v>
          </cell>
          <cell r="B185" t="str">
            <v>Customer_184</v>
          </cell>
          <cell r="C185" t="str">
            <v>Female</v>
          </cell>
          <cell r="D185">
            <v>43</v>
          </cell>
          <cell r="F185" t="str">
            <v>Ahmedabad</v>
          </cell>
          <cell r="G185" t="str">
            <v>Gujarat</v>
          </cell>
          <cell r="H185" t="str">
            <v>West</v>
          </cell>
        </row>
        <row r="186">
          <cell r="A186">
            <v>185</v>
          </cell>
          <cell r="B186" t="str">
            <v>Customer_185</v>
          </cell>
          <cell r="C186" t="str">
            <v>Female</v>
          </cell>
          <cell r="D186">
            <v>32</v>
          </cell>
          <cell r="F186" t="str">
            <v>Delhi</v>
          </cell>
          <cell r="G186" t="str">
            <v>Delhi</v>
          </cell>
          <cell r="H186" t="str">
            <v>North</v>
          </cell>
        </row>
        <row r="187">
          <cell r="A187">
            <v>186</v>
          </cell>
          <cell r="B187" t="str">
            <v>Customer_186</v>
          </cell>
          <cell r="C187" t="str">
            <v>Female</v>
          </cell>
          <cell r="D187">
            <v>36</v>
          </cell>
          <cell r="F187" t="str">
            <v>Kolkata</v>
          </cell>
          <cell r="G187" t="str">
            <v>West Bengal</v>
          </cell>
          <cell r="H187" t="str">
            <v>East</v>
          </cell>
        </row>
        <row r="188">
          <cell r="A188">
            <v>187</v>
          </cell>
          <cell r="B188" t="str">
            <v>Customer_187</v>
          </cell>
          <cell r="C188" t="str">
            <v>Female</v>
          </cell>
          <cell r="D188">
            <v>49</v>
          </cell>
          <cell r="F188" t="str">
            <v>Jaipur</v>
          </cell>
          <cell r="G188" t="str">
            <v>Rajasthan</v>
          </cell>
          <cell r="H188" t="str">
            <v>North</v>
          </cell>
        </row>
        <row r="189">
          <cell r="A189">
            <v>188</v>
          </cell>
          <cell r="B189" t="str">
            <v>Customer_188</v>
          </cell>
          <cell r="C189" t="str">
            <v>Female</v>
          </cell>
          <cell r="D189">
            <v>29</v>
          </cell>
          <cell r="F189" t="str">
            <v>Bangalore</v>
          </cell>
          <cell r="G189" t="str">
            <v>Karnataka</v>
          </cell>
          <cell r="H189" t="str">
            <v>South</v>
          </cell>
        </row>
        <row r="190">
          <cell r="A190">
            <v>189</v>
          </cell>
          <cell r="B190" t="str">
            <v>Customer_189</v>
          </cell>
          <cell r="C190" t="str">
            <v>Female</v>
          </cell>
          <cell r="D190">
            <v>20</v>
          </cell>
          <cell r="F190" t="str">
            <v>Delhi</v>
          </cell>
          <cell r="G190" t="str">
            <v>Delhi</v>
          </cell>
          <cell r="H190" t="str">
            <v>North</v>
          </cell>
        </row>
        <row r="191">
          <cell r="A191">
            <v>190</v>
          </cell>
          <cell r="B191" t="str">
            <v>Customer_190</v>
          </cell>
          <cell r="C191" t="str">
            <v>Male</v>
          </cell>
          <cell r="D191">
            <v>49</v>
          </cell>
          <cell r="F191" t="str">
            <v>Chennai</v>
          </cell>
          <cell r="G191" t="str">
            <v>Tamil Nadu</v>
          </cell>
          <cell r="H191" t="str">
            <v>South</v>
          </cell>
        </row>
        <row r="192">
          <cell r="A192">
            <v>191</v>
          </cell>
          <cell r="B192" t="str">
            <v>Customer_191</v>
          </cell>
          <cell r="C192" t="str">
            <v>Female</v>
          </cell>
          <cell r="D192">
            <v>18</v>
          </cell>
          <cell r="F192" t="str">
            <v>Bangalore</v>
          </cell>
          <cell r="G192" t="str">
            <v>Karnataka</v>
          </cell>
          <cell r="H192" t="str">
            <v>South</v>
          </cell>
        </row>
        <row r="193">
          <cell r="A193">
            <v>192</v>
          </cell>
          <cell r="B193" t="str">
            <v>Customer_192</v>
          </cell>
          <cell r="C193" t="str">
            <v>Female</v>
          </cell>
          <cell r="D193">
            <v>31</v>
          </cell>
          <cell r="F193" t="str">
            <v>Jaipur</v>
          </cell>
          <cell r="G193" t="str">
            <v>Rajasthan</v>
          </cell>
          <cell r="H193" t="str">
            <v>North</v>
          </cell>
        </row>
        <row r="194">
          <cell r="A194">
            <v>193</v>
          </cell>
          <cell r="B194" t="str">
            <v>Customer_193</v>
          </cell>
          <cell r="C194" t="str">
            <v>Female</v>
          </cell>
          <cell r="D194">
            <v>49</v>
          </cell>
          <cell r="F194" t="str">
            <v>Hyderabad</v>
          </cell>
          <cell r="G194" t="str">
            <v>Telangana</v>
          </cell>
          <cell r="H194" t="str">
            <v>South</v>
          </cell>
        </row>
        <row r="195">
          <cell r="A195">
            <v>194</v>
          </cell>
          <cell r="B195" t="str">
            <v>Customer_194</v>
          </cell>
          <cell r="C195" t="str">
            <v>Male</v>
          </cell>
          <cell r="D195">
            <v>31</v>
          </cell>
          <cell r="F195" t="str">
            <v>Delhi</v>
          </cell>
          <cell r="G195" t="str">
            <v>Delhi</v>
          </cell>
          <cell r="H195" t="str">
            <v>North</v>
          </cell>
        </row>
        <row r="196">
          <cell r="A196">
            <v>195</v>
          </cell>
          <cell r="B196" t="str">
            <v>Customer_195</v>
          </cell>
          <cell r="C196" t="str">
            <v>Male</v>
          </cell>
          <cell r="D196">
            <v>50</v>
          </cell>
          <cell r="F196" t="str">
            <v>Pune</v>
          </cell>
          <cell r="G196" t="str">
            <v>Maharashtra</v>
          </cell>
          <cell r="H196" t="str">
            <v>West</v>
          </cell>
        </row>
        <row r="197">
          <cell r="A197">
            <v>196</v>
          </cell>
          <cell r="B197" t="str">
            <v>Customer_196</v>
          </cell>
          <cell r="C197" t="str">
            <v>Female</v>
          </cell>
          <cell r="D197">
            <v>40</v>
          </cell>
          <cell r="F197" t="str">
            <v>Jaipur</v>
          </cell>
          <cell r="G197" t="str">
            <v>Rajasthan</v>
          </cell>
          <cell r="H197" t="str">
            <v>North</v>
          </cell>
        </row>
        <row r="198">
          <cell r="A198">
            <v>197</v>
          </cell>
          <cell r="B198" t="str">
            <v>Customer_197</v>
          </cell>
          <cell r="C198" t="str">
            <v>Female</v>
          </cell>
          <cell r="D198">
            <v>40</v>
          </cell>
          <cell r="F198" t="str">
            <v>Mumbai</v>
          </cell>
          <cell r="G198" t="str">
            <v>Maharashtra</v>
          </cell>
          <cell r="H198" t="str">
            <v>West</v>
          </cell>
        </row>
        <row r="199">
          <cell r="A199">
            <v>198</v>
          </cell>
          <cell r="B199" t="str">
            <v>Customer_198</v>
          </cell>
          <cell r="C199" t="str">
            <v>Male</v>
          </cell>
          <cell r="D199">
            <v>24</v>
          </cell>
          <cell r="F199" t="str">
            <v>Delhi</v>
          </cell>
          <cell r="G199" t="str">
            <v>Delhi</v>
          </cell>
          <cell r="H199" t="str">
            <v>North</v>
          </cell>
        </row>
        <row r="200">
          <cell r="A200">
            <v>199</v>
          </cell>
          <cell r="B200" t="str">
            <v>Customer_199</v>
          </cell>
          <cell r="C200" t="str">
            <v>Male</v>
          </cell>
          <cell r="D200">
            <v>30</v>
          </cell>
          <cell r="F200" t="str">
            <v>Kolkata</v>
          </cell>
          <cell r="G200" t="str">
            <v>West Bengal</v>
          </cell>
          <cell r="H200" t="str">
            <v>East</v>
          </cell>
        </row>
        <row r="201">
          <cell r="A201">
            <v>200</v>
          </cell>
          <cell r="B201" t="str">
            <v>Customer_200</v>
          </cell>
          <cell r="C201" t="str">
            <v>Female</v>
          </cell>
          <cell r="D201">
            <v>57</v>
          </cell>
          <cell r="F201" t="str">
            <v>Mumbai</v>
          </cell>
          <cell r="G201" t="str">
            <v>Maharashtra</v>
          </cell>
          <cell r="H201" t="str">
            <v>West</v>
          </cell>
        </row>
      </sheetData>
      <sheetData sheetId="4"/>
      <sheetData sheetId="5">
        <row r="2">
          <cell r="A2">
            <v>1</v>
          </cell>
          <cell r="C2" t="str">
            <v>Snacks</v>
          </cell>
          <cell r="E2">
            <v>68</v>
          </cell>
        </row>
        <row r="3">
          <cell r="A3">
            <v>2</v>
          </cell>
          <cell r="C3" t="str">
            <v>Dairy</v>
          </cell>
          <cell r="E3">
            <v>223</v>
          </cell>
        </row>
        <row r="4">
          <cell r="A4">
            <v>3</v>
          </cell>
          <cell r="C4" t="str">
            <v>Dairy</v>
          </cell>
          <cell r="E4">
            <v>357</v>
          </cell>
        </row>
        <row r="5">
          <cell r="A5">
            <v>4</v>
          </cell>
          <cell r="C5" t="str">
            <v>Grocery</v>
          </cell>
          <cell r="E5">
            <v>459</v>
          </cell>
        </row>
        <row r="6">
          <cell r="A6">
            <v>5</v>
          </cell>
          <cell r="C6" t="str">
            <v>Grocery</v>
          </cell>
          <cell r="E6">
            <v>127</v>
          </cell>
        </row>
        <row r="7">
          <cell r="A7">
            <v>6</v>
          </cell>
          <cell r="C7" t="str">
            <v>Snacks</v>
          </cell>
          <cell r="E7">
            <v>492</v>
          </cell>
        </row>
        <row r="8">
          <cell r="A8">
            <v>7</v>
          </cell>
          <cell r="C8" t="str">
            <v>Dairy</v>
          </cell>
          <cell r="E8">
            <v>65</v>
          </cell>
        </row>
        <row r="9">
          <cell r="A9">
            <v>8</v>
          </cell>
          <cell r="C9" t="str">
            <v>Dairy</v>
          </cell>
          <cell r="E9">
            <v>293</v>
          </cell>
        </row>
        <row r="10">
          <cell r="A10">
            <v>9</v>
          </cell>
          <cell r="C10" t="str">
            <v>Personal Care</v>
          </cell>
          <cell r="E10">
            <v>121</v>
          </cell>
        </row>
        <row r="11">
          <cell r="A11">
            <v>10</v>
          </cell>
          <cell r="C11" t="str">
            <v>Beverages</v>
          </cell>
          <cell r="E11">
            <v>268</v>
          </cell>
        </row>
        <row r="12">
          <cell r="A12">
            <v>11</v>
          </cell>
          <cell r="C12" t="str">
            <v>Beverages</v>
          </cell>
          <cell r="E12">
            <v>373</v>
          </cell>
        </row>
        <row r="13">
          <cell r="A13">
            <v>12</v>
          </cell>
          <cell r="C13" t="str">
            <v>Beverages</v>
          </cell>
          <cell r="E13">
            <v>61</v>
          </cell>
        </row>
        <row r="14">
          <cell r="A14">
            <v>13</v>
          </cell>
          <cell r="C14" t="str">
            <v>Dairy</v>
          </cell>
          <cell r="E14">
            <v>34</v>
          </cell>
        </row>
        <row r="15">
          <cell r="A15">
            <v>14</v>
          </cell>
          <cell r="C15" t="str">
            <v>Beverages</v>
          </cell>
          <cell r="E15">
            <v>290</v>
          </cell>
        </row>
        <row r="16">
          <cell r="A16">
            <v>15</v>
          </cell>
          <cell r="C16" t="str">
            <v>Snacks</v>
          </cell>
          <cell r="E16">
            <v>214</v>
          </cell>
        </row>
        <row r="17">
          <cell r="A17">
            <v>16</v>
          </cell>
          <cell r="C17" t="str">
            <v>Beverages</v>
          </cell>
          <cell r="E17">
            <v>440</v>
          </cell>
        </row>
        <row r="18">
          <cell r="A18">
            <v>17</v>
          </cell>
          <cell r="C18" t="str">
            <v>Snacks</v>
          </cell>
          <cell r="E18">
            <v>55</v>
          </cell>
        </row>
        <row r="19">
          <cell r="A19">
            <v>18</v>
          </cell>
          <cell r="C19" t="str">
            <v>Snacks</v>
          </cell>
          <cell r="E19">
            <v>460</v>
          </cell>
        </row>
        <row r="20">
          <cell r="A20">
            <v>19</v>
          </cell>
          <cell r="C20" t="str">
            <v>Snacks</v>
          </cell>
          <cell r="E20">
            <v>442</v>
          </cell>
        </row>
        <row r="21">
          <cell r="A21">
            <v>20</v>
          </cell>
          <cell r="C21" t="str">
            <v>Dairy</v>
          </cell>
          <cell r="E21">
            <v>182</v>
          </cell>
        </row>
        <row r="22">
          <cell r="A22">
            <v>21</v>
          </cell>
          <cell r="C22" t="str">
            <v>Beverages</v>
          </cell>
          <cell r="E22">
            <v>327</v>
          </cell>
        </row>
        <row r="23">
          <cell r="A23">
            <v>22</v>
          </cell>
          <cell r="C23" t="str">
            <v>Snacks</v>
          </cell>
          <cell r="E23">
            <v>482</v>
          </cell>
        </row>
        <row r="24">
          <cell r="A24">
            <v>23</v>
          </cell>
          <cell r="C24" t="str">
            <v>Grocery</v>
          </cell>
          <cell r="E24">
            <v>370</v>
          </cell>
        </row>
        <row r="25">
          <cell r="A25">
            <v>24</v>
          </cell>
          <cell r="C25" t="str">
            <v>Personal Care</v>
          </cell>
          <cell r="E25">
            <v>435</v>
          </cell>
        </row>
        <row r="26">
          <cell r="A26">
            <v>25</v>
          </cell>
          <cell r="C26" t="str">
            <v>Personal Care</v>
          </cell>
          <cell r="E26">
            <v>212</v>
          </cell>
        </row>
        <row r="27">
          <cell r="A27">
            <v>26</v>
          </cell>
          <cell r="C27" t="str">
            <v>Snacks</v>
          </cell>
          <cell r="E27">
            <v>462</v>
          </cell>
        </row>
        <row r="28">
          <cell r="A28">
            <v>27</v>
          </cell>
          <cell r="C28" t="str">
            <v>Snacks</v>
          </cell>
          <cell r="E28">
            <v>372</v>
          </cell>
        </row>
        <row r="29">
          <cell r="A29">
            <v>28</v>
          </cell>
          <cell r="C29" t="str">
            <v>Grocery</v>
          </cell>
          <cell r="E29">
            <v>203</v>
          </cell>
        </row>
        <row r="30">
          <cell r="A30">
            <v>29</v>
          </cell>
          <cell r="C30" t="str">
            <v>Beverages</v>
          </cell>
          <cell r="E30">
            <v>155</v>
          </cell>
        </row>
        <row r="31">
          <cell r="A31">
            <v>30</v>
          </cell>
          <cell r="C31" t="str">
            <v>Beverages</v>
          </cell>
          <cell r="E31">
            <v>230</v>
          </cell>
        </row>
        <row r="32">
          <cell r="A32">
            <v>31</v>
          </cell>
          <cell r="C32" t="str">
            <v>Grocery</v>
          </cell>
          <cell r="E32">
            <v>254</v>
          </cell>
        </row>
        <row r="33">
          <cell r="A33">
            <v>32</v>
          </cell>
          <cell r="C33" t="str">
            <v>Snacks</v>
          </cell>
          <cell r="E33">
            <v>366</v>
          </cell>
        </row>
        <row r="34">
          <cell r="A34">
            <v>33</v>
          </cell>
          <cell r="C34" t="str">
            <v>Beverages</v>
          </cell>
          <cell r="E34">
            <v>51</v>
          </cell>
        </row>
        <row r="35">
          <cell r="A35">
            <v>34</v>
          </cell>
          <cell r="C35" t="str">
            <v>Snacks</v>
          </cell>
          <cell r="E35">
            <v>349</v>
          </cell>
        </row>
        <row r="36">
          <cell r="A36">
            <v>35</v>
          </cell>
          <cell r="C36" t="str">
            <v>Grocery</v>
          </cell>
          <cell r="E36">
            <v>346</v>
          </cell>
        </row>
        <row r="37">
          <cell r="A37">
            <v>36</v>
          </cell>
          <cell r="C37" t="str">
            <v>Grocery</v>
          </cell>
          <cell r="E37">
            <v>467</v>
          </cell>
        </row>
        <row r="38">
          <cell r="A38">
            <v>37</v>
          </cell>
          <cell r="C38" t="str">
            <v>Grocery</v>
          </cell>
          <cell r="E38">
            <v>210</v>
          </cell>
        </row>
        <row r="39">
          <cell r="A39">
            <v>38</v>
          </cell>
          <cell r="C39" t="str">
            <v>Personal Care</v>
          </cell>
          <cell r="E39">
            <v>182</v>
          </cell>
        </row>
        <row r="40">
          <cell r="A40">
            <v>39</v>
          </cell>
          <cell r="C40" t="str">
            <v>Grocery</v>
          </cell>
          <cell r="E40">
            <v>50</v>
          </cell>
        </row>
        <row r="41">
          <cell r="A41">
            <v>40</v>
          </cell>
          <cell r="C41" t="str">
            <v>Grocery</v>
          </cell>
          <cell r="E41">
            <v>184</v>
          </cell>
        </row>
        <row r="42">
          <cell r="A42">
            <v>41</v>
          </cell>
          <cell r="C42" t="str">
            <v>Snacks</v>
          </cell>
          <cell r="E42">
            <v>459</v>
          </cell>
        </row>
        <row r="43">
          <cell r="A43">
            <v>42</v>
          </cell>
          <cell r="C43" t="str">
            <v>Snacks</v>
          </cell>
          <cell r="E43">
            <v>77</v>
          </cell>
        </row>
        <row r="44">
          <cell r="A44">
            <v>43</v>
          </cell>
          <cell r="C44" t="str">
            <v>Grocery</v>
          </cell>
          <cell r="E44">
            <v>293</v>
          </cell>
        </row>
        <row r="45">
          <cell r="A45">
            <v>44</v>
          </cell>
          <cell r="C45" t="str">
            <v>Dairy</v>
          </cell>
          <cell r="E45">
            <v>181</v>
          </cell>
        </row>
        <row r="46">
          <cell r="A46">
            <v>45</v>
          </cell>
          <cell r="C46" t="str">
            <v>Dairy</v>
          </cell>
          <cell r="E46">
            <v>425</v>
          </cell>
        </row>
        <row r="47">
          <cell r="A47">
            <v>46</v>
          </cell>
          <cell r="C47" t="str">
            <v>Personal Care</v>
          </cell>
          <cell r="E47">
            <v>56</v>
          </cell>
        </row>
        <row r="48">
          <cell r="A48">
            <v>47</v>
          </cell>
          <cell r="C48" t="str">
            <v>Snacks</v>
          </cell>
          <cell r="E48">
            <v>441</v>
          </cell>
        </row>
        <row r="49">
          <cell r="A49">
            <v>48</v>
          </cell>
          <cell r="C49" t="str">
            <v>Snacks</v>
          </cell>
          <cell r="E49">
            <v>315</v>
          </cell>
        </row>
        <row r="50">
          <cell r="A50">
            <v>49</v>
          </cell>
          <cell r="C50" t="str">
            <v>Dairy</v>
          </cell>
          <cell r="E50">
            <v>117</v>
          </cell>
        </row>
        <row r="51">
          <cell r="A51">
            <v>50</v>
          </cell>
          <cell r="C51" t="str">
            <v>Personal Care</v>
          </cell>
          <cell r="E51">
            <v>407</v>
          </cell>
        </row>
        <row r="52">
          <cell r="A52">
            <v>51</v>
          </cell>
          <cell r="C52" t="str">
            <v>Beverages</v>
          </cell>
          <cell r="E52">
            <v>27</v>
          </cell>
        </row>
        <row r="53">
          <cell r="A53">
            <v>52</v>
          </cell>
          <cell r="C53" t="str">
            <v>Dairy</v>
          </cell>
          <cell r="E53">
            <v>257</v>
          </cell>
        </row>
        <row r="54">
          <cell r="A54">
            <v>53</v>
          </cell>
          <cell r="C54" t="str">
            <v>Beverages</v>
          </cell>
          <cell r="E54">
            <v>59</v>
          </cell>
        </row>
        <row r="55">
          <cell r="A55">
            <v>54</v>
          </cell>
          <cell r="C55" t="str">
            <v>Beverages</v>
          </cell>
          <cell r="E55">
            <v>426</v>
          </cell>
        </row>
        <row r="56">
          <cell r="A56">
            <v>55</v>
          </cell>
          <cell r="C56" t="str">
            <v>Dairy</v>
          </cell>
          <cell r="E56">
            <v>454</v>
          </cell>
        </row>
        <row r="57">
          <cell r="A57">
            <v>56</v>
          </cell>
          <cell r="C57" t="str">
            <v>Beverages</v>
          </cell>
          <cell r="E57">
            <v>64</v>
          </cell>
        </row>
        <row r="58">
          <cell r="A58">
            <v>57</v>
          </cell>
          <cell r="C58" t="str">
            <v>Snacks</v>
          </cell>
          <cell r="E58">
            <v>66</v>
          </cell>
        </row>
        <row r="59">
          <cell r="A59">
            <v>58</v>
          </cell>
          <cell r="C59" t="str">
            <v>Beverages</v>
          </cell>
          <cell r="E59">
            <v>426</v>
          </cell>
        </row>
        <row r="60">
          <cell r="A60">
            <v>59</v>
          </cell>
          <cell r="C60" t="str">
            <v>Dairy</v>
          </cell>
          <cell r="E60">
            <v>183</v>
          </cell>
        </row>
        <row r="61">
          <cell r="A61">
            <v>60</v>
          </cell>
          <cell r="C61" t="str">
            <v>Dairy</v>
          </cell>
          <cell r="E61">
            <v>435</v>
          </cell>
        </row>
        <row r="62">
          <cell r="A62">
            <v>61</v>
          </cell>
          <cell r="C62" t="str">
            <v>Beverages</v>
          </cell>
          <cell r="E62">
            <v>360</v>
          </cell>
        </row>
        <row r="63">
          <cell r="A63">
            <v>62</v>
          </cell>
          <cell r="C63" t="str">
            <v>Snacks</v>
          </cell>
          <cell r="E63">
            <v>32</v>
          </cell>
        </row>
        <row r="64">
          <cell r="A64">
            <v>63</v>
          </cell>
          <cell r="C64" t="str">
            <v>Grocery</v>
          </cell>
          <cell r="E64">
            <v>171</v>
          </cell>
        </row>
        <row r="65">
          <cell r="A65">
            <v>64</v>
          </cell>
          <cell r="C65" t="str">
            <v>Snacks</v>
          </cell>
          <cell r="E65">
            <v>461</v>
          </cell>
        </row>
        <row r="66">
          <cell r="A66">
            <v>65</v>
          </cell>
          <cell r="C66" t="str">
            <v>Snacks</v>
          </cell>
          <cell r="E66">
            <v>309</v>
          </cell>
        </row>
        <row r="67">
          <cell r="A67">
            <v>66</v>
          </cell>
          <cell r="C67" t="str">
            <v>Beverages</v>
          </cell>
          <cell r="E67">
            <v>452</v>
          </cell>
        </row>
        <row r="68">
          <cell r="A68">
            <v>67</v>
          </cell>
          <cell r="C68" t="str">
            <v>Snacks</v>
          </cell>
          <cell r="E68">
            <v>291</v>
          </cell>
        </row>
        <row r="69">
          <cell r="A69">
            <v>68</v>
          </cell>
          <cell r="C69" t="str">
            <v>Personal Care</v>
          </cell>
          <cell r="E69">
            <v>330</v>
          </cell>
        </row>
        <row r="70">
          <cell r="A70">
            <v>69</v>
          </cell>
          <cell r="C70" t="str">
            <v>Grocery</v>
          </cell>
          <cell r="E70">
            <v>460</v>
          </cell>
        </row>
        <row r="71">
          <cell r="A71">
            <v>70</v>
          </cell>
          <cell r="C71" t="str">
            <v>Personal Care</v>
          </cell>
          <cell r="E71">
            <v>308</v>
          </cell>
        </row>
        <row r="72">
          <cell r="A72">
            <v>71</v>
          </cell>
          <cell r="C72" t="str">
            <v>Snacks</v>
          </cell>
          <cell r="E72">
            <v>389</v>
          </cell>
        </row>
        <row r="73">
          <cell r="A73">
            <v>72</v>
          </cell>
          <cell r="C73" t="str">
            <v>Beverages</v>
          </cell>
          <cell r="E73">
            <v>465</v>
          </cell>
        </row>
        <row r="74">
          <cell r="A74">
            <v>73</v>
          </cell>
          <cell r="C74" t="str">
            <v>Beverages</v>
          </cell>
          <cell r="E74">
            <v>55</v>
          </cell>
        </row>
        <row r="75">
          <cell r="A75">
            <v>74</v>
          </cell>
          <cell r="C75" t="str">
            <v>Snacks</v>
          </cell>
          <cell r="E75">
            <v>251</v>
          </cell>
        </row>
        <row r="76">
          <cell r="A76">
            <v>75</v>
          </cell>
          <cell r="C76" t="str">
            <v>Grocery</v>
          </cell>
          <cell r="E76">
            <v>88</v>
          </cell>
        </row>
        <row r="77">
          <cell r="A77">
            <v>76</v>
          </cell>
          <cell r="C77" t="str">
            <v>Dairy</v>
          </cell>
          <cell r="E77">
            <v>164</v>
          </cell>
        </row>
        <row r="78">
          <cell r="A78">
            <v>77</v>
          </cell>
          <cell r="C78" t="str">
            <v>Grocery</v>
          </cell>
          <cell r="E78">
            <v>389</v>
          </cell>
        </row>
        <row r="79">
          <cell r="A79">
            <v>78</v>
          </cell>
          <cell r="C79" t="str">
            <v>Grocery</v>
          </cell>
          <cell r="E79">
            <v>88</v>
          </cell>
        </row>
        <row r="80">
          <cell r="A80">
            <v>79</v>
          </cell>
          <cell r="C80" t="str">
            <v>Beverages</v>
          </cell>
          <cell r="E80">
            <v>298</v>
          </cell>
        </row>
        <row r="81">
          <cell r="A81">
            <v>80</v>
          </cell>
          <cell r="C81" t="str">
            <v>Dairy</v>
          </cell>
          <cell r="E81">
            <v>272</v>
          </cell>
        </row>
        <row r="82">
          <cell r="A82">
            <v>81</v>
          </cell>
          <cell r="C82" t="str">
            <v>Beverages</v>
          </cell>
          <cell r="E82">
            <v>262</v>
          </cell>
        </row>
        <row r="83">
          <cell r="A83">
            <v>82</v>
          </cell>
          <cell r="C83" t="str">
            <v>Grocery</v>
          </cell>
          <cell r="E83">
            <v>358</v>
          </cell>
        </row>
        <row r="84">
          <cell r="A84">
            <v>83</v>
          </cell>
          <cell r="C84" t="str">
            <v>Beverages</v>
          </cell>
          <cell r="E84">
            <v>183</v>
          </cell>
        </row>
        <row r="85">
          <cell r="A85">
            <v>84</v>
          </cell>
          <cell r="C85" t="str">
            <v>Grocery</v>
          </cell>
          <cell r="E85">
            <v>249</v>
          </cell>
        </row>
        <row r="86">
          <cell r="A86">
            <v>85</v>
          </cell>
          <cell r="C86" t="str">
            <v>Beverages</v>
          </cell>
          <cell r="E86">
            <v>78</v>
          </cell>
        </row>
        <row r="87">
          <cell r="A87">
            <v>86</v>
          </cell>
          <cell r="C87" t="str">
            <v>Snacks</v>
          </cell>
          <cell r="E87">
            <v>405</v>
          </cell>
        </row>
        <row r="88">
          <cell r="A88">
            <v>87</v>
          </cell>
          <cell r="C88" t="str">
            <v>Snacks</v>
          </cell>
          <cell r="E88">
            <v>115</v>
          </cell>
        </row>
        <row r="89">
          <cell r="A89">
            <v>88</v>
          </cell>
          <cell r="C89" t="str">
            <v>Grocery</v>
          </cell>
          <cell r="E89">
            <v>378</v>
          </cell>
        </row>
        <row r="90">
          <cell r="A90">
            <v>89</v>
          </cell>
          <cell r="C90" t="str">
            <v>Snacks</v>
          </cell>
          <cell r="E90">
            <v>387</v>
          </cell>
        </row>
        <row r="91">
          <cell r="A91">
            <v>90</v>
          </cell>
          <cell r="C91" t="str">
            <v>Snacks</v>
          </cell>
          <cell r="E91">
            <v>255</v>
          </cell>
        </row>
        <row r="92">
          <cell r="A92">
            <v>91</v>
          </cell>
          <cell r="C92" t="str">
            <v>Grocery</v>
          </cell>
          <cell r="E92">
            <v>441</v>
          </cell>
        </row>
        <row r="93">
          <cell r="A93">
            <v>92</v>
          </cell>
          <cell r="C93" t="str">
            <v>Snacks</v>
          </cell>
          <cell r="E93">
            <v>55</v>
          </cell>
        </row>
        <row r="94">
          <cell r="A94">
            <v>93</v>
          </cell>
          <cell r="C94" t="str">
            <v>Beverages</v>
          </cell>
          <cell r="E94">
            <v>423</v>
          </cell>
        </row>
        <row r="95">
          <cell r="A95">
            <v>94</v>
          </cell>
          <cell r="C95" t="str">
            <v>Grocery</v>
          </cell>
          <cell r="E95">
            <v>234</v>
          </cell>
        </row>
        <row r="96">
          <cell r="A96">
            <v>95</v>
          </cell>
          <cell r="C96" t="str">
            <v>Snacks</v>
          </cell>
          <cell r="E96">
            <v>73</v>
          </cell>
        </row>
        <row r="97">
          <cell r="A97">
            <v>96</v>
          </cell>
          <cell r="C97" t="str">
            <v>Dairy</v>
          </cell>
          <cell r="E97">
            <v>150</v>
          </cell>
        </row>
        <row r="98">
          <cell r="A98">
            <v>97</v>
          </cell>
          <cell r="C98" t="str">
            <v>Grocery</v>
          </cell>
          <cell r="E98">
            <v>419</v>
          </cell>
        </row>
        <row r="99">
          <cell r="A99">
            <v>98</v>
          </cell>
          <cell r="C99" t="str">
            <v>Snacks</v>
          </cell>
          <cell r="E99">
            <v>460</v>
          </cell>
        </row>
        <row r="100">
          <cell r="A100">
            <v>99</v>
          </cell>
          <cell r="C100" t="str">
            <v>Personal Care</v>
          </cell>
          <cell r="E100">
            <v>340</v>
          </cell>
        </row>
        <row r="101">
          <cell r="A101">
            <v>100</v>
          </cell>
          <cell r="C101" t="str">
            <v>Dairy</v>
          </cell>
          <cell r="E101">
            <v>472</v>
          </cell>
        </row>
      </sheetData>
      <sheetData sheetId="6"/>
      <sheetData sheetId="7">
        <row r="2">
          <cell r="A2">
            <v>1</v>
          </cell>
          <cell r="B2" t="str">
            <v>Mumbai</v>
          </cell>
          <cell r="C2" t="str">
            <v>Maharashtra</v>
          </cell>
          <cell r="D2" t="str">
            <v>West</v>
          </cell>
        </row>
        <row r="3">
          <cell r="A3">
            <v>2</v>
          </cell>
          <cell r="B3" t="str">
            <v>Mumbai</v>
          </cell>
          <cell r="C3" t="str">
            <v>Maharashtra</v>
          </cell>
          <cell r="D3" t="str">
            <v>West</v>
          </cell>
        </row>
        <row r="4">
          <cell r="A4">
            <v>3</v>
          </cell>
          <cell r="B4" t="str">
            <v>Mumbai</v>
          </cell>
          <cell r="C4" t="str">
            <v>Maharashtra</v>
          </cell>
          <cell r="D4" t="str">
            <v>West</v>
          </cell>
        </row>
        <row r="5">
          <cell r="A5">
            <v>4</v>
          </cell>
          <cell r="B5" t="str">
            <v>Delhi</v>
          </cell>
          <cell r="C5" t="str">
            <v>Delhi</v>
          </cell>
          <cell r="D5" t="str">
            <v>North</v>
          </cell>
        </row>
        <row r="6">
          <cell r="A6">
            <v>5</v>
          </cell>
          <cell r="B6" t="str">
            <v>Delhi</v>
          </cell>
          <cell r="C6" t="str">
            <v>Delhi</v>
          </cell>
          <cell r="D6" t="str">
            <v>North</v>
          </cell>
        </row>
        <row r="7">
          <cell r="A7">
            <v>6</v>
          </cell>
          <cell r="B7" t="str">
            <v>Delhi</v>
          </cell>
          <cell r="C7" t="str">
            <v>Delhi</v>
          </cell>
          <cell r="D7" t="str">
            <v>North</v>
          </cell>
        </row>
        <row r="8">
          <cell r="A8">
            <v>7</v>
          </cell>
          <cell r="B8" t="str">
            <v>Bangalore</v>
          </cell>
          <cell r="C8" t="str">
            <v>Karnataka</v>
          </cell>
          <cell r="D8" t="str">
            <v>South</v>
          </cell>
        </row>
        <row r="9">
          <cell r="A9">
            <v>8</v>
          </cell>
          <cell r="B9" t="str">
            <v>Bangalore</v>
          </cell>
          <cell r="C9" t="str">
            <v>Karnataka</v>
          </cell>
          <cell r="D9" t="str">
            <v>South</v>
          </cell>
        </row>
        <row r="10">
          <cell r="A10">
            <v>9</v>
          </cell>
          <cell r="B10" t="str">
            <v>Bangalore</v>
          </cell>
          <cell r="C10" t="str">
            <v>Karnataka</v>
          </cell>
          <cell r="D10" t="str">
            <v>South</v>
          </cell>
        </row>
        <row r="11">
          <cell r="A11">
            <v>10</v>
          </cell>
          <cell r="B11" t="str">
            <v>Chennai</v>
          </cell>
          <cell r="C11" t="str">
            <v>Tamil Nadu</v>
          </cell>
          <cell r="D11" t="str">
            <v>South</v>
          </cell>
        </row>
        <row r="12">
          <cell r="A12">
            <v>11</v>
          </cell>
          <cell r="B12" t="str">
            <v>Chennai</v>
          </cell>
          <cell r="C12" t="str">
            <v>Tamil Nadu</v>
          </cell>
          <cell r="D12" t="str">
            <v>South</v>
          </cell>
        </row>
        <row r="13">
          <cell r="A13">
            <v>12</v>
          </cell>
          <cell r="B13" t="str">
            <v>Chennai</v>
          </cell>
          <cell r="C13" t="str">
            <v>Tamil Nadu</v>
          </cell>
          <cell r="D13" t="str">
            <v>South</v>
          </cell>
        </row>
        <row r="14">
          <cell r="A14">
            <v>13</v>
          </cell>
          <cell r="B14" t="str">
            <v>Hyderabad</v>
          </cell>
          <cell r="C14" t="str">
            <v>Telangana</v>
          </cell>
          <cell r="D14" t="str">
            <v>South</v>
          </cell>
        </row>
        <row r="15">
          <cell r="A15">
            <v>14</v>
          </cell>
          <cell r="B15" t="str">
            <v>Hyderabad</v>
          </cell>
          <cell r="C15" t="str">
            <v>Telangana</v>
          </cell>
          <cell r="D15" t="str">
            <v>South</v>
          </cell>
        </row>
        <row r="16">
          <cell r="A16">
            <v>15</v>
          </cell>
          <cell r="B16" t="str">
            <v>Hyderabad</v>
          </cell>
          <cell r="C16" t="str">
            <v>Telangana</v>
          </cell>
          <cell r="D16" t="str">
            <v>South</v>
          </cell>
        </row>
        <row r="17">
          <cell r="A17">
            <v>16</v>
          </cell>
          <cell r="B17" t="str">
            <v>Kolkata</v>
          </cell>
          <cell r="C17" t="str">
            <v>West Bengal</v>
          </cell>
          <cell r="D17" t="str">
            <v>East</v>
          </cell>
        </row>
        <row r="18">
          <cell r="A18">
            <v>17</v>
          </cell>
          <cell r="B18" t="str">
            <v>Kolkata</v>
          </cell>
          <cell r="C18" t="str">
            <v>West Bengal</v>
          </cell>
          <cell r="D18" t="str">
            <v>East</v>
          </cell>
        </row>
        <row r="19">
          <cell r="A19">
            <v>18</v>
          </cell>
          <cell r="B19" t="str">
            <v>Kolkata</v>
          </cell>
          <cell r="C19" t="str">
            <v>West Bengal</v>
          </cell>
          <cell r="D19" t="str">
            <v>East</v>
          </cell>
        </row>
        <row r="20">
          <cell r="A20">
            <v>19</v>
          </cell>
          <cell r="B20" t="str">
            <v>Pune</v>
          </cell>
          <cell r="C20" t="str">
            <v>Maharashtra</v>
          </cell>
          <cell r="D20" t="str">
            <v>West</v>
          </cell>
        </row>
        <row r="21">
          <cell r="A21">
            <v>20</v>
          </cell>
          <cell r="B21" t="str">
            <v>Pune</v>
          </cell>
          <cell r="C21" t="str">
            <v>Maharashtra</v>
          </cell>
          <cell r="D21" t="str">
            <v>West</v>
          </cell>
        </row>
        <row r="22">
          <cell r="A22">
            <v>21</v>
          </cell>
          <cell r="B22" t="str">
            <v>Pune</v>
          </cell>
          <cell r="C22" t="str">
            <v>Maharashtra</v>
          </cell>
          <cell r="D22" t="str">
            <v>West</v>
          </cell>
        </row>
        <row r="23">
          <cell r="A23">
            <v>22</v>
          </cell>
          <cell r="B23" t="str">
            <v>Ahmedabad</v>
          </cell>
          <cell r="C23" t="str">
            <v>Gujarat</v>
          </cell>
          <cell r="D23" t="str">
            <v>West</v>
          </cell>
        </row>
        <row r="24">
          <cell r="A24">
            <v>23</v>
          </cell>
          <cell r="B24" t="str">
            <v>Ahmedabad</v>
          </cell>
          <cell r="C24" t="str">
            <v>Gujarat</v>
          </cell>
          <cell r="D24" t="str">
            <v>West</v>
          </cell>
        </row>
        <row r="25">
          <cell r="A25">
            <v>24</v>
          </cell>
          <cell r="B25" t="str">
            <v>Ahmedabad</v>
          </cell>
          <cell r="C25" t="str">
            <v>Gujarat</v>
          </cell>
          <cell r="D25" t="str">
            <v>West</v>
          </cell>
        </row>
        <row r="26">
          <cell r="A26">
            <v>25</v>
          </cell>
          <cell r="B26" t="str">
            <v>Jaipur</v>
          </cell>
          <cell r="C26" t="str">
            <v>Rajasthan</v>
          </cell>
          <cell r="D26" t="str">
            <v>North</v>
          </cell>
        </row>
        <row r="27">
          <cell r="A27">
            <v>26</v>
          </cell>
          <cell r="B27" t="str">
            <v>Jaipur</v>
          </cell>
          <cell r="C27" t="str">
            <v>Rajasthan</v>
          </cell>
          <cell r="D27" t="str">
            <v>North</v>
          </cell>
        </row>
        <row r="28">
          <cell r="A28">
            <v>27</v>
          </cell>
          <cell r="B28" t="str">
            <v>Jaipur</v>
          </cell>
          <cell r="C28" t="str">
            <v>Rajasthan</v>
          </cell>
          <cell r="D28" t="str">
            <v>North</v>
          </cell>
        </row>
        <row r="29">
          <cell r="A29">
            <v>28</v>
          </cell>
          <cell r="B29" t="str">
            <v>Lucknow</v>
          </cell>
          <cell r="C29" t="str">
            <v>UP</v>
          </cell>
          <cell r="D29" t="str">
            <v>North</v>
          </cell>
        </row>
        <row r="30">
          <cell r="A30">
            <v>29</v>
          </cell>
          <cell r="B30" t="str">
            <v>Lucknow</v>
          </cell>
          <cell r="C30" t="str">
            <v>UP</v>
          </cell>
          <cell r="D30" t="str">
            <v>North</v>
          </cell>
        </row>
        <row r="31">
          <cell r="A31">
            <v>30</v>
          </cell>
          <cell r="B31" t="str">
            <v>Lucknow</v>
          </cell>
          <cell r="C31" t="str">
            <v>UP</v>
          </cell>
          <cell r="D31" t="str">
            <v>North</v>
          </cell>
        </row>
      </sheetData>
      <sheetData sheetId="8">
        <row r="2">
          <cell r="A2">
            <v>1</v>
          </cell>
          <cell r="C2">
            <v>17</v>
          </cell>
          <cell r="D2">
            <v>179</v>
          </cell>
          <cell r="E2">
            <v>124</v>
          </cell>
        </row>
        <row r="3">
          <cell r="A3">
            <v>2</v>
          </cell>
          <cell r="C3">
            <v>52</v>
          </cell>
          <cell r="D3">
            <v>420</v>
          </cell>
          <cell r="E3">
            <v>29</v>
          </cell>
        </row>
        <row r="4">
          <cell r="A4">
            <v>3</v>
          </cell>
          <cell r="C4">
            <v>10</v>
          </cell>
          <cell r="D4">
            <v>471</v>
          </cell>
          <cell r="E4">
            <v>23</v>
          </cell>
        </row>
        <row r="5">
          <cell r="A5">
            <v>4</v>
          </cell>
          <cell r="C5">
            <v>49</v>
          </cell>
          <cell r="D5">
            <v>344</v>
          </cell>
          <cell r="E5">
            <v>3</v>
          </cell>
        </row>
        <row r="6">
          <cell r="A6">
            <v>5</v>
          </cell>
          <cell r="C6">
            <v>97</v>
          </cell>
          <cell r="D6">
            <v>362</v>
          </cell>
          <cell r="E6">
            <v>61</v>
          </cell>
        </row>
        <row r="7">
          <cell r="A7">
            <v>6</v>
          </cell>
          <cell r="C7">
            <v>94</v>
          </cell>
          <cell r="D7">
            <v>395</v>
          </cell>
          <cell r="E7">
            <v>100</v>
          </cell>
        </row>
        <row r="8">
          <cell r="A8">
            <v>7</v>
          </cell>
          <cell r="C8">
            <v>19</v>
          </cell>
          <cell r="D8">
            <v>88</v>
          </cell>
          <cell r="E8">
            <v>158</v>
          </cell>
        </row>
        <row r="9">
          <cell r="A9">
            <v>8</v>
          </cell>
          <cell r="C9">
            <v>14</v>
          </cell>
          <cell r="D9">
            <v>197</v>
          </cell>
          <cell r="E9">
            <v>82</v>
          </cell>
        </row>
        <row r="10">
          <cell r="A10">
            <v>9</v>
          </cell>
          <cell r="C10">
            <v>22</v>
          </cell>
          <cell r="D10">
            <v>177</v>
          </cell>
          <cell r="E10">
            <v>107</v>
          </cell>
        </row>
        <row r="11">
          <cell r="A11">
            <v>10</v>
          </cell>
          <cell r="C11">
            <v>89</v>
          </cell>
          <cell r="D11">
            <v>340</v>
          </cell>
          <cell r="E11">
            <v>121</v>
          </cell>
        </row>
        <row r="12">
          <cell r="A12">
            <v>11</v>
          </cell>
          <cell r="C12">
            <v>26</v>
          </cell>
          <cell r="D12">
            <v>235</v>
          </cell>
          <cell r="E12">
            <v>78</v>
          </cell>
        </row>
        <row r="13">
          <cell r="A13">
            <v>12</v>
          </cell>
          <cell r="C13">
            <v>85</v>
          </cell>
          <cell r="D13">
            <v>276</v>
          </cell>
          <cell r="E13">
            <v>118</v>
          </cell>
        </row>
        <row r="14">
          <cell r="A14">
            <v>13</v>
          </cell>
          <cell r="C14">
            <v>99</v>
          </cell>
          <cell r="D14">
            <v>285</v>
          </cell>
          <cell r="E14">
            <v>98</v>
          </cell>
        </row>
        <row r="15">
          <cell r="A15">
            <v>14</v>
          </cell>
          <cell r="C15">
            <v>75</v>
          </cell>
          <cell r="D15">
            <v>306</v>
          </cell>
          <cell r="E15">
            <v>30</v>
          </cell>
        </row>
        <row r="16">
          <cell r="A16">
            <v>15</v>
          </cell>
          <cell r="C16">
            <v>69</v>
          </cell>
          <cell r="D16">
            <v>190</v>
          </cell>
          <cell r="E16">
            <v>91</v>
          </cell>
        </row>
        <row r="17">
          <cell r="A17">
            <v>16</v>
          </cell>
          <cell r="C17">
            <v>28</v>
          </cell>
          <cell r="D17">
            <v>284</v>
          </cell>
          <cell r="E17">
            <v>80</v>
          </cell>
        </row>
        <row r="18">
          <cell r="A18">
            <v>17</v>
          </cell>
          <cell r="C18">
            <v>90</v>
          </cell>
          <cell r="D18">
            <v>293</v>
          </cell>
          <cell r="E18">
            <v>177</v>
          </cell>
        </row>
        <row r="19">
          <cell r="A19">
            <v>18</v>
          </cell>
          <cell r="C19">
            <v>73</v>
          </cell>
          <cell r="D19">
            <v>120</v>
          </cell>
          <cell r="E19">
            <v>107</v>
          </cell>
        </row>
        <row r="20">
          <cell r="A20">
            <v>19</v>
          </cell>
          <cell r="C20">
            <v>41</v>
          </cell>
          <cell r="D20">
            <v>60</v>
          </cell>
          <cell r="E20">
            <v>140</v>
          </cell>
        </row>
        <row r="21">
          <cell r="A21">
            <v>20</v>
          </cell>
          <cell r="C21">
            <v>38</v>
          </cell>
          <cell r="D21">
            <v>395</v>
          </cell>
          <cell r="E21">
            <v>96</v>
          </cell>
        </row>
        <row r="22">
          <cell r="A22">
            <v>21</v>
          </cell>
          <cell r="C22">
            <v>54</v>
          </cell>
          <cell r="D22">
            <v>124</v>
          </cell>
          <cell r="E22">
            <v>101</v>
          </cell>
        </row>
        <row r="23">
          <cell r="A23">
            <v>22</v>
          </cell>
          <cell r="C23">
            <v>68</v>
          </cell>
          <cell r="D23">
            <v>249</v>
          </cell>
          <cell r="E23">
            <v>58</v>
          </cell>
        </row>
        <row r="24">
          <cell r="A24">
            <v>23</v>
          </cell>
          <cell r="C24">
            <v>37</v>
          </cell>
          <cell r="D24">
            <v>485</v>
          </cell>
          <cell r="E24">
            <v>129</v>
          </cell>
        </row>
        <row r="25">
          <cell r="A25">
            <v>24</v>
          </cell>
          <cell r="C25">
            <v>27</v>
          </cell>
          <cell r="D25">
            <v>384</v>
          </cell>
          <cell r="E25">
            <v>116</v>
          </cell>
        </row>
        <row r="26">
          <cell r="A26">
            <v>25</v>
          </cell>
          <cell r="C26">
            <v>96</v>
          </cell>
          <cell r="D26">
            <v>17</v>
          </cell>
          <cell r="E26">
            <v>75</v>
          </cell>
        </row>
        <row r="27">
          <cell r="A27">
            <v>26</v>
          </cell>
          <cell r="C27">
            <v>62</v>
          </cell>
          <cell r="D27">
            <v>449</v>
          </cell>
          <cell r="E27">
            <v>132</v>
          </cell>
        </row>
        <row r="28">
          <cell r="A28">
            <v>27</v>
          </cell>
          <cell r="C28">
            <v>32</v>
          </cell>
          <cell r="D28">
            <v>76</v>
          </cell>
          <cell r="E28">
            <v>128</v>
          </cell>
        </row>
        <row r="29">
          <cell r="A29">
            <v>28</v>
          </cell>
          <cell r="C29">
            <v>90</v>
          </cell>
          <cell r="D29">
            <v>82</v>
          </cell>
          <cell r="E29">
            <v>109</v>
          </cell>
        </row>
        <row r="30">
          <cell r="A30">
            <v>29</v>
          </cell>
          <cell r="C30">
            <v>76</v>
          </cell>
          <cell r="D30">
            <v>328</v>
          </cell>
          <cell r="E30">
            <v>97</v>
          </cell>
        </row>
        <row r="31">
          <cell r="A31">
            <v>30</v>
          </cell>
          <cell r="C31">
            <v>71</v>
          </cell>
          <cell r="D31">
            <v>155</v>
          </cell>
          <cell r="E31">
            <v>79</v>
          </cell>
        </row>
        <row r="32">
          <cell r="A32">
            <v>31</v>
          </cell>
          <cell r="C32">
            <v>57</v>
          </cell>
          <cell r="D32">
            <v>30</v>
          </cell>
          <cell r="E32">
            <v>151</v>
          </cell>
        </row>
        <row r="33">
          <cell r="A33">
            <v>32</v>
          </cell>
          <cell r="C33">
            <v>7</v>
          </cell>
          <cell r="D33">
            <v>377</v>
          </cell>
          <cell r="E33">
            <v>135</v>
          </cell>
        </row>
        <row r="34">
          <cell r="A34">
            <v>33</v>
          </cell>
          <cell r="C34">
            <v>70</v>
          </cell>
          <cell r="D34">
            <v>115</v>
          </cell>
          <cell r="E34">
            <v>86</v>
          </cell>
        </row>
        <row r="35">
          <cell r="A35">
            <v>34</v>
          </cell>
          <cell r="C35">
            <v>43</v>
          </cell>
          <cell r="D35">
            <v>211</v>
          </cell>
          <cell r="E35">
            <v>50</v>
          </cell>
        </row>
        <row r="36">
          <cell r="A36">
            <v>35</v>
          </cell>
          <cell r="C36">
            <v>93</v>
          </cell>
          <cell r="D36">
            <v>402</v>
          </cell>
          <cell r="E36">
            <v>94</v>
          </cell>
        </row>
        <row r="37">
          <cell r="A37">
            <v>36</v>
          </cell>
          <cell r="C37">
            <v>63</v>
          </cell>
          <cell r="D37">
            <v>75</v>
          </cell>
          <cell r="E37">
            <v>177</v>
          </cell>
        </row>
        <row r="38">
          <cell r="A38">
            <v>37</v>
          </cell>
          <cell r="C38">
            <v>13</v>
          </cell>
          <cell r="D38">
            <v>372</v>
          </cell>
          <cell r="E38">
            <v>135</v>
          </cell>
        </row>
        <row r="39">
          <cell r="A39">
            <v>38</v>
          </cell>
          <cell r="C39">
            <v>89</v>
          </cell>
          <cell r="D39">
            <v>241</v>
          </cell>
          <cell r="E39">
            <v>114</v>
          </cell>
        </row>
        <row r="40">
          <cell r="A40">
            <v>39</v>
          </cell>
          <cell r="C40">
            <v>68</v>
          </cell>
          <cell r="D40">
            <v>393</v>
          </cell>
          <cell r="E40">
            <v>20</v>
          </cell>
        </row>
        <row r="41">
          <cell r="A41">
            <v>40</v>
          </cell>
          <cell r="C41">
            <v>60</v>
          </cell>
          <cell r="D41">
            <v>401</v>
          </cell>
          <cell r="E41">
            <v>4</v>
          </cell>
        </row>
        <row r="42">
          <cell r="A42">
            <v>41</v>
          </cell>
          <cell r="C42">
            <v>78</v>
          </cell>
          <cell r="D42">
            <v>262</v>
          </cell>
          <cell r="E42">
            <v>25</v>
          </cell>
        </row>
        <row r="43">
          <cell r="A43">
            <v>42</v>
          </cell>
          <cell r="C43">
            <v>16</v>
          </cell>
          <cell r="D43">
            <v>76</v>
          </cell>
          <cell r="E43">
            <v>109</v>
          </cell>
        </row>
        <row r="44">
          <cell r="A44">
            <v>43</v>
          </cell>
          <cell r="C44">
            <v>34</v>
          </cell>
          <cell r="D44">
            <v>315</v>
          </cell>
          <cell r="E44">
            <v>18</v>
          </cell>
        </row>
        <row r="45">
          <cell r="A45">
            <v>44</v>
          </cell>
          <cell r="C45">
            <v>80</v>
          </cell>
          <cell r="D45">
            <v>128</v>
          </cell>
          <cell r="E45">
            <v>15</v>
          </cell>
        </row>
        <row r="46">
          <cell r="A46">
            <v>45</v>
          </cell>
          <cell r="C46">
            <v>79</v>
          </cell>
          <cell r="D46">
            <v>84</v>
          </cell>
          <cell r="E46">
            <v>121</v>
          </cell>
        </row>
        <row r="47">
          <cell r="A47">
            <v>46</v>
          </cell>
          <cell r="C47">
            <v>68</v>
          </cell>
          <cell r="D47">
            <v>356</v>
          </cell>
          <cell r="E47">
            <v>143</v>
          </cell>
        </row>
        <row r="48">
          <cell r="A48">
            <v>47</v>
          </cell>
          <cell r="C48">
            <v>83</v>
          </cell>
          <cell r="D48">
            <v>378</v>
          </cell>
          <cell r="E48">
            <v>110</v>
          </cell>
        </row>
        <row r="49">
          <cell r="A49">
            <v>48</v>
          </cell>
          <cell r="C49">
            <v>16</v>
          </cell>
          <cell r="D49">
            <v>209</v>
          </cell>
          <cell r="E49">
            <v>136</v>
          </cell>
        </row>
        <row r="50">
          <cell r="A50">
            <v>49</v>
          </cell>
          <cell r="C50">
            <v>2</v>
          </cell>
          <cell r="D50">
            <v>337</v>
          </cell>
          <cell r="E50">
            <v>6</v>
          </cell>
        </row>
        <row r="51">
          <cell r="A51">
            <v>50</v>
          </cell>
          <cell r="C51">
            <v>50</v>
          </cell>
          <cell r="D51">
            <v>220</v>
          </cell>
          <cell r="E51">
            <v>144</v>
          </cell>
        </row>
        <row r="52">
          <cell r="A52">
            <v>51</v>
          </cell>
          <cell r="C52">
            <v>28</v>
          </cell>
          <cell r="D52">
            <v>119</v>
          </cell>
          <cell r="E52">
            <v>9</v>
          </cell>
        </row>
        <row r="53">
          <cell r="A53">
            <v>52</v>
          </cell>
          <cell r="C53">
            <v>36</v>
          </cell>
          <cell r="D53">
            <v>56</v>
          </cell>
          <cell r="E53">
            <v>148</v>
          </cell>
        </row>
        <row r="54">
          <cell r="A54">
            <v>53</v>
          </cell>
          <cell r="C54">
            <v>50</v>
          </cell>
          <cell r="D54">
            <v>67</v>
          </cell>
          <cell r="E54">
            <v>80</v>
          </cell>
        </row>
        <row r="55">
          <cell r="A55">
            <v>54</v>
          </cell>
          <cell r="C55">
            <v>100</v>
          </cell>
          <cell r="D55">
            <v>397</v>
          </cell>
          <cell r="E55">
            <v>5</v>
          </cell>
        </row>
        <row r="56">
          <cell r="A56">
            <v>55</v>
          </cell>
          <cell r="C56">
            <v>51</v>
          </cell>
          <cell r="D56">
            <v>336</v>
          </cell>
          <cell r="E56">
            <v>49</v>
          </cell>
        </row>
        <row r="57">
          <cell r="A57">
            <v>56</v>
          </cell>
          <cell r="C57">
            <v>75</v>
          </cell>
          <cell r="D57">
            <v>9</v>
          </cell>
          <cell r="E57">
            <v>174</v>
          </cell>
        </row>
        <row r="58">
          <cell r="A58">
            <v>57</v>
          </cell>
          <cell r="C58">
            <v>6</v>
          </cell>
          <cell r="D58">
            <v>236</v>
          </cell>
          <cell r="E58">
            <v>58</v>
          </cell>
        </row>
        <row r="59">
          <cell r="A59">
            <v>58</v>
          </cell>
          <cell r="C59">
            <v>32</v>
          </cell>
          <cell r="D59">
            <v>329</v>
          </cell>
          <cell r="E59">
            <v>76</v>
          </cell>
        </row>
        <row r="60">
          <cell r="A60">
            <v>59</v>
          </cell>
          <cell r="C60">
            <v>96</v>
          </cell>
          <cell r="D60">
            <v>82</v>
          </cell>
          <cell r="E60">
            <v>153</v>
          </cell>
        </row>
        <row r="61">
          <cell r="A61">
            <v>60</v>
          </cell>
          <cell r="C61">
            <v>94</v>
          </cell>
          <cell r="D61">
            <v>404</v>
          </cell>
          <cell r="E61">
            <v>108</v>
          </cell>
        </row>
        <row r="62">
          <cell r="A62">
            <v>61</v>
          </cell>
          <cell r="C62">
            <v>31</v>
          </cell>
          <cell r="D62">
            <v>342</v>
          </cell>
          <cell r="E62">
            <v>35</v>
          </cell>
        </row>
        <row r="63">
          <cell r="A63">
            <v>62</v>
          </cell>
          <cell r="C63">
            <v>2</v>
          </cell>
          <cell r="D63">
            <v>439</v>
          </cell>
          <cell r="E63">
            <v>33</v>
          </cell>
        </row>
        <row r="64">
          <cell r="A64">
            <v>63</v>
          </cell>
          <cell r="C64">
            <v>83</v>
          </cell>
          <cell r="D64">
            <v>496</v>
          </cell>
          <cell r="E64">
            <v>72</v>
          </cell>
        </row>
        <row r="65">
          <cell r="A65">
            <v>64</v>
          </cell>
          <cell r="C65">
            <v>60</v>
          </cell>
          <cell r="D65">
            <v>92</v>
          </cell>
          <cell r="E65">
            <v>72</v>
          </cell>
        </row>
        <row r="66">
          <cell r="A66">
            <v>65</v>
          </cell>
          <cell r="C66">
            <v>27</v>
          </cell>
          <cell r="D66">
            <v>451</v>
          </cell>
          <cell r="E66">
            <v>62</v>
          </cell>
        </row>
        <row r="67">
          <cell r="A67">
            <v>66</v>
          </cell>
          <cell r="C67">
            <v>64</v>
          </cell>
          <cell r="D67">
            <v>460</v>
          </cell>
          <cell r="E67">
            <v>179</v>
          </cell>
        </row>
        <row r="68">
          <cell r="A68">
            <v>67</v>
          </cell>
          <cell r="C68">
            <v>8</v>
          </cell>
          <cell r="D68">
            <v>378</v>
          </cell>
          <cell r="E68">
            <v>151</v>
          </cell>
        </row>
        <row r="69">
          <cell r="A69">
            <v>68</v>
          </cell>
          <cell r="C69">
            <v>30</v>
          </cell>
          <cell r="D69">
            <v>179</v>
          </cell>
          <cell r="E69">
            <v>103</v>
          </cell>
        </row>
        <row r="70">
          <cell r="A70">
            <v>69</v>
          </cell>
          <cell r="C70">
            <v>6</v>
          </cell>
          <cell r="D70">
            <v>9</v>
          </cell>
          <cell r="E70">
            <v>84</v>
          </cell>
        </row>
        <row r="71">
          <cell r="A71">
            <v>70</v>
          </cell>
          <cell r="C71">
            <v>56</v>
          </cell>
          <cell r="D71">
            <v>197</v>
          </cell>
          <cell r="E71">
            <v>102</v>
          </cell>
        </row>
        <row r="72">
          <cell r="A72">
            <v>71</v>
          </cell>
          <cell r="C72">
            <v>5</v>
          </cell>
          <cell r="D72">
            <v>288</v>
          </cell>
          <cell r="E72">
            <v>130</v>
          </cell>
        </row>
        <row r="73">
          <cell r="A73">
            <v>72</v>
          </cell>
          <cell r="C73">
            <v>44</v>
          </cell>
          <cell r="D73">
            <v>462</v>
          </cell>
          <cell r="E73">
            <v>9</v>
          </cell>
        </row>
        <row r="74">
          <cell r="A74">
            <v>73</v>
          </cell>
          <cell r="C74">
            <v>62</v>
          </cell>
          <cell r="D74">
            <v>63</v>
          </cell>
          <cell r="E74">
            <v>88</v>
          </cell>
        </row>
        <row r="75">
          <cell r="A75">
            <v>74</v>
          </cell>
          <cell r="C75">
            <v>90</v>
          </cell>
          <cell r="D75">
            <v>438</v>
          </cell>
          <cell r="E75">
            <v>126</v>
          </cell>
        </row>
        <row r="76">
          <cell r="A76">
            <v>75</v>
          </cell>
          <cell r="C76">
            <v>95</v>
          </cell>
          <cell r="D76">
            <v>363</v>
          </cell>
          <cell r="E76">
            <v>57</v>
          </cell>
        </row>
        <row r="77">
          <cell r="A77">
            <v>76</v>
          </cell>
          <cell r="C77">
            <v>66</v>
          </cell>
          <cell r="D77">
            <v>210</v>
          </cell>
          <cell r="E77">
            <v>178</v>
          </cell>
        </row>
        <row r="78">
          <cell r="A78">
            <v>77</v>
          </cell>
          <cell r="C78">
            <v>33</v>
          </cell>
          <cell r="D78">
            <v>5</v>
          </cell>
          <cell r="E78">
            <v>43</v>
          </cell>
        </row>
        <row r="79">
          <cell r="A79">
            <v>78</v>
          </cell>
          <cell r="C79">
            <v>18</v>
          </cell>
          <cell r="D79">
            <v>109</v>
          </cell>
          <cell r="E79">
            <v>51</v>
          </cell>
        </row>
        <row r="80">
          <cell r="A80">
            <v>79</v>
          </cell>
          <cell r="C80">
            <v>14</v>
          </cell>
          <cell r="D80">
            <v>425</v>
          </cell>
          <cell r="E80">
            <v>78</v>
          </cell>
        </row>
        <row r="81">
          <cell r="A81">
            <v>80</v>
          </cell>
          <cell r="C81">
            <v>81</v>
          </cell>
          <cell r="D81">
            <v>9</v>
          </cell>
          <cell r="E81">
            <v>4</v>
          </cell>
        </row>
        <row r="82">
          <cell r="A82">
            <v>81</v>
          </cell>
          <cell r="C82">
            <v>95</v>
          </cell>
          <cell r="D82">
            <v>33</v>
          </cell>
          <cell r="E82">
            <v>53</v>
          </cell>
        </row>
        <row r="83">
          <cell r="A83">
            <v>82</v>
          </cell>
          <cell r="C83">
            <v>79</v>
          </cell>
          <cell r="D83">
            <v>83</v>
          </cell>
          <cell r="E83">
            <v>90</v>
          </cell>
        </row>
        <row r="84">
          <cell r="A84">
            <v>83</v>
          </cell>
          <cell r="C84">
            <v>57</v>
          </cell>
          <cell r="D84">
            <v>311</v>
          </cell>
          <cell r="E84">
            <v>37</v>
          </cell>
        </row>
        <row r="85">
          <cell r="A85">
            <v>84</v>
          </cell>
          <cell r="C85">
            <v>86</v>
          </cell>
          <cell r="D85">
            <v>450</v>
          </cell>
          <cell r="E85">
            <v>85</v>
          </cell>
        </row>
        <row r="86">
          <cell r="A86">
            <v>85</v>
          </cell>
          <cell r="C86">
            <v>25</v>
          </cell>
          <cell r="D86">
            <v>32</v>
          </cell>
          <cell r="E86">
            <v>25</v>
          </cell>
        </row>
        <row r="87">
          <cell r="A87">
            <v>86</v>
          </cell>
          <cell r="C87">
            <v>48</v>
          </cell>
          <cell r="D87">
            <v>310</v>
          </cell>
          <cell r="E87">
            <v>76</v>
          </cell>
        </row>
        <row r="88">
          <cell r="A88">
            <v>87</v>
          </cell>
          <cell r="C88">
            <v>22</v>
          </cell>
          <cell r="D88">
            <v>453</v>
          </cell>
          <cell r="E88">
            <v>97</v>
          </cell>
        </row>
        <row r="89">
          <cell r="A89">
            <v>88</v>
          </cell>
          <cell r="C89">
            <v>71</v>
          </cell>
          <cell r="D89">
            <v>377</v>
          </cell>
          <cell r="E89">
            <v>159</v>
          </cell>
        </row>
        <row r="90">
          <cell r="A90">
            <v>89</v>
          </cell>
          <cell r="C90">
            <v>33</v>
          </cell>
          <cell r="D90">
            <v>109</v>
          </cell>
          <cell r="E90">
            <v>67</v>
          </cell>
        </row>
        <row r="91">
          <cell r="A91">
            <v>90</v>
          </cell>
          <cell r="C91">
            <v>78</v>
          </cell>
          <cell r="D91">
            <v>412</v>
          </cell>
          <cell r="E91">
            <v>77</v>
          </cell>
        </row>
        <row r="92">
          <cell r="A92">
            <v>91</v>
          </cell>
          <cell r="C92">
            <v>62</v>
          </cell>
          <cell r="D92">
            <v>376</v>
          </cell>
          <cell r="E92">
            <v>69</v>
          </cell>
        </row>
        <row r="93">
          <cell r="A93">
            <v>92</v>
          </cell>
          <cell r="C93">
            <v>61</v>
          </cell>
          <cell r="D93">
            <v>48</v>
          </cell>
          <cell r="E93">
            <v>23</v>
          </cell>
        </row>
        <row r="94">
          <cell r="A94">
            <v>93</v>
          </cell>
          <cell r="C94">
            <v>76</v>
          </cell>
          <cell r="D94">
            <v>138</v>
          </cell>
          <cell r="E94">
            <v>179</v>
          </cell>
        </row>
        <row r="95">
          <cell r="A95">
            <v>94</v>
          </cell>
          <cell r="C95">
            <v>14</v>
          </cell>
          <cell r="D95">
            <v>91</v>
          </cell>
          <cell r="E95">
            <v>62</v>
          </cell>
        </row>
        <row r="96">
          <cell r="A96">
            <v>95</v>
          </cell>
          <cell r="C96">
            <v>76</v>
          </cell>
          <cell r="D96">
            <v>213</v>
          </cell>
          <cell r="E96">
            <v>7</v>
          </cell>
        </row>
        <row r="97">
          <cell r="A97">
            <v>96</v>
          </cell>
          <cell r="C97">
            <v>13</v>
          </cell>
          <cell r="D97">
            <v>115</v>
          </cell>
          <cell r="E97">
            <v>167</v>
          </cell>
        </row>
        <row r="98">
          <cell r="A98">
            <v>97</v>
          </cell>
          <cell r="C98">
            <v>64</v>
          </cell>
          <cell r="D98">
            <v>283</v>
          </cell>
          <cell r="E98">
            <v>26</v>
          </cell>
        </row>
        <row r="99">
          <cell r="A99">
            <v>98</v>
          </cell>
          <cell r="C99">
            <v>91</v>
          </cell>
          <cell r="D99">
            <v>339</v>
          </cell>
          <cell r="E99">
            <v>176</v>
          </cell>
        </row>
        <row r="100">
          <cell r="A100">
            <v>99</v>
          </cell>
          <cell r="C100">
            <v>8</v>
          </cell>
          <cell r="D100">
            <v>449</v>
          </cell>
          <cell r="E100">
            <v>175</v>
          </cell>
        </row>
        <row r="101">
          <cell r="A101">
            <v>100</v>
          </cell>
          <cell r="C101">
            <v>26</v>
          </cell>
          <cell r="D101">
            <v>308</v>
          </cell>
          <cell r="E101">
            <v>63</v>
          </cell>
        </row>
        <row r="102">
          <cell r="A102">
            <v>101</v>
          </cell>
          <cell r="C102">
            <v>93</v>
          </cell>
          <cell r="D102">
            <v>263</v>
          </cell>
          <cell r="E102">
            <v>94</v>
          </cell>
        </row>
        <row r="103">
          <cell r="A103">
            <v>102</v>
          </cell>
          <cell r="C103">
            <v>63</v>
          </cell>
          <cell r="D103">
            <v>142</v>
          </cell>
          <cell r="E103">
            <v>97</v>
          </cell>
        </row>
        <row r="104">
          <cell r="A104">
            <v>103</v>
          </cell>
          <cell r="C104">
            <v>32</v>
          </cell>
          <cell r="D104">
            <v>51</v>
          </cell>
          <cell r="E104">
            <v>39</v>
          </cell>
        </row>
        <row r="105">
          <cell r="A105">
            <v>104</v>
          </cell>
          <cell r="C105">
            <v>83</v>
          </cell>
          <cell r="D105">
            <v>221</v>
          </cell>
          <cell r="E105">
            <v>82</v>
          </cell>
        </row>
        <row r="106">
          <cell r="A106">
            <v>105</v>
          </cell>
          <cell r="C106">
            <v>80</v>
          </cell>
          <cell r="D106">
            <v>112</v>
          </cell>
          <cell r="E106">
            <v>28</v>
          </cell>
        </row>
        <row r="107">
          <cell r="A107">
            <v>106</v>
          </cell>
          <cell r="C107">
            <v>1</v>
          </cell>
          <cell r="D107">
            <v>94</v>
          </cell>
          <cell r="E107">
            <v>58</v>
          </cell>
        </row>
        <row r="108">
          <cell r="A108">
            <v>107</v>
          </cell>
          <cell r="C108">
            <v>68</v>
          </cell>
          <cell r="D108">
            <v>150</v>
          </cell>
          <cell r="E108">
            <v>19</v>
          </cell>
        </row>
        <row r="109">
          <cell r="A109">
            <v>108</v>
          </cell>
          <cell r="C109">
            <v>42</v>
          </cell>
          <cell r="D109">
            <v>212</v>
          </cell>
          <cell r="E109">
            <v>113</v>
          </cell>
        </row>
        <row r="110">
          <cell r="A110">
            <v>109</v>
          </cell>
          <cell r="C110">
            <v>43</v>
          </cell>
          <cell r="D110">
            <v>424</v>
          </cell>
          <cell r="E110">
            <v>155</v>
          </cell>
        </row>
        <row r="111">
          <cell r="A111">
            <v>110</v>
          </cell>
          <cell r="C111">
            <v>81</v>
          </cell>
          <cell r="D111">
            <v>47</v>
          </cell>
          <cell r="E111">
            <v>26</v>
          </cell>
        </row>
        <row r="112">
          <cell r="A112">
            <v>111</v>
          </cell>
          <cell r="C112">
            <v>24</v>
          </cell>
          <cell r="D112">
            <v>237</v>
          </cell>
          <cell r="E112">
            <v>154</v>
          </cell>
        </row>
        <row r="113">
          <cell r="A113">
            <v>112</v>
          </cell>
          <cell r="C113">
            <v>70</v>
          </cell>
          <cell r="D113">
            <v>99</v>
          </cell>
          <cell r="E113">
            <v>1</v>
          </cell>
        </row>
        <row r="114">
          <cell r="A114">
            <v>113</v>
          </cell>
          <cell r="C114">
            <v>40</v>
          </cell>
          <cell r="D114">
            <v>462</v>
          </cell>
          <cell r="E114">
            <v>68</v>
          </cell>
        </row>
        <row r="115">
          <cell r="A115">
            <v>114</v>
          </cell>
          <cell r="C115">
            <v>18</v>
          </cell>
          <cell r="D115">
            <v>141</v>
          </cell>
          <cell r="E115">
            <v>175</v>
          </cell>
        </row>
        <row r="116">
          <cell r="A116">
            <v>115</v>
          </cell>
          <cell r="C116">
            <v>35</v>
          </cell>
          <cell r="D116">
            <v>33</v>
          </cell>
          <cell r="E116">
            <v>66</v>
          </cell>
        </row>
        <row r="117">
          <cell r="A117">
            <v>116</v>
          </cell>
          <cell r="C117">
            <v>86</v>
          </cell>
          <cell r="D117">
            <v>332</v>
          </cell>
          <cell r="E117">
            <v>118</v>
          </cell>
        </row>
        <row r="118">
          <cell r="A118">
            <v>117</v>
          </cell>
          <cell r="C118">
            <v>48</v>
          </cell>
          <cell r="D118">
            <v>445</v>
          </cell>
          <cell r="E118">
            <v>85</v>
          </cell>
        </row>
        <row r="119">
          <cell r="A119">
            <v>118</v>
          </cell>
          <cell r="C119">
            <v>86</v>
          </cell>
          <cell r="D119">
            <v>445</v>
          </cell>
          <cell r="E119">
            <v>156</v>
          </cell>
        </row>
        <row r="120">
          <cell r="A120">
            <v>119</v>
          </cell>
          <cell r="C120">
            <v>37</v>
          </cell>
          <cell r="D120">
            <v>266</v>
          </cell>
          <cell r="E120">
            <v>134</v>
          </cell>
        </row>
        <row r="121">
          <cell r="A121">
            <v>120</v>
          </cell>
          <cell r="C121">
            <v>28</v>
          </cell>
          <cell r="D121">
            <v>424</v>
          </cell>
          <cell r="E121">
            <v>150</v>
          </cell>
        </row>
        <row r="122">
          <cell r="A122">
            <v>121</v>
          </cell>
          <cell r="C122">
            <v>18</v>
          </cell>
          <cell r="D122">
            <v>46</v>
          </cell>
          <cell r="E122">
            <v>51</v>
          </cell>
        </row>
        <row r="123">
          <cell r="A123">
            <v>122</v>
          </cell>
          <cell r="C123">
            <v>39</v>
          </cell>
          <cell r="D123">
            <v>220</v>
          </cell>
          <cell r="E123">
            <v>113</v>
          </cell>
        </row>
        <row r="124">
          <cell r="A124">
            <v>123</v>
          </cell>
          <cell r="C124">
            <v>7</v>
          </cell>
          <cell r="D124">
            <v>469</v>
          </cell>
          <cell r="E124">
            <v>79</v>
          </cell>
        </row>
        <row r="125">
          <cell r="A125">
            <v>124</v>
          </cell>
          <cell r="C125">
            <v>40</v>
          </cell>
          <cell r="D125">
            <v>262</v>
          </cell>
          <cell r="E125">
            <v>3</v>
          </cell>
        </row>
        <row r="126">
          <cell r="A126">
            <v>125</v>
          </cell>
          <cell r="C126">
            <v>93</v>
          </cell>
          <cell r="D126">
            <v>354</v>
          </cell>
          <cell r="E126">
            <v>171</v>
          </cell>
        </row>
        <row r="127">
          <cell r="A127">
            <v>126</v>
          </cell>
          <cell r="C127">
            <v>21</v>
          </cell>
          <cell r="D127">
            <v>52</v>
          </cell>
          <cell r="E127">
            <v>139</v>
          </cell>
        </row>
        <row r="128">
          <cell r="A128">
            <v>127</v>
          </cell>
          <cell r="C128">
            <v>23</v>
          </cell>
          <cell r="D128">
            <v>144</v>
          </cell>
          <cell r="E128">
            <v>95</v>
          </cell>
        </row>
        <row r="129">
          <cell r="A129">
            <v>128</v>
          </cell>
          <cell r="C129">
            <v>66</v>
          </cell>
          <cell r="D129">
            <v>244</v>
          </cell>
          <cell r="E129">
            <v>12</v>
          </cell>
        </row>
        <row r="130">
          <cell r="A130">
            <v>129</v>
          </cell>
          <cell r="C130">
            <v>16</v>
          </cell>
          <cell r="D130">
            <v>453</v>
          </cell>
          <cell r="E130">
            <v>106</v>
          </cell>
        </row>
        <row r="131">
          <cell r="A131">
            <v>130</v>
          </cell>
          <cell r="C131">
            <v>4</v>
          </cell>
          <cell r="D131">
            <v>14</v>
          </cell>
          <cell r="E131">
            <v>97</v>
          </cell>
        </row>
        <row r="132">
          <cell r="A132">
            <v>131</v>
          </cell>
          <cell r="C132">
            <v>85</v>
          </cell>
          <cell r="D132">
            <v>299</v>
          </cell>
          <cell r="E132">
            <v>7</v>
          </cell>
        </row>
        <row r="133">
          <cell r="A133">
            <v>132</v>
          </cell>
          <cell r="C133">
            <v>78</v>
          </cell>
          <cell r="D133">
            <v>331</v>
          </cell>
          <cell r="E133">
            <v>153</v>
          </cell>
        </row>
        <row r="134">
          <cell r="A134">
            <v>133</v>
          </cell>
          <cell r="C134">
            <v>100</v>
          </cell>
          <cell r="D134">
            <v>49</v>
          </cell>
          <cell r="E134">
            <v>178</v>
          </cell>
        </row>
        <row r="135">
          <cell r="A135">
            <v>134</v>
          </cell>
          <cell r="C135">
            <v>96</v>
          </cell>
          <cell r="D135">
            <v>72</v>
          </cell>
          <cell r="E135">
            <v>5</v>
          </cell>
        </row>
        <row r="136">
          <cell r="A136">
            <v>135</v>
          </cell>
          <cell r="C136">
            <v>38</v>
          </cell>
          <cell r="D136">
            <v>213</v>
          </cell>
          <cell r="E136">
            <v>36</v>
          </cell>
        </row>
        <row r="137">
          <cell r="A137">
            <v>136</v>
          </cell>
          <cell r="C137">
            <v>14</v>
          </cell>
          <cell r="D137">
            <v>457</v>
          </cell>
          <cell r="E137">
            <v>18</v>
          </cell>
        </row>
        <row r="138">
          <cell r="A138">
            <v>137</v>
          </cell>
          <cell r="C138">
            <v>20</v>
          </cell>
          <cell r="D138">
            <v>338</v>
          </cell>
          <cell r="E138">
            <v>85</v>
          </cell>
        </row>
        <row r="139">
          <cell r="A139">
            <v>138</v>
          </cell>
          <cell r="C139">
            <v>80</v>
          </cell>
          <cell r="D139">
            <v>168</v>
          </cell>
          <cell r="E139">
            <v>26</v>
          </cell>
        </row>
        <row r="140">
          <cell r="A140">
            <v>139</v>
          </cell>
          <cell r="C140">
            <v>98</v>
          </cell>
          <cell r="D140">
            <v>374</v>
          </cell>
          <cell r="E140">
            <v>174</v>
          </cell>
        </row>
        <row r="141">
          <cell r="A141">
            <v>140</v>
          </cell>
          <cell r="C141">
            <v>100</v>
          </cell>
          <cell r="D141">
            <v>206</v>
          </cell>
          <cell r="E141">
            <v>99</v>
          </cell>
        </row>
        <row r="142">
          <cell r="A142">
            <v>141</v>
          </cell>
          <cell r="C142">
            <v>25</v>
          </cell>
          <cell r="D142">
            <v>473</v>
          </cell>
          <cell r="E142">
            <v>94</v>
          </cell>
        </row>
        <row r="143">
          <cell r="A143">
            <v>142</v>
          </cell>
          <cell r="C143">
            <v>76</v>
          </cell>
          <cell r="D143">
            <v>298</v>
          </cell>
          <cell r="E143">
            <v>12</v>
          </cell>
        </row>
        <row r="144">
          <cell r="A144">
            <v>143</v>
          </cell>
          <cell r="C144">
            <v>73</v>
          </cell>
          <cell r="D144">
            <v>93</v>
          </cell>
          <cell r="E144">
            <v>125</v>
          </cell>
        </row>
        <row r="145">
          <cell r="A145">
            <v>144</v>
          </cell>
          <cell r="C145">
            <v>21</v>
          </cell>
          <cell r="D145">
            <v>338</v>
          </cell>
          <cell r="E145">
            <v>144</v>
          </cell>
        </row>
        <row r="146">
          <cell r="A146">
            <v>145</v>
          </cell>
          <cell r="C146">
            <v>87</v>
          </cell>
          <cell r="D146">
            <v>165</v>
          </cell>
          <cell r="E146">
            <v>80</v>
          </cell>
        </row>
        <row r="147">
          <cell r="A147">
            <v>146</v>
          </cell>
          <cell r="C147">
            <v>97</v>
          </cell>
          <cell r="D147">
            <v>414</v>
          </cell>
          <cell r="E147">
            <v>55</v>
          </cell>
        </row>
        <row r="148">
          <cell r="A148">
            <v>147</v>
          </cell>
          <cell r="C148">
            <v>3</v>
          </cell>
          <cell r="D148">
            <v>137</v>
          </cell>
          <cell r="E148">
            <v>160</v>
          </cell>
        </row>
        <row r="149">
          <cell r="A149">
            <v>148</v>
          </cell>
          <cell r="C149">
            <v>59</v>
          </cell>
          <cell r="D149">
            <v>410</v>
          </cell>
          <cell r="E149">
            <v>25</v>
          </cell>
        </row>
        <row r="150">
          <cell r="A150">
            <v>149</v>
          </cell>
          <cell r="C150">
            <v>80</v>
          </cell>
          <cell r="D150">
            <v>175</v>
          </cell>
          <cell r="E150">
            <v>54</v>
          </cell>
        </row>
        <row r="151">
          <cell r="A151">
            <v>150</v>
          </cell>
          <cell r="C151">
            <v>1</v>
          </cell>
          <cell r="D151">
            <v>324</v>
          </cell>
          <cell r="E151">
            <v>8</v>
          </cell>
        </row>
        <row r="152">
          <cell r="A152">
            <v>151</v>
          </cell>
          <cell r="C152">
            <v>68</v>
          </cell>
          <cell r="D152">
            <v>430</v>
          </cell>
          <cell r="E152">
            <v>88</v>
          </cell>
        </row>
        <row r="153">
          <cell r="A153">
            <v>152</v>
          </cell>
          <cell r="C153">
            <v>6</v>
          </cell>
          <cell r="D153">
            <v>114</v>
          </cell>
          <cell r="E153">
            <v>100</v>
          </cell>
        </row>
        <row r="154">
          <cell r="A154">
            <v>153</v>
          </cell>
          <cell r="C154">
            <v>64</v>
          </cell>
          <cell r="D154">
            <v>210</v>
          </cell>
          <cell r="E154">
            <v>36</v>
          </cell>
        </row>
        <row r="155">
          <cell r="A155">
            <v>154</v>
          </cell>
          <cell r="C155">
            <v>59</v>
          </cell>
          <cell r="D155">
            <v>141</v>
          </cell>
          <cell r="E155">
            <v>25</v>
          </cell>
        </row>
        <row r="156">
          <cell r="A156">
            <v>155</v>
          </cell>
          <cell r="C156">
            <v>31</v>
          </cell>
          <cell r="D156">
            <v>224</v>
          </cell>
          <cell r="E156">
            <v>168</v>
          </cell>
        </row>
        <row r="157">
          <cell r="A157">
            <v>156</v>
          </cell>
          <cell r="C157">
            <v>100</v>
          </cell>
          <cell r="D157">
            <v>78</v>
          </cell>
          <cell r="E157">
            <v>51</v>
          </cell>
        </row>
        <row r="158">
          <cell r="A158">
            <v>157</v>
          </cell>
          <cell r="C158">
            <v>95</v>
          </cell>
          <cell r="D158">
            <v>319</v>
          </cell>
          <cell r="E158">
            <v>112</v>
          </cell>
        </row>
        <row r="159">
          <cell r="A159">
            <v>158</v>
          </cell>
          <cell r="C159">
            <v>61</v>
          </cell>
          <cell r="D159">
            <v>63</v>
          </cell>
          <cell r="E159">
            <v>104</v>
          </cell>
        </row>
        <row r="160">
          <cell r="A160">
            <v>159</v>
          </cell>
          <cell r="C160">
            <v>63</v>
          </cell>
          <cell r="D160">
            <v>268</v>
          </cell>
          <cell r="E160">
            <v>36</v>
          </cell>
        </row>
        <row r="161">
          <cell r="A161">
            <v>160</v>
          </cell>
          <cell r="C161">
            <v>92</v>
          </cell>
          <cell r="D161">
            <v>357</v>
          </cell>
          <cell r="E161">
            <v>130</v>
          </cell>
        </row>
        <row r="162">
          <cell r="A162">
            <v>161</v>
          </cell>
          <cell r="C162">
            <v>78</v>
          </cell>
          <cell r="D162">
            <v>184</v>
          </cell>
          <cell r="E162">
            <v>117</v>
          </cell>
        </row>
        <row r="163">
          <cell r="A163">
            <v>162</v>
          </cell>
          <cell r="C163">
            <v>78</v>
          </cell>
          <cell r="D163">
            <v>440</v>
          </cell>
          <cell r="E163">
            <v>125</v>
          </cell>
        </row>
        <row r="164">
          <cell r="A164">
            <v>163</v>
          </cell>
          <cell r="C164">
            <v>63</v>
          </cell>
          <cell r="D164">
            <v>301</v>
          </cell>
          <cell r="E164">
            <v>157</v>
          </cell>
        </row>
        <row r="165">
          <cell r="A165">
            <v>164</v>
          </cell>
          <cell r="C165">
            <v>29</v>
          </cell>
          <cell r="D165">
            <v>456</v>
          </cell>
          <cell r="E165">
            <v>67</v>
          </cell>
        </row>
        <row r="166">
          <cell r="A166">
            <v>165</v>
          </cell>
          <cell r="C166">
            <v>74</v>
          </cell>
          <cell r="D166">
            <v>414</v>
          </cell>
          <cell r="E166">
            <v>51</v>
          </cell>
        </row>
        <row r="167">
          <cell r="A167">
            <v>166</v>
          </cell>
          <cell r="C167">
            <v>53</v>
          </cell>
          <cell r="D167">
            <v>187</v>
          </cell>
          <cell r="E167">
            <v>68</v>
          </cell>
        </row>
        <row r="168">
          <cell r="A168">
            <v>167</v>
          </cell>
          <cell r="C168">
            <v>55</v>
          </cell>
          <cell r="D168">
            <v>200</v>
          </cell>
          <cell r="E168">
            <v>125</v>
          </cell>
        </row>
        <row r="169">
          <cell r="A169">
            <v>168</v>
          </cell>
          <cell r="C169">
            <v>79</v>
          </cell>
          <cell r="D169">
            <v>13</v>
          </cell>
          <cell r="E169">
            <v>92</v>
          </cell>
        </row>
        <row r="170">
          <cell r="A170">
            <v>169</v>
          </cell>
          <cell r="C170">
            <v>39</v>
          </cell>
          <cell r="D170">
            <v>423</v>
          </cell>
          <cell r="E170">
            <v>33</v>
          </cell>
        </row>
        <row r="171">
          <cell r="A171">
            <v>170</v>
          </cell>
          <cell r="C171">
            <v>52</v>
          </cell>
          <cell r="D171">
            <v>361</v>
          </cell>
          <cell r="E171">
            <v>17</v>
          </cell>
        </row>
        <row r="172">
          <cell r="A172">
            <v>171</v>
          </cell>
          <cell r="C172">
            <v>98</v>
          </cell>
          <cell r="D172">
            <v>421</v>
          </cell>
          <cell r="E172">
            <v>40</v>
          </cell>
        </row>
        <row r="173">
          <cell r="A173">
            <v>172</v>
          </cell>
          <cell r="C173">
            <v>70</v>
          </cell>
          <cell r="D173">
            <v>177</v>
          </cell>
          <cell r="E173">
            <v>142</v>
          </cell>
        </row>
        <row r="174">
          <cell r="A174">
            <v>173</v>
          </cell>
          <cell r="C174">
            <v>76</v>
          </cell>
          <cell r="D174">
            <v>267</v>
          </cell>
          <cell r="E174">
            <v>156</v>
          </cell>
        </row>
        <row r="175">
          <cell r="A175">
            <v>174</v>
          </cell>
          <cell r="C175">
            <v>23</v>
          </cell>
          <cell r="D175">
            <v>333</v>
          </cell>
          <cell r="E175">
            <v>20</v>
          </cell>
        </row>
        <row r="176">
          <cell r="A176">
            <v>175</v>
          </cell>
          <cell r="C176">
            <v>65</v>
          </cell>
          <cell r="D176">
            <v>111</v>
          </cell>
          <cell r="E176">
            <v>27</v>
          </cell>
        </row>
        <row r="177">
          <cell r="A177">
            <v>176</v>
          </cell>
          <cell r="C177">
            <v>6</v>
          </cell>
          <cell r="D177">
            <v>336</v>
          </cell>
          <cell r="E177">
            <v>153</v>
          </cell>
        </row>
        <row r="178">
          <cell r="A178">
            <v>177</v>
          </cell>
          <cell r="C178">
            <v>40</v>
          </cell>
          <cell r="D178">
            <v>445</v>
          </cell>
          <cell r="E178">
            <v>46</v>
          </cell>
        </row>
        <row r="179">
          <cell r="A179">
            <v>178</v>
          </cell>
          <cell r="C179">
            <v>5</v>
          </cell>
          <cell r="D179">
            <v>449</v>
          </cell>
          <cell r="E179">
            <v>178</v>
          </cell>
        </row>
        <row r="180">
          <cell r="A180">
            <v>179</v>
          </cell>
          <cell r="C180">
            <v>27</v>
          </cell>
          <cell r="D180">
            <v>293</v>
          </cell>
          <cell r="E180">
            <v>120</v>
          </cell>
        </row>
        <row r="181">
          <cell r="A181">
            <v>180</v>
          </cell>
          <cell r="C181">
            <v>74</v>
          </cell>
          <cell r="D181">
            <v>261</v>
          </cell>
          <cell r="E181">
            <v>135</v>
          </cell>
        </row>
        <row r="182">
          <cell r="A182">
            <v>181</v>
          </cell>
          <cell r="C182">
            <v>50</v>
          </cell>
          <cell r="D182">
            <v>489</v>
          </cell>
          <cell r="E182">
            <v>24</v>
          </cell>
        </row>
        <row r="183">
          <cell r="A183">
            <v>182</v>
          </cell>
          <cell r="C183">
            <v>64</v>
          </cell>
          <cell r="D183">
            <v>445</v>
          </cell>
          <cell r="E183">
            <v>168</v>
          </cell>
        </row>
        <row r="184">
          <cell r="A184">
            <v>183</v>
          </cell>
          <cell r="C184">
            <v>48</v>
          </cell>
          <cell r="D184">
            <v>454</v>
          </cell>
          <cell r="E184">
            <v>60</v>
          </cell>
        </row>
        <row r="185">
          <cell r="A185">
            <v>184</v>
          </cell>
          <cell r="C185">
            <v>17</v>
          </cell>
          <cell r="D185">
            <v>102</v>
          </cell>
          <cell r="E185">
            <v>48</v>
          </cell>
        </row>
        <row r="186">
          <cell r="A186">
            <v>185</v>
          </cell>
          <cell r="C186">
            <v>9</v>
          </cell>
          <cell r="D186">
            <v>464</v>
          </cell>
          <cell r="E186">
            <v>34</v>
          </cell>
        </row>
        <row r="187">
          <cell r="A187">
            <v>186</v>
          </cell>
          <cell r="C187">
            <v>61</v>
          </cell>
          <cell r="D187">
            <v>23</v>
          </cell>
          <cell r="E187">
            <v>180</v>
          </cell>
        </row>
        <row r="188">
          <cell r="A188">
            <v>187</v>
          </cell>
          <cell r="C188">
            <v>57</v>
          </cell>
          <cell r="D188">
            <v>307</v>
          </cell>
          <cell r="E188">
            <v>62</v>
          </cell>
        </row>
        <row r="189">
          <cell r="A189">
            <v>188</v>
          </cell>
          <cell r="C189">
            <v>94</v>
          </cell>
          <cell r="D189">
            <v>18</v>
          </cell>
          <cell r="E189">
            <v>174</v>
          </cell>
        </row>
        <row r="190">
          <cell r="A190">
            <v>189</v>
          </cell>
          <cell r="C190">
            <v>8</v>
          </cell>
          <cell r="D190">
            <v>306</v>
          </cell>
          <cell r="E190">
            <v>108</v>
          </cell>
        </row>
        <row r="191">
          <cell r="A191">
            <v>190</v>
          </cell>
          <cell r="C191">
            <v>71</v>
          </cell>
          <cell r="D191">
            <v>245</v>
          </cell>
          <cell r="E191">
            <v>114</v>
          </cell>
        </row>
        <row r="192">
          <cell r="A192">
            <v>191</v>
          </cell>
          <cell r="C192">
            <v>17</v>
          </cell>
          <cell r="D192">
            <v>368</v>
          </cell>
          <cell r="E192">
            <v>179</v>
          </cell>
        </row>
        <row r="193">
          <cell r="A193">
            <v>192</v>
          </cell>
          <cell r="C193">
            <v>99</v>
          </cell>
          <cell r="D193">
            <v>463</v>
          </cell>
          <cell r="E193">
            <v>130</v>
          </cell>
        </row>
        <row r="194">
          <cell r="A194">
            <v>193</v>
          </cell>
          <cell r="C194">
            <v>90</v>
          </cell>
          <cell r="D194">
            <v>298</v>
          </cell>
          <cell r="E194">
            <v>15</v>
          </cell>
        </row>
        <row r="195">
          <cell r="A195">
            <v>194</v>
          </cell>
          <cell r="C195">
            <v>4</v>
          </cell>
          <cell r="D195">
            <v>369</v>
          </cell>
          <cell r="E195">
            <v>23</v>
          </cell>
        </row>
        <row r="196">
          <cell r="A196">
            <v>195</v>
          </cell>
          <cell r="C196">
            <v>98</v>
          </cell>
          <cell r="D196">
            <v>292</v>
          </cell>
          <cell r="E196">
            <v>116</v>
          </cell>
        </row>
        <row r="197">
          <cell r="A197">
            <v>196</v>
          </cell>
          <cell r="C197">
            <v>40</v>
          </cell>
          <cell r="D197">
            <v>77</v>
          </cell>
          <cell r="E197">
            <v>36</v>
          </cell>
        </row>
        <row r="198">
          <cell r="A198">
            <v>197</v>
          </cell>
          <cell r="C198">
            <v>93</v>
          </cell>
          <cell r="D198">
            <v>394</v>
          </cell>
          <cell r="E198">
            <v>161</v>
          </cell>
        </row>
        <row r="199">
          <cell r="A199">
            <v>198</v>
          </cell>
          <cell r="C199">
            <v>89</v>
          </cell>
          <cell r="D199">
            <v>411</v>
          </cell>
          <cell r="E199">
            <v>179</v>
          </cell>
        </row>
        <row r="200">
          <cell r="A200">
            <v>199</v>
          </cell>
          <cell r="C200">
            <v>4</v>
          </cell>
          <cell r="D200">
            <v>134</v>
          </cell>
          <cell r="E200">
            <v>180</v>
          </cell>
        </row>
        <row r="201">
          <cell r="A201">
            <v>200</v>
          </cell>
          <cell r="C201">
            <v>60</v>
          </cell>
          <cell r="D201">
            <v>195</v>
          </cell>
          <cell r="E201">
            <v>64</v>
          </cell>
        </row>
        <row r="202">
          <cell r="A202">
            <v>201</v>
          </cell>
          <cell r="C202">
            <v>71</v>
          </cell>
          <cell r="D202">
            <v>278</v>
          </cell>
          <cell r="E202">
            <v>123</v>
          </cell>
        </row>
        <row r="203">
          <cell r="A203">
            <v>202</v>
          </cell>
          <cell r="C203">
            <v>38</v>
          </cell>
          <cell r="D203">
            <v>457</v>
          </cell>
          <cell r="E203">
            <v>100</v>
          </cell>
        </row>
        <row r="204">
          <cell r="A204">
            <v>203</v>
          </cell>
          <cell r="C204">
            <v>21</v>
          </cell>
          <cell r="D204">
            <v>76</v>
          </cell>
          <cell r="E204">
            <v>33</v>
          </cell>
        </row>
        <row r="205">
          <cell r="A205">
            <v>204</v>
          </cell>
          <cell r="C205">
            <v>8</v>
          </cell>
          <cell r="D205">
            <v>29</v>
          </cell>
          <cell r="E205">
            <v>180</v>
          </cell>
        </row>
        <row r="206">
          <cell r="A206">
            <v>205</v>
          </cell>
          <cell r="C206">
            <v>23</v>
          </cell>
          <cell r="D206">
            <v>419</v>
          </cell>
          <cell r="E206">
            <v>172</v>
          </cell>
        </row>
        <row r="207">
          <cell r="A207">
            <v>206</v>
          </cell>
          <cell r="C207">
            <v>48</v>
          </cell>
          <cell r="D207">
            <v>88</v>
          </cell>
          <cell r="E207">
            <v>85</v>
          </cell>
        </row>
        <row r="208">
          <cell r="A208">
            <v>207</v>
          </cell>
          <cell r="C208">
            <v>42</v>
          </cell>
          <cell r="D208">
            <v>337</v>
          </cell>
          <cell r="E208">
            <v>8</v>
          </cell>
        </row>
        <row r="209">
          <cell r="A209">
            <v>208</v>
          </cell>
          <cell r="C209">
            <v>29</v>
          </cell>
          <cell r="D209">
            <v>227</v>
          </cell>
          <cell r="E209">
            <v>174</v>
          </cell>
        </row>
        <row r="210">
          <cell r="A210">
            <v>209</v>
          </cell>
          <cell r="C210">
            <v>51</v>
          </cell>
          <cell r="D210">
            <v>443</v>
          </cell>
          <cell r="E210">
            <v>47</v>
          </cell>
        </row>
        <row r="211">
          <cell r="A211">
            <v>210</v>
          </cell>
          <cell r="C211">
            <v>99</v>
          </cell>
          <cell r="D211">
            <v>11</v>
          </cell>
          <cell r="E211">
            <v>53</v>
          </cell>
        </row>
        <row r="212">
          <cell r="A212">
            <v>211</v>
          </cell>
          <cell r="C212">
            <v>99</v>
          </cell>
          <cell r="D212">
            <v>178</v>
          </cell>
          <cell r="E212">
            <v>141</v>
          </cell>
        </row>
        <row r="213">
          <cell r="A213">
            <v>212</v>
          </cell>
          <cell r="C213">
            <v>70</v>
          </cell>
          <cell r="D213">
            <v>227</v>
          </cell>
          <cell r="E213">
            <v>131</v>
          </cell>
        </row>
        <row r="214">
          <cell r="A214">
            <v>213</v>
          </cell>
          <cell r="C214">
            <v>31</v>
          </cell>
          <cell r="D214">
            <v>429</v>
          </cell>
          <cell r="E214">
            <v>38</v>
          </cell>
        </row>
        <row r="215">
          <cell r="A215">
            <v>214</v>
          </cell>
          <cell r="C215">
            <v>80</v>
          </cell>
          <cell r="D215">
            <v>221</v>
          </cell>
          <cell r="E215">
            <v>38</v>
          </cell>
        </row>
        <row r="216">
          <cell r="A216">
            <v>215</v>
          </cell>
          <cell r="C216">
            <v>37</v>
          </cell>
          <cell r="D216">
            <v>143</v>
          </cell>
          <cell r="E216">
            <v>162</v>
          </cell>
        </row>
        <row r="217">
          <cell r="A217">
            <v>216</v>
          </cell>
          <cell r="C217">
            <v>21</v>
          </cell>
          <cell r="D217">
            <v>469</v>
          </cell>
          <cell r="E217">
            <v>14</v>
          </cell>
        </row>
        <row r="218">
          <cell r="A218">
            <v>217</v>
          </cell>
          <cell r="C218">
            <v>8</v>
          </cell>
          <cell r="D218">
            <v>7</v>
          </cell>
          <cell r="E218">
            <v>20</v>
          </cell>
        </row>
        <row r="219">
          <cell r="A219">
            <v>218</v>
          </cell>
          <cell r="C219">
            <v>46</v>
          </cell>
          <cell r="D219">
            <v>426</v>
          </cell>
          <cell r="E219">
            <v>14</v>
          </cell>
        </row>
        <row r="220">
          <cell r="A220">
            <v>219</v>
          </cell>
          <cell r="C220">
            <v>20</v>
          </cell>
          <cell r="D220">
            <v>101</v>
          </cell>
          <cell r="E220">
            <v>21</v>
          </cell>
        </row>
        <row r="221">
          <cell r="A221">
            <v>220</v>
          </cell>
          <cell r="C221">
            <v>70</v>
          </cell>
          <cell r="D221">
            <v>445</v>
          </cell>
          <cell r="E221">
            <v>165</v>
          </cell>
        </row>
        <row r="222">
          <cell r="A222">
            <v>221</v>
          </cell>
          <cell r="C222">
            <v>31</v>
          </cell>
          <cell r="D222">
            <v>372</v>
          </cell>
          <cell r="E222">
            <v>22</v>
          </cell>
        </row>
        <row r="223">
          <cell r="A223">
            <v>222</v>
          </cell>
          <cell r="C223">
            <v>25</v>
          </cell>
          <cell r="D223">
            <v>333</v>
          </cell>
          <cell r="E223">
            <v>145</v>
          </cell>
        </row>
        <row r="224">
          <cell r="A224">
            <v>223</v>
          </cell>
          <cell r="C224">
            <v>55</v>
          </cell>
          <cell r="D224">
            <v>302</v>
          </cell>
          <cell r="E224">
            <v>117</v>
          </cell>
        </row>
        <row r="225">
          <cell r="A225">
            <v>224</v>
          </cell>
          <cell r="C225">
            <v>98</v>
          </cell>
          <cell r="D225">
            <v>69</v>
          </cell>
          <cell r="E225">
            <v>137</v>
          </cell>
        </row>
        <row r="226">
          <cell r="A226">
            <v>225</v>
          </cell>
          <cell r="C226">
            <v>99</v>
          </cell>
          <cell r="D226">
            <v>409</v>
          </cell>
          <cell r="E226">
            <v>104</v>
          </cell>
        </row>
        <row r="227">
          <cell r="A227">
            <v>226</v>
          </cell>
          <cell r="C227">
            <v>71</v>
          </cell>
          <cell r="D227">
            <v>318</v>
          </cell>
          <cell r="E227">
            <v>145</v>
          </cell>
        </row>
        <row r="228">
          <cell r="A228">
            <v>227</v>
          </cell>
          <cell r="C228">
            <v>41</v>
          </cell>
          <cell r="D228">
            <v>381</v>
          </cell>
          <cell r="E228">
            <v>89</v>
          </cell>
        </row>
        <row r="229">
          <cell r="A229">
            <v>228</v>
          </cell>
          <cell r="C229">
            <v>11</v>
          </cell>
          <cell r="D229">
            <v>14</v>
          </cell>
          <cell r="E229">
            <v>138</v>
          </cell>
        </row>
        <row r="230">
          <cell r="A230">
            <v>229</v>
          </cell>
          <cell r="C230">
            <v>1</v>
          </cell>
          <cell r="D230">
            <v>344</v>
          </cell>
          <cell r="E230">
            <v>44</v>
          </cell>
        </row>
        <row r="231">
          <cell r="A231">
            <v>230</v>
          </cell>
          <cell r="C231">
            <v>3</v>
          </cell>
          <cell r="D231">
            <v>338</v>
          </cell>
          <cell r="E231">
            <v>34</v>
          </cell>
        </row>
        <row r="232">
          <cell r="A232">
            <v>231</v>
          </cell>
          <cell r="C232">
            <v>32</v>
          </cell>
          <cell r="D232">
            <v>493</v>
          </cell>
          <cell r="E232">
            <v>123</v>
          </cell>
        </row>
        <row r="233">
          <cell r="A233">
            <v>232</v>
          </cell>
          <cell r="C233">
            <v>29</v>
          </cell>
          <cell r="D233">
            <v>328</v>
          </cell>
          <cell r="E233">
            <v>40</v>
          </cell>
        </row>
        <row r="234">
          <cell r="A234">
            <v>233</v>
          </cell>
          <cell r="C234">
            <v>90</v>
          </cell>
          <cell r="D234">
            <v>16</v>
          </cell>
          <cell r="E234">
            <v>156</v>
          </cell>
        </row>
        <row r="235">
          <cell r="A235">
            <v>234</v>
          </cell>
          <cell r="C235">
            <v>23</v>
          </cell>
          <cell r="D235">
            <v>156</v>
          </cell>
          <cell r="E235">
            <v>41</v>
          </cell>
        </row>
        <row r="236">
          <cell r="A236">
            <v>235</v>
          </cell>
          <cell r="C236">
            <v>4</v>
          </cell>
          <cell r="D236">
            <v>101</v>
          </cell>
          <cell r="E236">
            <v>97</v>
          </cell>
        </row>
        <row r="237">
          <cell r="A237">
            <v>236</v>
          </cell>
          <cell r="C237">
            <v>72</v>
          </cell>
          <cell r="D237">
            <v>36</v>
          </cell>
          <cell r="E237">
            <v>159</v>
          </cell>
        </row>
        <row r="238">
          <cell r="A238">
            <v>237</v>
          </cell>
          <cell r="C238">
            <v>60</v>
          </cell>
          <cell r="D238">
            <v>459</v>
          </cell>
          <cell r="E238">
            <v>64</v>
          </cell>
        </row>
        <row r="239">
          <cell r="A239">
            <v>238</v>
          </cell>
          <cell r="C239">
            <v>10</v>
          </cell>
          <cell r="D239">
            <v>444</v>
          </cell>
          <cell r="E239">
            <v>83</v>
          </cell>
        </row>
        <row r="240">
          <cell r="A240">
            <v>239</v>
          </cell>
          <cell r="C240">
            <v>9</v>
          </cell>
          <cell r="D240">
            <v>47</v>
          </cell>
          <cell r="E240">
            <v>74</v>
          </cell>
        </row>
        <row r="241">
          <cell r="A241">
            <v>240</v>
          </cell>
          <cell r="C241">
            <v>13</v>
          </cell>
          <cell r="D241">
            <v>407</v>
          </cell>
          <cell r="E241">
            <v>175</v>
          </cell>
        </row>
        <row r="242">
          <cell r="A242">
            <v>241</v>
          </cell>
          <cell r="C242">
            <v>72</v>
          </cell>
          <cell r="D242">
            <v>413</v>
          </cell>
          <cell r="E242">
            <v>140</v>
          </cell>
        </row>
        <row r="243">
          <cell r="A243">
            <v>242</v>
          </cell>
          <cell r="C243">
            <v>60</v>
          </cell>
          <cell r="D243">
            <v>384</v>
          </cell>
          <cell r="E243">
            <v>100</v>
          </cell>
        </row>
        <row r="244">
          <cell r="A244">
            <v>243</v>
          </cell>
          <cell r="C244">
            <v>77</v>
          </cell>
          <cell r="D244">
            <v>97</v>
          </cell>
          <cell r="E244">
            <v>107</v>
          </cell>
        </row>
        <row r="245">
          <cell r="A245">
            <v>244</v>
          </cell>
          <cell r="C245">
            <v>43</v>
          </cell>
          <cell r="D245">
            <v>176</v>
          </cell>
          <cell r="E245">
            <v>77</v>
          </cell>
        </row>
        <row r="246">
          <cell r="A246">
            <v>245</v>
          </cell>
          <cell r="C246">
            <v>31</v>
          </cell>
          <cell r="D246">
            <v>368</v>
          </cell>
          <cell r="E246">
            <v>74</v>
          </cell>
        </row>
        <row r="247">
          <cell r="A247">
            <v>246</v>
          </cell>
          <cell r="C247">
            <v>68</v>
          </cell>
          <cell r="D247">
            <v>147</v>
          </cell>
          <cell r="E247">
            <v>171</v>
          </cell>
        </row>
        <row r="248">
          <cell r="A248">
            <v>247</v>
          </cell>
          <cell r="C248">
            <v>99</v>
          </cell>
          <cell r="D248">
            <v>417</v>
          </cell>
          <cell r="E248">
            <v>175</v>
          </cell>
        </row>
        <row r="249">
          <cell r="A249">
            <v>248</v>
          </cell>
          <cell r="C249">
            <v>99</v>
          </cell>
          <cell r="D249">
            <v>482</v>
          </cell>
          <cell r="E249">
            <v>86</v>
          </cell>
        </row>
        <row r="250">
          <cell r="A250">
            <v>249</v>
          </cell>
          <cell r="C250">
            <v>56</v>
          </cell>
          <cell r="D250">
            <v>419</v>
          </cell>
          <cell r="E250">
            <v>109</v>
          </cell>
        </row>
        <row r="251">
          <cell r="A251">
            <v>250</v>
          </cell>
          <cell r="C251">
            <v>23</v>
          </cell>
          <cell r="D251">
            <v>368</v>
          </cell>
          <cell r="E251">
            <v>91</v>
          </cell>
        </row>
        <row r="252">
          <cell r="A252">
            <v>251</v>
          </cell>
          <cell r="C252">
            <v>2</v>
          </cell>
          <cell r="D252">
            <v>300</v>
          </cell>
          <cell r="E252">
            <v>53</v>
          </cell>
        </row>
        <row r="253">
          <cell r="A253">
            <v>252</v>
          </cell>
          <cell r="C253">
            <v>20</v>
          </cell>
          <cell r="D253">
            <v>452</v>
          </cell>
          <cell r="E253">
            <v>12</v>
          </cell>
        </row>
        <row r="254">
          <cell r="A254">
            <v>253</v>
          </cell>
          <cell r="C254">
            <v>74</v>
          </cell>
          <cell r="D254">
            <v>199</v>
          </cell>
          <cell r="E254">
            <v>177</v>
          </cell>
        </row>
        <row r="255">
          <cell r="A255">
            <v>254</v>
          </cell>
          <cell r="C255">
            <v>64</v>
          </cell>
          <cell r="D255">
            <v>230</v>
          </cell>
          <cell r="E255">
            <v>111</v>
          </cell>
        </row>
        <row r="256">
          <cell r="A256">
            <v>255</v>
          </cell>
          <cell r="C256">
            <v>80</v>
          </cell>
          <cell r="D256">
            <v>464</v>
          </cell>
          <cell r="E256">
            <v>145</v>
          </cell>
        </row>
        <row r="257">
          <cell r="A257">
            <v>256</v>
          </cell>
          <cell r="C257">
            <v>62</v>
          </cell>
          <cell r="D257">
            <v>332</v>
          </cell>
          <cell r="E257">
            <v>76</v>
          </cell>
        </row>
        <row r="258">
          <cell r="A258">
            <v>257</v>
          </cell>
          <cell r="C258">
            <v>42</v>
          </cell>
          <cell r="D258">
            <v>357</v>
          </cell>
          <cell r="E258">
            <v>6</v>
          </cell>
        </row>
        <row r="259">
          <cell r="A259">
            <v>258</v>
          </cell>
          <cell r="C259">
            <v>44</v>
          </cell>
          <cell r="D259">
            <v>242</v>
          </cell>
          <cell r="E259">
            <v>17</v>
          </cell>
        </row>
        <row r="260">
          <cell r="A260">
            <v>259</v>
          </cell>
          <cell r="C260">
            <v>36</v>
          </cell>
          <cell r="D260">
            <v>295</v>
          </cell>
          <cell r="E260">
            <v>160</v>
          </cell>
        </row>
        <row r="261">
          <cell r="A261">
            <v>260</v>
          </cell>
          <cell r="C261">
            <v>22</v>
          </cell>
          <cell r="D261">
            <v>354</v>
          </cell>
          <cell r="E261">
            <v>148</v>
          </cell>
        </row>
        <row r="262">
          <cell r="A262">
            <v>261</v>
          </cell>
          <cell r="C262">
            <v>43</v>
          </cell>
          <cell r="D262">
            <v>48</v>
          </cell>
          <cell r="E262">
            <v>42</v>
          </cell>
        </row>
        <row r="263">
          <cell r="A263">
            <v>262</v>
          </cell>
          <cell r="C263">
            <v>6</v>
          </cell>
          <cell r="D263">
            <v>481</v>
          </cell>
          <cell r="E263">
            <v>119</v>
          </cell>
        </row>
        <row r="264">
          <cell r="A264">
            <v>263</v>
          </cell>
          <cell r="C264">
            <v>28</v>
          </cell>
          <cell r="D264">
            <v>93</v>
          </cell>
          <cell r="E264">
            <v>84</v>
          </cell>
        </row>
        <row r="265">
          <cell r="A265">
            <v>264</v>
          </cell>
          <cell r="C265">
            <v>59</v>
          </cell>
          <cell r="D265">
            <v>384</v>
          </cell>
          <cell r="E265">
            <v>32</v>
          </cell>
        </row>
        <row r="266">
          <cell r="A266">
            <v>265</v>
          </cell>
          <cell r="C266">
            <v>96</v>
          </cell>
          <cell r="D266">
            <v>186</v>
          </cell>
          <cell r="E266">
            <v>98</v>
          </cell>
        </row>
        <row r="267">
          <cell r="A267">
            <v>266</v>
          </cell>
          <cell r="C267">
            <v>33</v>
          </cell>
          <cell r="D267">
            <v>267</v>
          </cell>
          <cell r="E267">
            <v>7</v>
          </cell>
        </row>
        <row r="268">
          <cell r="A268">
            <v>267</v>
          </cell>
          <cell r="C268">
            <v>21</v>
          </cell>
          <cell r="D268">
            <v>190</v>
          </cell>
          <cell r="E268">
            <v>175</v>
          </cell>
        </row>
        <row r="269">
          <cell r="A269">
            <v>268</v>
          </cell>
          <cell r="C269">
            <v>44</v>
          </cell>
          <cell r="D269">
            <v>417</v>
          </cell>
          <cell r="E269">
            <v>75</v>
          </cell>
        </row>
        <row r="270">
          <cell r="A270">
            <v>269</v>
          </cell>
          <cell r="C270">
            <v>26</v>
          </cell>
          <cell r="D270">
            <v>315</v>
          </cell>
          <cell r="E270">
            <v>44</v>
          </cell>
        </row>
        <row r="271">
          <cell r="A271">
            <v>270</v>
          </cell>
          <cell r="C271">
            <v>77</v>
          </cell>
          <cell r="D271">
            <v>379</v>
          </cell>
          <cell r="E271">
            <v>171</v>
          </cell>
        </row>
        <row r="272">
          <cell r="A272">
            <v>271</v>
          </cell>
          <cell r="C272">
            <v>55</v>
          </cell>
          <cell r="D272">
            <v>148</v>
          </cell>
          <cell r="E272">
            <v>33</v>
          </cell>
        </row>
        <row r="273">
          <cell r="A273">
            <v>272</v>
          </cell>
          <cell r="C273">
            <v>6</v>
          </cell>
          <cell r="D273">
            <v>32</v>
          </cell>
          <cell r="E273">
            <v>141</v>
          </cell>
        </row>
        <row r="274">
          <cell r="A274">
            <v>273</v>
          </cell>
          <cell r="C274">
            <v>83</v>
          </cell>
          <cell r="D274">
            <v>354</v>
          </cell>
          <cell r="E274">
            <v>101</v>
          </cell>
        </row>
        <row r="275">
          <cell r="A275">
            <v>274</v>
          </cell>
          <cell r="C275">
            <v>31</v>
          </cell>
          <cell r="D275">
            <v>102</v>
          </cell>
          <cell r="E275">
            <v>176</v>
          </cell>
        </row>
        <row r="276">
          <cell r="A276">
            <v>275</v>
          </cell>
          <cell r="C276">
            <v>65</v>
          </cell>
          <cell r="D276">
            <v>63</v>
          </cell>
          <cell r="E276">
            <v>44</v>
          </cell>
        </row>
        <row r="277">
          <cell r="A277">
            <v>276</v>
          </cell>
          <cell r="C277">
            <v>47</v>
          </cell>
          <cell r="D277">
            <v>245</v>
          </cell>
          <cell r="E277">
            <v>166</v>
          </cell>
        </row>
        <row r="278">
          <cell r="A278">
            <v>277</v>
          </cell>
          <cell r="C278">
            <v>74</v>
          </cell>
          <cell r="D278">
            <v>124</v>
          </cell>
          <cell r="E278">
            <v>24</v>
          </cell>
        </row>
        <row r="279">
          <cell r="A279">
            <v>278</v>
          </cell>
          <cell r="C279">
            <v>95</v>
          </cell>
          <cell r="D279">
            <v>221</v>
          </cell>
          <cell r="E279">
            <v>167</v>
          </cell>
        </row>
        <row r="280">
          <cell r="A280">
            <v>279</v>
          </cell>
          <cell r="C280">
            <v>70</v>
          </cell>
          <cell r="D280">
            <v>104</v>
          </cell>
          <cell r="E280">
            <v>169</v>
          </cell>
        </row>
        <row r="281">
          <cell r="A281">
            <v>280</v>
          </cell>
          <cell r="C281">
            <v>93</v>
          </cell>
          <cell r="D281">
            <v>435</v>
          </cell>
          <cell r="E281">
            <v>92</v>
          </cell>
        </row>
        <row r="282">
          <cell r="A282">
            <v>281</v>
          </cell>
          <cell r="C282">
            <v>90</v>
          </cell>
          <cell r="D282">
            <v>1</v>
          </cell>
          <cell r="E282">
            <v>80</v>
          </cell>
        </row>
        <row r="283">
          <cell r="A283">
            <v>282</v>
          </cell>
          <cell r="C283">
            <v>91</v>
          </cell>
          <cell r="D283">
            <v>197</v>
          </cell>
          <cell r="E283">
            <v>85</v>
          </cell>
        </row>
        <row r="284">
          <cell r="A284">
            <v>283</v>
          </cell>
          <cell r="C284">
            <v>71</v>
          </cell>
          <cell r="D284">
            <v>309</v>
          </cell>
          <cell r="E284">
            <v>36</v>
          </cell>
        </row>
        <row r="285">
          <cell r="A285">
            <v>284</v>
          </cell>
          <cell r="C285">
            <v>31</v>
          </cell>
          <cell r="D285">
            <v>316</v>
          </cell>
          <cell r="E285">
            <v>157</v>
          </cell>
        </row>
        <row r="286">
          <cell r="A286">
            <v>285</v>
          </cell>
          <cell r="C286">
            <v>32</v>
          </cell>
          <cell r="D286">
            <v>248</v>
          </cell>
          <cell r="E286">
            <v>117</v>
          </cell>
        </row>
        <row r="287">
          <cell r="A287">
            <v>286</v>
          </cell>
          <cell r="C287">
            <v>69</v>
          </cell>
          <cell r="D287">
            <v>335</v>
          </cell>
          <cell r="E287">
            <v>49</v>
          </cell>
        </row>
        <row r="288">
          <cell r="A288">
            <v>287</v>
          </cell>
          <cell r="C288">
            <v>6</v>
          </cell>
          <cell r="D288">
            <v>168</v>
          </cell>
          <cell r="E288">
            <v>32</v>
          </cell>
        </row>
        <row r="289">
          <cell r="A289">
            <v>288</v>
          </cell>
          <cell r="C289">
            <v>29</v>
          </cell>
          <cell r="D289">
            <v>470</v>
          </cell>
          <cell r="E289">
            <v>104</v>
          </cell>
        </row>
        <row r="290">
          <cell r="A290">
            <v>289</v>
          </cell>
          <cell r="C290">
            <v>79</v>
          </cell>
          <cell r="D290">
            <v>312</v>
          </cell>
          <cell r="E290">
            <v>61</v>
          </cell>
        </row>
        <row r="291">
          <cell r="A291">
            <v>290</v>
          </cell>
          <cell r="C291">
            <v>76</v>
          </cell>
          <cell r="D291">
            <v>36</v>
          </cell>
          <cell r="E291">
            <v>26</v>
          </cell>
        </row>
        <row r="292">
          <cell r="A292">
            <v>291</v>
          </cell>
          <cell r="C292">
            <v>82</v>
          </cell>
          <cell r="D292">
            <v>179</v>
          </cell>
          <cell r="E292">
            <v>60</v>
          </cell>
        </row>
        <row r="293">
          <cell r="A293">
            <v>292</v>
          </cell>
          <cell r="C293">
            <v>21</v>
          </cell>
          <cell r="D293">
            <v>416</v>
          </cell>
          <cell r="E293">
            <v>107</v>
          </cell>
        </row>
        <row r="294">
          <cell r="A294">
            <v>293</v>
          </cell>
          <cell r="C294">
            <v>13</v>
          </cell>
          <cell r="D294">
            <v>314</v>
          </cell>
          <cell r="E294">
            <v>71</v>
          </cell>
        </row>
        <row r="295">
          <cell r="A295">
            <v>294</v>
          </cell>
          <cell r="C295">
            <v>38</v>
          </cell>
          <cell r="D295">
            <v>52</v>
          </cell>
          <cell r="E295">
            <v>58</v>
          </cell>
        </row>
        <row r="296">
          <cell r="A296">
            <v>295</v>
          </cell>
          <cell r="C296">
            <v>67</v>
          </cell>
          <cell r="D296">
            <v>148</v>
          </cell>
          <cell r="E296">
            <v>129</v>
          </cell>
        </row>
        <row r="297">
          <cell r="A297">
            <v>296</v>
          </cell>
          <cell r="C297">
            <v>11</v>
          </cell>
          <cell r="D297">
            <v>362</v>
          </cell>
          <cell r="E297">
            <v>10</v>
          </cell>
        </row>
        <row r="298">
          <cell r="A298">
            <v>297</v>
          </cell>
          <cell r="C298">
            <v>5</v>
          </cell>
          <cell r="D298">
            <v>37</v>
          </cell>
          <cell r="E298">
            <v>161</v>
          </cell>
        </row>
        <row r="299">
          <cell r="A299">
            <v>298</v>
          </cell>
          <cell r="C299">
            <v>86</v>
          </cell>
          <cell r="D299">
            <v>23</v>
          </cell>
          <cell r="E299">
            <v>172</v>
          </cell>
        </row>
        <row r="300">
          <cell r="A300">
            <v>299</v>
          </cell>
          <cell r="C300">
            <v>33</v>
          </cell>
          <cell r="D300">
            <v>190</v>
          </cell>
          <cell r="E300">
            <v>162</v>
          </cell>
        </row>
        <row r="301">
          <cell r="A301">
            <v>300</v>
          </cell>
          <cell r="C301">
            <v>86</v>
          </cell>
          <cell r="D301">
            <v>169</v>
          </cell>
          <cell r="E301">
            <v>60</v>
          </cell>
        </row>
        <row r="302">
          <cell r="A302">
            <v>301</v>
          </cell>
          <cell r="C302">
            <v>83</v>
          </cell>
          <cell r="D302">
            <v>431</v>
          </cell>
          <cell r="E302">
            <v>44</v>
          </cell>
        </row>
        <row r="303">
          <cell r="A303">
            <v>302</v>
          </cell>
          <cell r="C303">
            <v>10</v>
          </cell>
          <cell r="D303">
            <v>367</v>
          </cell>
          <cell r="E303">
            <v>47</v>
          </cell>
        </row>
        <row r="304">
          <cell r="A304">
            <v>303</v>
          </cell>
          <cell r="C304">
            <v>84</v>
          </cell>
          <cell r="D304">
            <v>293</v>
          </cell>
          <cell r="E304">
            <v>69</v>
          </cell>
        </row>
        <row r="305">
          <cell r="A305">
            <v>304</v>
          </cell>
          <cell r="C305">
            <v>64</v>
          </cell>
          <cell r="D305">
            <v>473</v>
          </cell>
          <cell r="E305">
            <v>178</v>
          </cell>
        </row>
        <row r="306">
          <cell r="A306">
            <v>305</v>
          </cell>
          <cell r="C306">
            <v>75</v>
          </cell>
          <cell r="D306">
            <v>81</v>
          </cell>
          <cell r="E306">
            <v>110</v>
          </cell>
        </row>
        <row r="307">
          <cell r="A307">
            <v>306</v>
          </cell>
          <cell r="C307">
            <v>20</v>
          </cell>
          <cell r="D307">
            <v>24</v>
          </cell>
          <cell r="E307">
            <v>138</v>
          </cell>
        </row>
        <row r="308">
          <cell r="A308">
            <v>307</v>
          </cell>
          <cell r="C308">
            <v>59</v>
          </cell>
          <cell r="D308">
            <v>163</v>
          </cell>
          <cell r="E308">
            <v>3</v>
          </cell>
        </row>
        <row r="309">
          <cell r="A309">
            <v>308</v>
          </cell>
          <cell r="C309">
            <v>42</v>
          </cell>
          <cell r="D309">
            <v>154</v>
          </cell>
          <cell r="E309">
            <v>156</v>
          </cell>
        </row>
        <row r="310">
          <cell r="A310">
            <v>309</v>
          </cell>
          <cell r="C310">
            <v>2</v>
          </cell>
          <cell r="D310">
            <v>377</v>
          </cell>
          <cell r="E310">
            <v>49</v>
          </cell>
        </row>
        <row r="311">
          <cell r="A311">
            <v>310</v>
          </cell>
          <cell r="C311">
            <v>19</v>
          </cell>
          <cell r="D311">
            <v>153</v>
          </cell>
          <cell r="E311">
            <v>45</v>
          </cell>
        </row>
        <row r="312">
          <cell r="A312">
            <v>311</v>
          </cell>
          <cell r="C312">
            <v>74</v>
          </cell>
          <cell r="D312">
            <v>86</v>
          </cell>
          <cell r="E312">
            <v>63</v>
          </cell>
        </row>
        <row r="313">
          <cell r="A313">
            <v>312</v>
          </cell>
          <cell r="C313">
            <v>43</v>
          </cell>
          <cell r="D313">
            <v>103</v>
          </cell>
          <cell r="E313">
            <v>29</v>
          </cell>
        </row>
        <row r="314">
          <cell r="A314">
            <v>313</v>
          </cell>
          <cell r="C314">
            <v>7</v>
          </cell>
          <cell r="D314">
            <v>107</v>
          </cell>
          <cell r="E314">
            <v>108</v>
          </cell>
        </row>
        <row r="315">
          <cell r="A315">
            <v>314</v>
          </cell>
          <cell r="C315">
            <v>86</v>
          </cell>
          <cell r="D315">
            <v>62</v>
          </cell>
          <cell r="E315">
            <v>176</v>
          </cell>
        </row>
        <row r="316">
          <cell r="A316">
            <v>315</v>
          </cell>
          <cell r="C316">
            <v>54</v>
          </cell>
          <cell r="D316">
            <v>303</v>
          </cell>
          <cell r="E316">
            <v>102</v>
          </cell>
        </row>
        <row r="317">
          <cell r="A317">
            <v>316</v>
          </cell>
          <cell r="C317">
            <v>13</v>
          </cell>
          <cell r="D317">
            <v>21</v>
          </cell>
          <cell r="E317">
            <v>50</v>
          </cell>
        </row>
        <row r="318">
          <cell r="A318">
            <v>317</v>
          </cell>
          <cell r="C318">
            <v>30</v>
          </cell>
          <cell r="D318">
            <v>62</v>
          </cell>
          <cell r="E318">
            <v>157</v>
          </cell>
        </row>
        <row r="319">
          <cell r="A319">
            <v>318</v>
          </cell>
          <cell r="C319">
            <v>11</v>
          </cell>
          <cell r="D319">
            <v>400</v>
          </cell>
          <cell r="E319">
            <v>56</v>
          </cell>
        </row>
        <row r="320">
          <cell r="A320">
            <v>319</v>
          </cell>
          <cell r="C320">
            <v>13</v>
          </cell>
          <cell r="D320">
            <v>140</v>
          </cell>
          <cell r="E320">
            <v>21</v>
          </cell>
        </row>
        <row r="321">
          <cell r="A321">
            <v>320</v>
          </cell>
          <cell r="C321">
            <v>60</v>
          </cell>
          <cell r="D321">
            <v>8</v>
          </cell>
          <cell r="E321">
            <v>91</v>
          </cell>
        </row>
        <row r="322">
          <cell r="A322">
            <v>321</v>
          </cell>
          <cell r="C322">
            <v>69</v>
          </cell>
          <cell r="D322">
            <v>149</v>
          </cell>
          <cell r="E322">
            <v>117</v>
          </cell>
        </row>
        <row r="323">
          <cell r="A323">
            <v>322</v>
          </cell>
          <cell r="C323">
            <v>41</v>
          </cell>
          <cell r="D323">
            <v>481</v>
          </cell>
          <cell r="E323">
            <v>114</v>
          </cell>
        </row>
        <row r="324">
          <cell r="A324">
            <v>323</v>
          </cell>
          <cell r="C324">
            <v>19</v>
          </cell>
          <cell r="D324">
            <v>158</v>
          </cell>
          <cell r="E324">
            <v>153</v>
          </cell>
        </row>
        <row r="325">
          <cell r="A325">
            <v>324</v>
          </cell>
          <cell r="C325">
            <v>4</v>
          </cell>
          <cell r="D325">
            <v>260</v>
          </cell>
          <cell r="E325">
            <v>136</v>
          </cell>
        </row>
        <row r="326">
          <cell r="A326">
            <v>325</v>
          </cell>
          <cell r="C326">
            <v>4</v>
          </cell>
          <cell r="D326">
            <v>116</v>
          </cell>
          <cell r="E326">
            <v>53</v>
          </cell>
        </row>
        <row r="327">
          <cell r="A327">
            <v>326</v>
          </cell>
          <cell r="C327">
            <v>36</v>
          </cell>
          <cell r="D327">
            <v>221</v>
          </cell>
          <cell r="E327">
            <v>73</v>
          </cell>
        </row>
        <row r="328">
          <cell r="A328">
            <v>327</v>
          </cell>
          <cell r="C328">
            <v>70</v>
          </cell>
          <cell r="D328">
            <v>245</v>
          </cell>
          <cell r="E328">
            <v>151</v>
          </cell>
        </row>
        <row r="329">
          <cell r="A329">
            <v>328</v>
          </cell>
          <cell r="C329">
            <v>53</v>
          </cell>
          <cell r="D329">
            <v>324</v>
          </cell>
          <cell r="E329">
            <v>47</v>
          </cell>
        </row>
        <row r="330">
          <cell r="A330">
            <v>329</v>
          </cell>
          <cell r="C330">
            <v>60</v>
          </cell>
          <cell r="D330">
            <v>359</v>
          </cell>
          <cell r="E330">
            <v>125</v>
          </cell>
        </row>
        <row r="331">
          <cell r="A331">
            <v>330</v>
          </cell>
          <cell r="C331">
            <v>85</v>
          </cell>
          <cell r="D331">
            <v>44</v>
          </cell>
          <cell r="E331">
            <v>62</v>
          </cell>
        </row>
        <row r="332">
          <cell r="A332">
            <v>331</v>
          </cell>
          <cell r="C332">
            <v>92</v>
          </cell>
          <cell r="D332">
            <v>136</v>
          </cell>
          <cell r="E332">
            <v>65</v>
          </cell>
        </row>
        <row r="333">
          <cell r="A333">
            <v>332</v>
          </cell>
          <cell r="C333">
            <v>6</v>
          </cell>
          <cell r="D333">
            <v>143</v>
          </cell>
          <cell r="E333">
            <v>113</v>
          </cell>
        </row>
        <row r="334">
          <cell r="A334">
            <v>333</v>
          </cell>
          <cell r="C334">
            <v>38</v>
          </cell>
          <cell r="D334">
            <v>100</v>
          </cell>
          <cell r="E334">
            <v>164</v>
          </cell>
        </row>
        <row r="335">
          <cell r="A335">
            <v>334</v>
          </cell>
          <cell r="C335">
            <v>2</v>
          </cell>
          <cell r="D335">
            <v>453</v>
          </cell>
          <cell r="E335">
            <v>71</v>
          </cell>
        </row>
        <row r="336">
          <cell r="A336">
            <v>335</v>
          </cell>
          <cell r="C336">
            <v>31</v>
          </cell>
          <cell r="D336">
            <v>309</v>
          </cell>
          <cell r="E336">
            <v>158</v>
          </cell>
        </row>
        <row r="337">
          <cell r="A337">
            <v>336</v>
          </cell>
          <cell r="C337">
            <v>20</v>
          </cell>
          <cell r="D337">
            <v>380</v>
          </cell>
          <cell r="E337">
            <v>71</v>
          </cell>
        </row>
        <row r="338">
          <cell r="A338">
            <v>337</v>
          </cell>
          <cell r="C338">
            <v>18</v>
          </cell>
          <cell r="D338">
            <v>458</v>
          </cell>
          <cell r="E338">
            <v>67</v>
          </cell>
        </row>
        <row r="339">
          <cell r="A339">
            <v>338</v>
          </cell>
          <cell r="C339">
            <v>18</v>
          </cell>
          <cell r="D339">
            <v>386</v>
          </cell>
          <cell r="E339">
            <v>122</v>
          </cell>
        </row>
        <row r="340">
          <cell r="A340">
            <v>339</v>
          </cell>
          <cell r="C340">
            <v>90</v>
          </cell>
          <cell r="D340">
            <v>314</v>
          </cell>
          <cell r="E340">
            <v>104</v>
          </cell>
        </row>
        <row r="341">
          <cell r="A341">
            <v>340</v>
          </cell>
          <cell r="C341">
            <v>67</v>
          </cell>
          <cell r="D341">
            <v>10</v>
          </cell>
          <cell r="E341">
            <v>8</v>
          </cell>
        </row>
        <row r="342">
          <cell r="A342">
            <v>341</v>
          </cell>
          <cell r="C342">
            <v>90</v>
          </cell>
          <cell r="D342">
            <v>278</v>
          </cell>
          <cell r="E342">
            <v>88</v>
          </cell>
        </row>
        <row r="343">
          <cell r="A343">
            <v>342</v>
          </cell>
          <cell r="C343">
            <v>62</v>
          </cell>
          <cell r="D343">
            <v>496</v>
          </cell>
          <cell r="E343">
            <v>39</v>
          </cell>
        </row>
        <row r="344">
          <cell r="A344">
            <v>343</v>
          </cell>
          <cell r="C344">
            <v>2</v>
          </cell>
          <cell r="D344">
            <v>85</v>
          </cell>
          <cell r="E344">
            <v>99</v>
          </cell>
        </row>
        <row r="345">
          <cell r="A345">
            <v>344</v>
          </cell>
          <cell r="C345">
            <v>57</v>
          </cell>
          <cell r="D345">
            <v>142</v>
          </cell>
          <cell r="E345">
            <v>141</v>
          </cell>
        </row>
        <row r="346">
          <cell r="A346">
            <v>345</v>
          </cell>
          <cell r="C346">
            <v>43</v>
          </cell>
          <cell r="D346">
            <v>257</v>
          </cell>
          <cell r="E346">
            <v>9</v>
          </cell>
        </row>
        <row r="347">
          <cell r="A347">
            <v>346</v>
          </cell>
          <cell r="C347">
            <v>52</v>
          </cell>
          <cell r="D347">
            <v>484</v>
          </cell>
          <cell r="E347">
            <v>109</v>
          </cell>
        </row>
        <row r="348">
          <cell r="A348">
            <v>347</v>
          </cell>
          <cell r="C348">
            <v>28</v>
          </cell>
          <cell r="D348">
            <v>220</v>
          </cell>
          <cell r="E348">
            <v>29</v>
          </cell>
        </row>
        <row r="349">
          <cell r="A349">
            <v>348</v>
          </cell>
          <cell r="C349">
            <v>89</v>
          </cell>
          <cell r="D349">
            <v>267</v>
          </cell>
          <cell r="E349">
            <v>162</v>
          </cell>
        </row>
        <row r="350">
          <cell r="A350">
            <v>349</v>
          </cell>
          <cell r="C350">
            <v>81</v>
          </cell>
          <cell r="D350">
            <v>409</v>
          </cell>
          <cell r="E350">
            <v>97</v>
          </cell>
        </row>
        <row r="351">
          <cell r="A351">
            <v>350</v>
          </cell>
          <cell r="C351">
            <v>57</v>
          </cell>
          <cell r="D351">
            <v>31</v>
          </cell>
          <cell r="E351">
            <v>91</v>
          </cell>
        </row>
        <row r="352">
          <cell r="A352">
            <v>351</v>
          </cell>
          <cell r="C352">
            <v>1</v>
          </cell>
          <cell r="D352">
            <v>214</v>
          </cell>
          <cell r="E352">
            <v>154</v>
          </cell>
        </row>
        <row r="353">
          <cell r="A353">
            <v>352</v>
          </cell>
          <cell r="C353">
            <v>4</v>
          </cell>
          <cell r="D353">
            <v>464</v>
          </cell>
          <cell r="E353">
            <v>133</v>
          </cell>
        </row>
        <row r="354">
          <cell r="A354">
            <v>353</v>
          </cell>
          <cell r="C354">
            <v>49</v>
          </cell>
          <cell r="D354">
            <v>340</v>
          </cell>
          <cell r="E354">
            <v>166</v>
          </cell>
        </row>
        <row r="355">
          <cell r="A355">
            <v>354</v>
          </cell>
          <cell r="C355">
            <v>85</v>
          </cell>
          <cell r="D355">
            <v>198</v>
          </cell>
          <cell r="E355">
            <v>46</v>
          </cell>
        </row>
        <row r="356">
          <cell r="A356">
            <v>355</v>
          </cell>
          <cell r="C356">
            <v>30</v>
          </cell>
          <cell r="D356">
            <v>57</v>
          </cell>
          <cell r="E356">
            <v>19</v>
          </cell>
        </row>
        <row r="357">
          <cell r="A357">
            <v>356</v>
          </cell>
          <cell r="C357">
            <v>38</v>
          </cell>
          <cell r="D357">
            <v>388</v>
          </cell>
          <cell r="E357">
            <v>153</v>
          </cell>
        </row>
        <row r="358">
          <cell r="A358">
            <v>357</v>
          </cell>
          <cell r="C358">
            <v>64</v>
          </cell>
          <cell r="D358">
            <v>118</v>
          </cell>
          <cell r="E358">
            <v>52</v>
          </cell>
        </row>
        <row r="359">
          <cell r="A359">
            <v>358</v>
          </cell>
          <cell r="C359">
            <v>35</v>
          </cell>
          <cell r="D359">
            <v>264</v>
          </cell>
          <cell r="E359">
            <v>72</v>
          </cell>
        </row>
        <row r="360">
          <cell r="A360">
            <v>359</v>
          </cell>
          <cell r="C360">
            <v>75</v>
          </cell>
          <cell r="D360">
            <v>485</v>
          </cell>
          <cell r="E360">
            <v>139</v>
          </cell>
        </row>
        <row r="361">
          <cell r="A361">
            <v>360</v>
          </cell>
          <cell r="C361">
            <v>98</v>
          </cell>
          <cell r="D361">
            <v>86</v>
          </cell>
          <cell r="E361">
            <v>125</v>
          </cell>
        </row>
        <row r="362">
          <cell r="A362">
            <v>361</v>
          </cell>
          <cell r="C362">
            <v>10</v>
          </cell>
          <cell r="D362">
            <v>124</v>
          </cell>
          <cell r="E362">
            <v>117</v>
          </cell>
        </row>
        <row r="363">
          <cell r="A363">
            <v>362</v>
          </cell>
          <cell r="C363">
            <v>38</v>
          </cell>
          <cell r="D363">
            <v>373</v>
          </cell>
          <cell r="E363">
            <v>81</v>
          </cell>
        </row>
        <row r="364">
          <cell r="A364">
            <v>363</v>
          </cell>
          <cell r="C364">
            <v>72</v>
          </cell>
          <cell r="D364">
            <v>459</v>
          </cell>
          <cell r="E364">
            <v>85</v>
          </cell>
        </row>
        <row r="365">
          <cell r="A365">
            <v>364</v>
          </cell>
          <cell r="C365">
            <v>7</v>
          </cell>
          <cell r="D365">
            <v>401</v>
          </cell>
          <cell r="E365">
            <v>41</v>
          </cell>
        </row>
        <row r="366">
          <cell r="A366">
            <v>365</v>
          </cell>
          <cell r="C366">
            <v>75</v>
          </cell>
          <cell r="D366">
            <v>409</v>
          </cell>
          <cell r="E366">
            <v>92</v>
          </cell>
        </row>
        <row r="367">
          <cell r="A367">
            <v>366</v>
          </cell>
          <cell r="C367">
            <v>60</v>
          </cell>
          <cell r="D367">
            <v>303</v>
          </cell>
          <cell r="E367">
            <v>99</v>
          </cell>
        </row>
        <row r="368">
          <cell r="A368">
            <v>367</v>
          </cell>
          <cell r="C368">
            <v>65</v>
          </cell>
          <cell r="D368">
            <v>126</v>
          </cell>
          <cell r="E368">
            <v>18</v>
          </cell>
        </row>
        <row r="369">
          <cell r="A369">
            <v>368</v>
          </cell>
          <cell r="C369">
            <v>92</v>
          </cell>
          <cell r="D369">
            <v>485</v>
          </cell>
          <cell r="E369">
            <v>47</v>
          </cell>
        </row>
        <row r="370">
          <cell r="A370">
            <v>369</v>
          </cell>
          <cell r="C370">
            <v>29</v>
          </cell>
          <cell r="D370">
            <v>410</v>
          </cell>
          <cell r="E370">
            <v>48</v>
          </cell>
        </row>
        <row r="371">
          <cell r="A371">
            <v>370</v>
          </cell>
          <cell r="C371">
            <v>74</v>
          </cell>
          <cell r="D371">
            <v>277</v>
          </cell>
          <cell r="E371">
            <v>103</v>
          </cell>
        </row>
        <row r="372">
          <cell r="A372">
            <v>371</v>
          </cell>
          <cell r="C372">
            <v>70</v>
          </cell>
          <cell r="D372">
            <v>488</v>
          </cell>
          <cell r="E372">
            <v>163</v>
          </cell>
        </row>
        <row r="373">
          <cell r="A373">
            <v>372</v>
          </cell>
          <cell r="C373">
            <v>80</v>
          </cell>
          <cell r="D373">
            <v>103</v>
          </cell>
          <cell r="E373">
            <v>51</v>
          </cell>
        </row>
        <row r="374">
          <cell r="A374">
            <v>373</v>
          </cell>
          <cell r="C374">
            <v>33</v>
          </cell>
          <cell r="D374">
            <v>435</v>
          </cell>
          <cell r="E374">
            <v>155</v>
          </cell>
        </row>
        <row r="375">
          <cell r="A375">
            <v>374</v>
          </cell>
          <cell r="C375">
            <v>51</v>
          </cell>
          <cell r="D375">
            <v>491</v>
          </cell>
          <cell r="E375">
            <v>45</v>
          </cell>
        </row>
        <row r="376">
          <cell r="A376">
            <v>375</v>
          </cell>
          <cell r="C376">
            <v>100</v>
          </cell>
          <cell r="D376">
            <v>157</v>
          </cell>
          <cell r="E376">
            <v>151</v>
          </cell>
        </row>
        <row r="377">
          <cell r="A377">
            <v>376</v>
          </cell>
          <cell r="C377">
            <v>72</v>
          </cell>
          <cell r="D377">
            <v>373</v>
          </cell>
          <cell r="E377">
            <v>20</v>
          </cell>
        </row>
        <row r="378">
          <cell r="A378">
            <v>377</v>
          </cell>
          <cell r="C378">
            <v>94</v>
          </cell>
          <cell r="D378">
            <v>448</v>
          </cell>
          <cell r="E378">
            <v>22</v>
          </cell>
        </row>
        <row r="379">
          <cell r="A379">
            <v>378</v>
          </cell>
          <cell r="C379">
            <v>34</v>
          </cell>
          <cell r="D379">
            <v>220</v>
          </cell>
          <cell r="E379">
            <v>70</v>
          </cell>
        </row>
        <row r="380">
          <cell r="A380">
            <v>379</v>
          </cell>
          <cell r="C380">
            <v>43</v>
          </cell>
          <cell r="D380">
            <v>324</v>
          </cell>
          <cell r="E380">
            <v>127</v>
          </cell>
        </row>
        <row r="381">
          <cell r="A381">
            <v>380</v>
          </cell>
          <cell r="C381">
            <v>89</v>
          </cell>
          <cell r="D381">
            <v>487</v>
          </cell>
          <cell r="E381">
            <v>94</v>
          </cell>
        </row>
        <row r="382">
          <cell r="A382">
            <v>381</v>
          </cell>
          <cell r="C382">
            <v>14</v>
          </cell>
          <cell r="D382">
            <v>76</v>
          </cell>
          <cell r="E382">
            <v>156</v>
          </cell>
        </row>
        <row r="383">
          <cell r="A383">
            <v>382</v>
          </cell>
          <cell r="C383">
            <v>58</v>
          </cell>
          <cell r="D383">
            <v>113</v>
          </cell>
          <cell r="E383">
            <v>1</v>
          </cell>
        </row>
        <row r="384">
          <cell r="A384">
            <v>383</v>
          </cell>
          <cell r="C384">
            <v>18</v>
          </cell>
          <cell r="D384">
            <v>32</v>
          </cell>
          <cell r="E384">
            <v>150</v>
          </cell>
        </row>
        <row r="385">
          <cell r="A385">
            <v>384</v>
          </cell>
          <cell r="C385">
            <v>87</v>
          </cell>
          <cell r="D385">
            <v>344</v>
          </cell>
          <cell r="E385">
            <v>104</v>
          </cell>
        </row>
        <row r="386">
          <cell r="A386">
            <v>385</v>
          </cell>
          <cell r="C386">
            <v>57</v>
          </cell>
          <cell r="D386">
            <v>419</v>
          </cell>
          <cell r="E386">
            <v>134</v>
          </cell>
        </row>
        <row r="387">
          <cell r="A387">
            <v>386</v>
          </cell>
          <cell r="C387">
            <v>97</v>
          </cell>
          <cell r="D387">
            <v>108</v>
          </cell>
          <cell r="E387">
            <v>21</v>
          </cell>
        </row>
        <row r="388">
          <cell r="A388">
            <v>387</v>
          </cell>
          <cell r="C388">
            <v>53</v>
          </cell>
          <cell r="D388">
            <v>460</v>
          </cell>
          <cell r="E388">
            <v>30</v>
          </cell>
        </row>
        <row r="389">
          <cell r="A389">
            <v>388</v>
          </cell>
          <cell r="C389">
            <v>38</v>
          </cell>
          <cell r="D389">
            <v>243</v>
          </cell>
          <cell r="E389">
            <v>24</v>
          </cell>
        </row>
        <row r="390">
          <cell r="A390">
            <v>389</v>
          </cell>
          <cell r="C390">
            <v>17</v>
          </cell>
          <cell r="D390">
            <v>496</v>
          </cell>
          <cell r="E390">
            <v>104</v>
          </cell>
        </row>
        <row r="391">
          <cell r="A391">
            <v>390</v>
          </cell>
          <cell r="C391">
            <v>24</v>
          </cell>
          <cell r="D391">
            <v>68</v>
          </cell>
          <cell r="E391">
            <v>15</v>
          </cell>
        </row>
        <row r="392">
          <cell r="A392">
            <v>391</v>
          </cell>
          <cell r="C392">
            <v>18</v>
          </cell>
          <cell r="D392">
            <v>192</v>
          </cell>
          <cell r="E392">
            <v>143</v>
          </cell>
        </row>
        <row r="393">
          <cell r="A393">
            <v>392</v>
          </cell>
          <cell r="C393">
            <v>37</v>
          </cell>
          <cell r="D393">
            <v>27</v>
          </cell>
          <cell r="E393">
            <v>164</v>
          </cell>
        </row>
        <row r="394">
          <cell r="A394">
            <v>393</v>
          </cell>
          <cell r="C394">
            <v>38</v>
          </cell>
          <cell r="D394">
            <v>111</v>
          </cell>
          <cell r="E394">
            <v>86</v>
          </cell>
        </row>
        <row r="395">
          <cell r="A395">
            <v>394</v>
          </cell>
          <cell r="C395">
            <v>98</v>
          </cell>
          <cell r="D395">
            <v>26</v>
          </cell>
          <cell r="E395">
            <v>3</v>
          </cell>
        </row>
        <row r="396">
          <cell r="A396">
            <v>395</v>
          </cell>
          <cell r="C396">
            <v>72</v>
          </cell>
          <cell r="D396">
            <v>418</v>
          </cell>
          <cell r="E396">
            <v>144</v>
          </cell>
        </row>
        <row r="397">
          <cell r="A397">
            <v>396</v>
          </cell>
          <cell r="C397">
            <v>33</v>
          </cell>
          <cell r="D397">
            <v>77</v>
          </cell>
          <cell r="E397">
            <v>129</v>
          </cell>
        </row>
        <row r="398">
          <cell r="A398">
            <v>397</v>
          </cell>
          <cell r="C398">
            <v>47</v>
          </cell>
          <cell r="D398">
            <v>9</v>
          </cell>
          <cell r="E398">
            <v>92</v>
          </cell>
        </row>
        <row r="399">
          <cell r="A399">
            <v>398</v>
          </cell>
          <cell r="C399">
            <v>72</v>
          </cell>
          <cell r="D399">
            <v>446</v>
          </cell>
          <cell r="E399">
            <v>69</v>
          </cell>
        </row>
        <row r="400">
          <cell r="A400">
            <v>399</v>
          </cell>
          <cell r="C400">
            <v>42</v>
          </cell>
          <cell r="D400">
            <v>285</v>
          </cell>
          <cell r="E400">
            <v>124</v>
          </cell>
        </row>
        <row r="401">
          <cell r="A401">
            <v>400</v>
          </cell>
          <cell r="C401">
            <v>97</v>
          </cell>
          <cell r="D401">
            <v>283</v>
          </cell>
          <cell r="E401">
            <v>50</v>
          </cell>
        </row>
        <row r="402">
          <cell r="A402">
            <v>401</v>
          </cell>
          <cell r="C402">
            <v>1</v>
          </cell>
          <cell r="D402">
            <v>77</v>
          </cell>
          <cell r="E402">
            <v>19</v>
          </cell>
        </row>
        <row r="403">
          <cell r="A403">
            <v>402</v>
          </cell>
          <cell r="C403">
            <v>89</v>
          </cell>
          <cell r="D403">
            <v>148</v>
          </cell>
          <cell r="E403">
            <v>103</v>
          </cell>
        </row>
        <row r="404">
          <cell r="A404">
            <v>403</v>
          </cell>
          <cell r="C404">
            <v>49</v>
          </cell>
          <cell r="D404">
            <v>294</v>
          </cell>
          <cell r="E404">
            <v>53</v>
          </cell>
        </row>
        <row r="405">
          <cell r="A405">
            <v>404</v>
          </cell>
          <cell r="C405">
            <v>24</v>
          </cell>
          <cell r="D405">
            <v>352</v>
          </cell>
          <cell r="E405">
            <v>10</v>
          </cell>
        </row>
        <row r="406">
          <cell r="A406">
            <v>405</v>
          </cell>
          <cell r="C406">
            <v>65</v>
          </cell>
          <cell r="D406">
            <v>332</v>
          </cell>
          <cell r="E406">
            <v>104</v>
          </cell>
        </row>
        <row r="407">
          <cell r="A407">
            <v>406</v>
          </cell>
          <cell r="C407">
            <v>64</v>
          </cell>
          <cell r="D407">
            <v>244</v>
          </cell>
          <cell r="E407">
            <v>80</v>
          </cell>
        </row>
        <row r="408">
          <cell r="A408">
            <v>407</v>
          </cell>
          <cell r="C408">
            <v>15</v>
          </cell>
          <cell r="D408">
            <v>248</v>
          </cell>
          <cell r="E408">
            <v>87</v>
          </cell>
        </row>
        <row r="409">
          <cell r="A409">
            <v>408</v>
          </cell>
          <cell r="C409">
            <v>44</v>
          </cell>
          <cell r="D409">
            <v>52</v>
          </cell>
          <cell r="E409">
            <v>70</v>
          </cell>
        </row>
        <row r="410">
          <cell r="A410">
            <v>409</v>
          </cell>
          <cell r="C410">
            <v>26</v>
          </cell>
          <cell r="D410">
            <v>10</v>
          </cell>
          <cell r="E410">
            <v>105</v>
          </cell>
        </row>
        <row r="411">
          <cell r="A411">
            <v>410</v>
          </cell>
          <cell r="C411">
            <v>12</v>
          </cell>
          <cell r="D411">
            <v>256</v>
          </cell>
          <cell r="E411">
            <v>51</v>
          </cell>
        </row>
        <row r="412">
          <cell r="A412">
            <v>411</v>
          </cell>
          <cell r="C412">
            <v>79</v>
          </cell>
          <cell r="D412">
            <v>434</v>
          </cell>
          <cell r="E412">
            <v>96</v>
          </cell>
        </row>
        <row r="413">
          <cell r="A413">
            <v>412</v>
          </cell>
          <cell r="C413">
            <v>18</v>
          </cell>
          <cell r="D413">
            <v>252</v>
          </cell>
          <cell r="E413">
            <v>18</v>
          </cell>
        </row>
        <row r="414">
          <cell r="A414">
            <v>413</v>
          </cell>
          <cell r="C414">
            <v>91</v>
          </cell>
          <cell r="D414">
            <v>192</v>
          </cell>
          <cell r="E414">
            <v>55</v>
          </cell>
        </row>
        <row r="415">
          <cell r="A415">
            <v>414</v>
          </cell>
          <cell r="C415">
            <v>70</v>
          </cell>
          <cell r="D415">
            <v>321</v>
          </cell>
          <cell r="E415">
            <v>9</v>
          </cell>
        </row>
        <row r="416">
          <cell r="A416">
            <v>415</v>
          </cell>
          <cell r="C416">
            <v>26</v>
          </cell>
          <cell r="D416">
            <v>385</v>
          </cell>
          <cell r="E416">
            <v>81</v>
          </cell>
        </row>
        <row r="417">
          <cell r="A417">
            <v>416</v>
          </cell>
          <cell r="C417">
            <v>31</v>
          </cell>
          <cell r="D417">
            <v>117</v>
          </cell>
          <cell r="E417">
            <v>97</v>
          </cell>
        </row>
        <row r="418">
          <cell r="A418">
            <v>417</v>
          </cell>
          <cell r="C418">
            <v>91</v>
          </cell>
          <cell r="D418">
            <v>191</v>
          </cell>
          <cell r="E418">
            <v>77</v>
          </cell>
        </row>
        <row r="419">
          <cell r="A419">
            <v>418</v>
          </cell>
          <cell r="C419">
            <v>55</v>
          </cell>
          <cell r="D419">
            <v>40</v>
          </cell>
          <cell r="E419">
            <v>146</v>
          </cell>
        </row>
        <row r="420">
          <cell r="A420">
            <v>419</v>
          </cell>
          <cell r="C420">
            <v>98</v>
          </cell>
          <cell r="D420">
            <v>224</v>
          </cell>
          <cell r="E420">
            <v>176</v>
          </cell>
        </row>
        <row r="421">
          <cell r="A421">
            <v>420</v>
          </cell>
          <cell r="C421">
            <v>42</v>
          </cell>
          <cell r="D421">
            <v>89</v>
          </cell>
          <cell r="E421">
            <v>134</v>
          </cell>
        </row>
        <row r="422">
          <cell r="A422">
            <v>421</v>
          </cell>
          <cell r="C422">
            <v>7</v>
          </cell>
          <cell r="D422">
            <v>95</v>
          </cell>
          <cell r="E422">
            <v>155</v>
          </cell>
        </row>
        <row r="423">
          <cell r="A423">
            <v>422</v>
          </cell>
          <cell r="C423">
            <v>72</v>
          </cell>
          <cell r="D423">
            <v>336</v>
          </cell>
          <cell r="E423">
            <v>63</v>
          </cell>
        </row>
        <row r="424">
          <cell r="A424">
            <v>423</v>
          </cell>
          <cell r="C424">
            <v>48</v>
          </cell>
          <cell r="D424">
            <v>213</v>
          </cell>
          <cell r="E424">
            <v>14</v>
          </cell>
        </row>
        <row r="425">
          <cell r="A425">
            <v>424</v>
          </cell>
          <cell r="C425">
            <v>10</v>
          </cell>
          <cell r="D425">
            <v>96</v>
          </cell>
          <cell r="E425">
            <v>100</v>
          </cell>
        </row>
        <row r="426">
          <cell r="A426">
            <v>425</v>
          </cell>
          <cell r="C426">
            <v>42</v>
          </cell>
          <cell r="D426">
            <v>161</v>
          </cell>
          <cell r="E426">
            <v>102</v>
          </cell>
        </row>
        <row r="427">
          <cell r="A427">
            <v>426</v>
          </cell>
          <cell r="C427">
            <v>53</v>
          </cell>
          <cell r="D427">
            <v>244</v>
          </cell>
          <cell r="E427">
            <v>22</v>
          </cell>
        </row>
        <row r="428">
          <cell r="A428">
            <v>427</v>
          </cell>
          <cell r="C428">
            <v>11</v>
          </cell>
          <cell r="D428">
            <v>25</v>
          </cell>
          <cell r="E428">
            <v>158</v>
          </cell>
        </row>
        <row r="429">
          <cell r="A429">
            <v>428</v>
          </cell>
          <cell r="C429">
            <v>52</v>
          </cell>
          <cell r="D429">
            <v>228</v>
          </cell>
          <cell r="E429">
            <v>104</v>
          </cell>
        </row>
        <row r="430">
          <cell r="A430">
            <v>429</v>
          </cell>
          <cell r="C430">
            <v>67</v>
          </cell>
          <cell r="D430">
            <v>470</v>
          </cell>
          <cell r="E430">
            <v>127</v>
          </cell>
        </row>
        <row r="431">
          <cell r="A431">
            <v>430</v>
          </cell>
          <cell r="C431">
            <v>47</v>
          </cell>
          <cell r="D431">
            <v>243</v>
          </cell>
          <cell r="E431">
            <v>133</v>
          </cell>
        </row>
        <row r="432">
          <cell r="A432">
            <v>431</v>
          </cell>
          <cell r="C432">
            <v>98</v>
          </cell>
          <cell r="D432">
            <v>418</v>
          </cell>
          <cell r="E432">
            <v>66</v>
          </cell>
        </row>
        <row r="433">
          <cell r="A433">
            <v>432</v>
          </cell>
          <cell r="C433">
            <v>7</v>
          </cell>
          <cell r="D433">
            <v>174</v>
          </cell>
          <cell r="E433">
            <v>44</v>
          </cell>
        </row>
        <row r="434">
          <cell r="A434">
            <v>433</v>
          </cell>
          <cell r="C434">
            <v>66</v>
          </cell>
          <cell r="D434">
            <v>59</v>
          </cell>
          <cell r="E434">
            <v>143</v>
          </cell>
        </row>
        <row r="435">
          <cell r="A435">
            <v>434</v>
          </cell>
          <cell r="C435">
            <v>92</v>
          </cell>
          <cell r="D435">
            <v>329</v>
          </cell>
          <cell r="E435">
            <v>13</v>
          </cell>
        </row>
        <row r="436">
          <cell r="A436">
            <v>435</v>
          </cell>
          <cell r="C436">
            <v>57</v>
          </cell>
          <cell r="D436">
            <v>373</v>
          </cell>
          <cell r="E436">
            <v>35</v>
          </cell>
        </row>
        <row r="437">
          <cell r="A437">
            <v>436</v>
          </cell>
          <cell r="C437">
            <v>65</v>
          </cell>
          <cell r="D437">
            <v>51</v>
          </cell>
          <cell r="E437">
            <v>171</v>
          </cell>
        </row>
        <row r="438">
          <cell r="A438">
            <v>437</v>
          </cell>
          <cell r="C438">
            <v>4</v>
          </cell>
          <cell r="D438">
            <v>426</v>
          </cell>
          <cell r="E438">
            <v>107</v>
          </cell>
        </row>
        <row r="439">
          <cell r="A439">
            <v>438</v>
          </cell>
          <cell r="C439">
            <v>18</v>
          </cell>
          <cell r="D439">
            <v>170</v>
          </cell>
          <cell r="E439">
            <v>51</v>
          </cell>
        </row>
        <row r="440">
          <cell r="A440">
            <v>439</v>
          </cell>
          <cell r="C440">
            <v>17</v>
          </cell>
          <cell r="D440">
            <v>1</v>
          </cell>
          <cell r="E440">
            <v>98</v>
          </cell>
        </row>
        <row r="441">
          <cell r="A441">
            <v>440</v>
          </cell>
          <cell r="C441">
            <v>31</v>
          </cell>
          <cell r="D441">
            <v>138</v>
          </cell>
          <cell r="E441">
            <v>63</v>
          </cell>
        </row>
        <row r="442">
          <cell r="A442">
            <v>441</v>
          </cell>
          <cell r="C442">
            <v>82</v>
          </cell>
          <cell r="D442">
            <v>219</v>
          </cell>
          <cell r="E442">
            <v>168</v>
          </cell>
        </row>
        <row r="443">
          <cell r="A443">
            <v>442</v>
          </cell>
          <cell r="C443">
            <v>86</v>
          </cell>
          <cell r="D443">
            <v>392</v>
          </cell>
          <cell r="E443">
            <v>32</v>
          </cell>
        </row>
        <row r="444">
          <cell r="A444">
            <v>443</v>
          </cell>
          <cell r="C444">
            <v>43</v>
          </cell>
          <cell r="D444">
            <v>125</v>
          </cell>
          <cell r="E444">
            <v>86</v>
          </cell>
        </row>
        <row r="445">
          <cell r="A445">
            <v>444</v>
          </cell>
          <cell r="C445">
            <v>65</v>
          </cell>
          <cell r="D445">
            <v>232</v>
          </cell>
          <cell r="E445">
            <v>48</v>
          </cell>
        </row>
        <row r="446">
          <cell r="A446">
            <v>445</v>
          </cell>
          <cell r="C446">
            <v>40</v>
          </cell>
          <cell r="D446">
            <v>145</v>
          </cell>
          <cell r="E446">
            <v>163</v>
          </cell>
        </row>
        <row r="447">
          <cell r="A447">
            <v>446</v>
          </cell>
          <cell r="C447">
            <v>82</v>
          </cell>
          <cell r="D447">
            <v>134</v>
          </cell>
          <cell r="E447">
            <v>98</v>
          </cell>
        </row>
        <row r="448">
          <cell r="A448">
            <v>447</v>
          </cell>
          <cell r="C448">
            <v>89</v>
          </cell>
          <cell r="D448">
            <v>447</v>
          </cell>
          <cell r="E448">
            <v>171</v>
          </cell>
        </row>
        <row r="449">
          <cell r="A449">
            <v>448</v>
          </cell>
          <cell r="C449">
            <v>57</v>
          </cell>
          <cell r="D449">
            <v>393</v>
          </cell>
          <cell r="E449">
            <v>9</v>
          </cell>
        </row>
        <row r="450">
          <cell r="A450">
            <v>449</v>
          </cell>
          <cell r="C450">
            <v>29</v>
          </cell>
          <cell r="D450">
            <v>200</v>
          </cell>
          <cell r="E450">
            <v>68</v>
          </cell>
        </row>
        <row r="451">
          <cell r="A451">
            <v>450</v>
          </cell>
          <cell r="C451">
            <v>75</v>
          </cell>
          <cell r="D451">
            <v>157</v>
          </cell>
          <cell r="E451">
            <v>70</v>
          </cell>
        </row>
        <row r="452">
          <cell r="A452">
            <v>451</v>
          </cell>
          <cell r="C452">
            <v>95</v>
          </cell>
          <cell r="D452">
            <v>445</v>
          </cell>
          <cell r="E452">
            <v>48</v>
          </cell>
        </row>
        <row r="453">
          <cell r="A453">
            <v>452</v>
          </cell>
          <cell r="C453">
            <v>8</v>
          </cell>
          <cell r="D453">
            <v>208</v>
          </cell>
          <cell r="E453">
            <v>45</v>
          </cell>
        </row>
        <row r="454">
          <cell r="A454">
            <v>453</v>
          </cell>
          <cell r="C454">
            <v>82</v>
          </cell>
          <cell r="D454">
            <v>25</v>
          </cell>
          <cell r="E454">
            <v>113</v>
          </cell>
        </row>
        <row r="455">
          <cell r="A455">
            <v>454</v>
          </cell>
          <cell r="C455">
            <v>15</v>
          </cell>
          <cell r="D455">
            <v>44</v>
          </cell>
          <cell r="E455">
            <v>52</v>
          </cell>
        </row>
        <row r="456">
          <cell r="A456">
            <v>455</v>
          </cell>
          <cell r="C456">
            <v>94</v>
          </cell>
          <cell r="D456">
            <v>355</v>
          </cell>
          <cell r="E456">
            <v>150</v>
          </cell>
        </row>
        <row r="457">
          <cell r="A457">
            <v>456</v>
          </cell>
          <cell r="C457">
            <v>41</v>
          </cell>
          <cell r="D457">
            <v>99</v>
          </cell>
          <cell r="E457">
            <v>120</v>
          </cell>
        </row>
        <row r="458">
          <cell r="A458">
            <v>457</v>
          </cell>
          <cell r="C458">
            <v>47</v>
          </cell>
          <cell r="D458">
            <v>492</v>
          </cell>
          <cell r="E458">
            <v>40</v>
          </cell>
        </row>
        <row r="459">
          <cell r="A459">
            <v>458</v>
          </cell>
          <cell r="C459">
            <v>98</v>
          </cell>
          <cell r="D459">
            <v>257</v>
          </cell>
          <cell r="E459">
            <v>152</v>
          </cell>
        </row>
        <row r="460">
          <cell r="A460">
            <v>459</v>
          </cell>
          <cell r="C460">
            <v>60</v>
          </cell>
          <cell r="D460">
            <v>88</v>
          </cell>
          <cell r="E460">
            <v>4</v>
          </cell>
        </row>
        <row r="461">
          <cell r="A461">
            <v>460</v>
          </cell>
          <cell r="C461">
            <v>38</v>
          </cell>
          <cell r="D461">
            <v>494</v>
          </cell>
          <cell r="E461">
            <v>135</v>
          </cell>
        </row>
        <row r="462">
          <cell r="A462">
            <v>461</v>
          </cell>
          <cell r="C462">
            <v>87</v>
          </cell>
          <cell r="D462">
            <v>169</v>
          </cell>
          <cell r="E462">
            <v>106</v>
          </cell>
        </row>
        <row r="463">
          <cell r="A463">
            <v>462</v>
          </cell>
          <cell r="C463">
            <v>63</v>
          </cell>
          <cell r="D463">
            <v>160</v>
          </cell>
          <cell r="E463">
            <v>96</v>
          </cell>
        </row>
        <row r="464">
          <cell r="A464">
            <v>463</v>
          </cell>
          <cell r="C464">
            <v>14</v>
          </cell>
          <cell r="D464">
            <v>118</v>
          </cell>
          <cell r="E464">
            <v>158</v>
          </cell>
        </row>
        <row r="465">
          <cell r="A465">
            <v>464</v>
          </cell>
          <cell r="C465">
            <v>52</v>
          </cell>
          <cell r="D465">
            <v>437</v>
          </cell>
          <cell r="E465">
            <v>24</v>
          </cell>
        </row>
        <row r="466">
          <cell r="A466">
            <v>465</v>
          </cell>
          <cell r="C466">
            <v>38</v>
          </cell>
          <cell r="D466">
            <v>287</v>
          </cell>
          <cell r="E466">
            <v>134</v>
          </cell>
        </row>
        <row r="467">
          <cell r="A467">
            <v>466</v>
          </cell>
          <cell r="C467">
            <v>4</v>
          </cell>
          <cell r="D467">
            <v>7</v>
          </cell>
          <cell r="E467">
            <v>75</v>
          </cell>
        </row>
        <row r="468">
          <cell r="A468">
            <v>467</v>
          </cell>
          <cell r="C468">
            <v>6</v>
          </cell>
          <cell r="D468">
            <v>447</v>
          </cell>
          <cell r="E468">
            <v>86</v>
          </cell>
        </row>
        <row r="469">
          <cell r="A469">
            <v>468</v>
          </cell>
          <cell r="C469">
            <v>73</v>
          </cell>
          <cell r="D469">
            <v>392</v>
          </cell>
          <cell r="E469">
            <v>87</v>
          </cell>
        </row>
        <row r="470">
          <cell r="A470">
            <v>469</v>
          </cell>
          <cell r="C470">
            <v>59</v>
          </cell>
          <cell r="D470">
            <v>140</v>
          </cell>
          <cell r="E470">
            <v>46</v>
          </cell>
        </row>
        <row r="471">
          <cell r="A471">
            <v>470</v>
          </cell>
          <cell r="C471">
            <v>31</v>
          </cell>
          <cell r="D471">
            <v>434</v>
          </cell>
          <cell r="E471">
            <v>116</v>
          </cell>
        </row>
        <row r="472">
          <cell r="A472">
            <v>471</v>
          </cell>
          <cell r="C472">
            <v>98</v>
          </cell>
          <cell r="D472">
            <v>422</v>
          </cell>
          <cell r="E472">
            <v>174</v>
          </cell>
        </row>
        <row r="473">
          <cell r="A473">
            <v>472</v>
          </cell>
          <cell r="C473">
            <v>45</v>
          </cell>
          <cell r="D473">
            <v>273</v>
          </cell>
          <cell r="E473">
            <v>56</v>
          </cell>
        </row>
        <row r="474">
          <cell r="A474">
            <v>473</v>
          </cell>
          <cell r="C474">
            <v>74</v>
          </cell>
          <cell r="D474">
            <v>139</v>
          </cell>
          <cell r="E474">
            <v>21</v>
          </cell>
        </row>
        <row r="475">
          <cell r="A475">
            <v>474</v>
          </cell>
          <cell r="C475">
            <v>96</v>
          </cell>
          <cell r="D475">
            <v>280</v>
          </cell>
          <cell r="E475">
            <v>156</v>
          </cell>
        </row>
        <row r="476">
          <cell r="A476">
            <v>475</v>
          </cell>
          <cell r="C476">
            <v>53</v>
          </cell>
          <cell r="D476">
            <v>36</v>
          </cell>
          <cell r="E476">
            <v>173</v>
          </cell>
        </row>
        <row r="477">
          <cell r="A477">
            <v>476</v>
          </cell>
          <cell r="C477">
            <v>13</v>
          </cell>
          <cell r="D477">
            <v>167</v>
          </cell>
          <cell r="E477">
            <v>138</v>
          </cell>
        </row>
        <row r="478">
          <cell r="A478">
            <v>477</v>
          </cell>
          <cell r="C478">
            <v>39</v>
          </cell>
          <cell r="D478">
            <v>79</v>
          </cell>
          <cell r="E478">
            <v>128</v>
          </cell>
        </row>
        <row r="479">
          <cell r="A479">
            <v>478</v>
          </cell>
          <cell r="C479">
            <v>38</v>
          </cell>
          <cell r="D479">
            <v>10</v>
          </cell>
          <cell r="E479">
            <v>32</v>
          </cell>
        </row>
        <row r="480">
          <cell r="A480">
            <v>479</v>
          </cell>
          <cell r="C480">
            <v>35</v>
          </cell>
          <cell r="D480">
            <v>496</v>
          </cell>
          <cell r="E480">
            <v>156</v>
          </cell>
        </row>
        <row r="481">
          <cell r="A481">
            <v>480</v>
          </cell>
          <cell r="C481">
            <v>80</v>
          </cell>
          <cell r="D481">
            <v>399</v>
          </cell>
          <cell r="E481">
            <v>66</v>
          </cell>
        </row>
        <row r="482">
          <cell r="A482">
            <v>481</v>
          </cell>
          <cell r="C482">
            <v>68</v>
          </cell>
          <cell r="D482">
            <v>82</v>
          </cell>
          <cell r="E482">
            <v>79</v>
          </cell>
        </row>
        <row r="483">
          <cell r="A483">
            <v>482</v>
          </cell>
          <cell r="C483">
            <v>60</v>
          </cell>
          <cell r="D483">
            <v>30</v>
          </cell>
          <cell r="E483">
            <v>61</v>
          </cell>
        </row>
        <row r="484">
          <cell r="A484">
            <v>483</v>
          </cell>
          <cell r="C484">
            <v>5</v>
          </cell>
          <cell r="D484">
            <v>440</v>
          </cell>
          <cell r="E484">
            <v>120</v>
          </cell>
        </row>
        <row r="485">
          <cell r="A485">
            <v>484</v>
          </cell>
          <cell r="C485">
            <v>4</v>
          </cell>
          <cell r="D485">
            <v>249</v>
          </cell>
          <cell r="E485">
            <v>80</v>
          </cell>
        </row>
        <row r="486">
          <cell r="A486">
            <v>485</v>
          </cell>
          <cell r="C486">
            <v>35</v>
          </cell>
          <cell r="D486">
            <v>402</v>
          </cell>
          <cell r="E486">
            <v>93</v>
          </cell>
        </row>
        <row r="487">
          <cell r="A487">
            <v>486</v>
          </cell>
          <cell r="C487">
            <v>8</v>
          </cell>
          <cell r="D487">
            <v>144</v>
          </cell>
          <cell r="E487">
            <v>132</v>
          </cell>
        </row>
        <row r="488">
          <cell r="A488">
            <v>487</v>
          </cell>
          <cell r="C488">
            <v>12</v>
          </cell>
          <cell r="D488">
            <v>33</v>
          </cell>
          <cell r="E488">
            <v>77</v>
          </cell>
        </row>
        <row r="489">
          <cell r="A489">
            <v>488</v>
          </cell>
          <cell r="C489">
            <v>48</v>
          </cell>
          <cell r="D489">
            <v>269</v>
          </cell>
          <cell r="E489">
            <v>35</v>
          </cell>
        </row>
        <row r="490">
          <cell r="A490">
            <v>489</v>
          </cell>
          <cell r="C490">
            <v>50</v>
          </cell>
          <cell r="D490">
            <v>229</v>
          </cell>
          <cell r="E490">
            <v>95</v>
          </cell>
        </row>
        <row r="491">
          <cell r="A491">
            <v>490</v>
          </cell>
          <cell r="C491">
            <v>88</v>
          </cell>
          <cell r="D491">
            <v>384</v>
          </cell>
          <cell r="E491">
            <v>104</v>
          </cell>
        </row>
        <row r="492">
          <cell r="A492">
            <v>491</v>
          </cell>
          <cell r="C492">
            <v>85</v>
          </cell>
          <cell r="D492">
            <v>146</v>
          </cell>
          <cell r="E492">
            <v>79</v>
          </cell>
        </row>
        <row r="493">
          <cell r="A493">
            <v>492</v>
          </cell>
          <cell r="C493">
            <v>89</v>
          </cell>
          <cell r="D493">
            <v>452</v>
          </cell>
          <cell r="E493">
            <v>81</v>
          </cell>
        </row>
        <row r="494">
          <cell r="A494">
            <v>493</v>
          </cell>
          <cell r="C494">
            <v>52</v>
          </cell>
          <cell r="D494">
            <v>188</v>
          </cell>
          <cell r="E494">
            <v>73</v>
          </cell>
        </row>
        <row r="495">
          <cell r="A495">
            <v>494</v>
          </cell>
          <cell r="C495">
            <v>71</v>
          </cell>
          <cell r="D495">
            <v>399</v>
          </cell>
          <cell r="E495">
            <v>29</v>
          </cell>
        </row>
        <row r="496">
          <cell r="A496">
            <v>495</v>
          </cell>
          <cell r="C496">
            <v>22</v>
          </cell>
          <cell r="D496">
            <v>464</v>
          </cell>
          <cell r="E496">
            <v>53</v>
          </cell>
        </row>
        <row r="497">
          <cell r="A497">
            <v>496</v>
          </cell>
          <cell r="C497">
            <v>56</v>
          </cell>
          <cell r="D497">
            <v>191</v>
          </cell>
          <cell r="E497">
            <v>138</v>
          </cell>
        </row>
        <row r="498">
          <cell r="A498">
            <v>497</v>
          </cell>
          <cell r="C498">
            <v>58</v>
          </cell>
          <cell r="D498">
            <v>43</v>
          </cell>
          <cell r="E498">
            <v>78</v>
          </cell>
        </row>
        <row r="499">
          <cell r="A499">
            <v>498</v>
          </cell>
          <cell r="C499">
            <v>12</v>
          </cell>
          <cell r="D499">
            <v>31</v>
          </cell>
          <cell r="E499">
            <v>43</v>
          </cell>
        </row>
        <row r="500">
          <cell r="A500">
            <v>499</v>
          </cell>
          <cell r="C500">
            <v>21</v>
          </cell>
          <cell r="D500">
            <v>94</v>
          </cell>
          <cell r="E500">
            <v>19</v>
          </cell>
        </row>
        <row r="501">
          <cell r="A501">
            <v>500</v>
          </cell>
          <cell r="C501">
            <v>42</v>
          </cell>
          <cell r="D501">
            <v>496</v>
          </cell>
          <cell r="E501">
            <v>15</v>
          </cell>
        </row>
      </sheetData>
      <sheetData sheetId="9">
        <row r="2">
          <cell r="C2">
            <v>32</v>
          </cell>
          <cell r="D2">
            <v>95</v>
          </cell>
          <cell r="F2">
            <v>2</v>
          </cell>
          <cell r="G2">
            <v>54</v>
          </cell>
          <cell r="J2">
            <v>108</v>
          </cell>
          <cell r="K2">
            <v>75</v>
          </cell>
          <cell r="U2">
            <v>73</v>
          </cell>
        </row>
        <row r="3">
          <cell r="C3">
            <v>192</v>
          </cell>
          <cell r="D3">
            <v>90</v>
          </cell>
          <cell r="F3">
            <v>2</v>
          </cell>
          <cell r="G3">
            <v>106</v>
          </cell>
          <cell r="J3">
            <v>212</v>
          </cell>
          <cell r="K3">
            <v>17</v>
          </cell>
          <cell r="U3">
            <v>255</v>
          </cell>
        </row>
        <row r="4">
          <cell r="C4">
            <v>168</v>
          </cell>
          <cell r="D4">
            <v>41</v>
          </cell>
          <cell r="F4">
            <v>1</v>
          </cell>
          <cell r="G4">
            <v>339</v>
          </cell>
          <cell r="J4">
            <v>339</v>
          </cell>
          <cell r="K4">
            <v>19</v>
          </cell>
          <cell r="U4">
            <v>459</v>
          </cell>
        </row>
        <row r="5">
          <cell r="C5">
            <v>106</v>
          </cell>
          <cell r="D5">
            <v>41</v>
          </cell>
          <cell r="F5">
            <v>4</v>
          </cell>
          <cell r="G5">
            <v>381</v>
          </cell>
          <cell r="J5">
            <v>1524</v>
          </cell>
          <cell r="K5">
            <v>19</v>
          </cell>
          <cell r="U5">
            <v>459</v>
          </cell>
        </row>
        <row r="6">
          <cell r="C6">
            <v>85</v>
          </cell>
          <cell r="D6">
            <v>17</v>
          </cell>
          <cell r="F6">
            <v>4</v>
          </cell>
          <cell r="G6">
            <v>211</v>
          </cell>
          <cell r="J6">
            <v>844</v>
          </cell>
          <cell r="K6">
            <v>1</v>
          </cell>
          <cell r="U6">
            <v>55</v>
          </cell>
        </row>
        <row r="7">
          <cell r="C7">
            <v>94</v>
          </cell>
          <cell r="D7">
            <v>78</v>
          </cell>
          <cell r="F7">
            <v>4</v>
          </cell>
          <cell r="G7">
            <v>196</v>
          </cell>
          <cell r="J7">
            <v>784</v>
          </cell>
          <cell r="K7">
            <v>41</v>
          </cell>
          <cell r="U7">
            <v>88</v>
          </cell>
        </row>
        <row r="8">
          <cell r="C8">
            <v>98</v>
          </cell>
          <cell r="D8">
            <v>36</v>
          </cell>
          <cell r="F8">
            <v>5</v>
          </cell>
          <cell r="G8">
            <v>98</v>
          </cell>
          <cell r="J8">
            <v>490</v>
          </cell>
          <cell r="K8">
            <v>52</v>
          </cell>
          <cell r="U8">
            <v>467</v>
          </cell>
        </row>
        <row r="9">
          <cell r="C9">
            <v>5</v>
          </cell>
          <cell r="D9">
            <v>42</v>
          </cell>
          <cell r="F9">
            <v>1</v>
          </cell>
          <cell r="G9">
            <v>479</v>
          </cell>
          <cell r="J9">
            <v>479</v>
          </cell>
          <cell r="K9">
            <v>108</v>
          </cell>
          <cell r="U9">
            <v>77</v>
          </cell>
        </row>
        <row r="10">
          <cell r="C10">
            <v>124</v>
          </cell>
          <cell r="D10">
            <v>92</v>
          </cell>
          <cell r="F10">
            <v>3</v>
          </cell>
          <cell r="G10">
            <v>377</v>
          </cell>
          <cell r="J10">
            <v>1131</v>
          </cell>
          <cell r="K10">
            <v>160</v>
          </cell>
          <cell r="U10">
            <v>55</v>
          </cell>
        </row>
        <row r="11">
          <cell r="C11">
            <v>47</v>
          </cell>
          <cell r="D11">
            <v>44</v>
          </cell>
          <cell r="F11">
            <v>3</v>
          </cell>
          <cell r="G11">
            <v>249</v>
          </cell>
          <cell r="J11">
            <v>747</v>
          </cell>
          <cell r="K11">
            <v>72</v>
          </cell>
          <cell r="U11">
            <v>181</v>
          </cell>
        </row>
        <row r="12">
          <cell r="C12">
            <v>84</v>
          </cell>
          <cell r="D12">
            <v>43</v>
          </cell>
          <cell r="F12">
            <v>4</v>
          </cell>
          <cell r="G12">
            <v>24</v>
          </cell>
          <cell r="J12">
            <v>96</v>
          </cell>
          <cell r="K12">
            <v>34</v>
          </cell>
          <cell r="U12">
            <v>293</v>
          </cell>
        </row>
        <row r="13">
          <cell r="C13">
            <v>158</v>
          </cell>
          <cell r="D13">
            <v>70</v>
          </cell>
          <cell r="F13">
            <v>2</v>
          </cell>
          <cell r="G13">
            <v>470</v>
          </cell>
          <cell r="J13">
            <v>940</v>
          </cell>
          <cell r="K13">
            <v>33</v>
          </cell>
          <cell r="U13">
            <v>308</v>
          </cell>
        </row>
        <row r="14">
          <cell r="C14">
            <v>11</v>
          </cell>
          <cell r="D14">
            <v>8</v>
          </cell>
          <cell r="F14">
            <v>5</v>
          </cell>
          <cell r="G14">
            <v>134</v>
          </cell>
          <cell r="J14">
            <v>670</v>
          </cell>
          <cell r="K14">
            <v>67</v>
          </cell>
          <cell r="U14">
            <v>293</v>
          </cell>
        </row>
        <row r="15">
          <cell r="C15">
            <v>88</v>
          </cell>
          <cell r="D15">
            <v>61</v>
          </cell>
          <cell r="F15">
            <v>5</v>
          </cell>
          <cell r="G15">
            <v>378</v>
          </cell>
          <cell r="J15">
            <v>1890</v>
          </cell>
          <cell r="K15">
            <v>92</v>
          </cell>
          <cell r="U15">
            <v>360</v>
          </cell>
        </row>
        <row r="16">
          <cell r="C16">
            <v>170</v>
          </cell>
          <cell r="D16">
            <v>26</v>
          </cell>
          <cell r="F16">
            <v>4</v>
          </cell>
          <cell r="G16">
            <v>330</v>
          </cell>
          <cell r="J16">
            <v>1320</v>
          </cell>
          <cell r="K16">
            <v>11</v>
          </cell>
          <cell r="U16">
            <v>462</v>
          </cell>
        </row>
        <row r="17">
          <cell r="C17">
            <v>134</v>
          </cell>
          <cell r="D17">
            <v>47</v>
          </cell>
          <cell r="F17">
            <v>4</v>
          </cell>
          <cell r="G17">
            <v>94</v>
          </cell>
          <cell r="J17">
            <v>376</v>
          </cell>
          <cell r="K17">
            <v>276</v>
          </cell>
          <cell r="U17">
            <v>441</v>
          </cell>
        </row>
        <row r="18">
          <cell r="C18">
            <v>89</v>
          </cell>
          <cell r="D18">
            <v>47</v>
          </cell>
          <cell r="F18">
            <v>1</v>
          </cell>
          <cell r="G18">
            <v>445</v>
          </cell>
          <cell r="J18">
            <v>445</v>
          </cell>
          <cell r="K18">
            <v>276</v>
          </cell>
          <cell r="U18">
            <v>441</v>
          </cell>
        </row>
        <row r="19">
          <cell r="C19">
            <v>62</v>
          </cell>
          <cell r="D19">
            <v>40</v>
          </cell>
          <cell r="F19">
            <v>1</v>
          </cell>
          <cell r="G19">
            <v>490</v>
          </cell>
          <cell r="J19">
            <v>490</v>
          </cell>
          <cell r="K19">
            <v>113</v>
          </cell>
          <cell r="U19">
            <v>184</v>
          </cell>
        </row>
        <row r="20">
          <cell r="C20">
            <v>179</v>
          </cell>
          <cell r="D20">
            <v>7</v>
          </cell>
          <cell r="F20">
            <v>2</v>
          </cell>
          <cell r="G20">
            <v>103</v>
          </cell>
          <cell r="J20">
            <v>206</v>
          </cell>
          <cell r="K20">
            <v>32</v>
          </cell>
          <cell r="U20">
            <v>65</v>
          </cell>
        </row>
        <row r="21">
          <cell r="C21">
            <v>106</v>
          </cell>
          <cell r="D21">
            <v>55</v>
          </cell>
          <cell r="F21">
            <v>4</v>
          </cell>
          <cell r="G21">
            <v>106</v>
          </cell>
          <cell r="J21">
            <v>424</v>
          </cell>
          <cell r="K21">
            <v>167</v>
          </cell>
          <cell r="U21">
            <v>454</v>
          </cell>
        </row>
        <row r="22">
          <cell r="C22">
            <v>90</v>
          </cell>
          <cell r="D22">
            <v>52</v>
          </cell>
          <cell r="F22">
            <v>1</v>
          </cell>
          <cell r="G22">
            <v>352</v>
          </cell>
          <cell r="J22">
            <v>352</v>
          </cell>
          <cell r="K22">
            <v>2</v>
          </cell>
          <cell r="U22">
            <v>257</v>
          </cell>
        </row>
        <row r="23">
          <cell r="C23">
            <v>108</v>
          </cell>
          <cell r="D23">
            <v>49</v>
          </cell>
          <cell r="F23">
            <v>5</v>
          </cell>
          <cell r="G23">
            <v>126</v>
          </cell>
          <cell r="J23">
            <v>630</v>
          </cell>
          <cell r="K23">
            <v>4</v>
          </cell>
          <cell r="U23">
            <v>117</v>
          </cell>
        </row>
        <row r="24">
          <cell r="C24">
            <v>156</v>
          </cell>
          <cell r="D24">
            <v>81</v>
          </cell>
          <cell r="F24">
            <v>1</v>
          </cell>
          <cell r="G24">
            <v>304</v>
          </cell>
          <cell r="J24">
            <v>304</v>
          </cell>
          <cell r="K24">
            <v>80</v>
          </cell>
          <cell r="U24">
            <v>262</v>
          </cell>
        </row>
        <row r="25">
          <cell r="C25">
            <v>26</v>
          </cell>
          <cell r="D25">
            <v>71</v>
          </cell>
          <cell r="F25">
            <v>1</v>
          </cell>
          <cell r="G25">
            <v>283</v>
          </cell>
          <cell r="J25">
            <v>283</v>
          </cell>
          <cell r="K25">
            <v>30</v>
          </cell>
          <cell r="U25">
            <v>389</v>
          </cell>
        </row>
        <row r="26">
          <cell r="C26">
            <v>181</v>
          </cell>
          <cell r="D26">
            <v>51</v>
          </cell>
          <cell r="F26">
            <v>2</v>
          </cell>
          <cell r="G26">
            <v>79</v>
          </cell>
          <cell r="J26">
            <v>158</v>
          </cell>
          <cell r="K26">
            <v>55</v>
          </cell>
          <cell r="U26">
            <v>27</v>
          </cell>
        </row>
        <row r="27">
          <cell r="C27">
            <v>180</v>
          </cell>
          <cell r="D27">
            <v>41</v>
          </cell>
          <cell r="F27">
            <v>1</v>
          </cell>
          <cell r="G27">
            <v>130</v>
          </cell>
          <cell r="J27">
            <v>130</v>
          </cell>
          <cell r="K27">
            <v>19</v>
          </cell>
          <cell r="U27">
            <v>459</v>
          </cell>
        </row>
        <row r="28">
          <cell r="C28">
            <v>77</v>
          </cell>
          <cell r="D28">
            <v>13</v>
          </cell>
          <cell r="F28">
            <v>3</v>
          </cell>
          <cell r="G28">
            <v>146</v>
          </cell>
          <cell r="J28">
            <v>438</v>
          </cell>
          <cell r="K28">
            <v>37</v>
          </cell>
          <cell r="U28">
            <v>34</v>
          </cell>
        </row>
        <row r="29">
          <cell r="C29">
            <v>112</v>
          </cell>
          <cell r="D29">
            <v>46</v>
          </cell>
          <cell r="F29">
            <v>4</v>
          </cell>
          <cell r="G29">
            <v>99</v>
          </cell>
          <cell r="J29">
            <v>396</v>
          </cell>
          <cell r="K29">
            <v>218</v>
          </cell>
          <cell r="U29">
            <v>56</v>
          </cell>
        </row>
        <row r="30">
          <cell r="C30">
            <v>8</v>
          </cell>
          <cell r="D30">
            <v>25</v>
          </cell>
          <cell r="F30">
            <v>4</v>
          </cell>
          <cell r="G30">
            <v>419</v>
          </cell>
          <cell r="J30">
            <v>1676</v>
          </cell>
          <cell r="K30">
            <v>85</v>
          </cell>
          <cell r="U30">
            <v>212</v>
          </cell>
        </row>
        <row r="31">
          <cell r="C31">
            <v>90</v>
          </cell>
          <cell r="D31">
            <v>37</v>
          </cell>
          <cell r="F31">
            <v>2</v>
          </cell>
          <cell r="G31">
            <v>125</v>
          </cell>
          <cell r="J31">
            <v>250</v>
          </cell>
          <cell r="K31">
            <v>23</v>
          </cell>
          <cell r="U31">
            <v>210</v>
          </cell>
        </row>
        <row r="32">
          <cell r="C32">
            <v>151</v>
          </cell>
          <cell r="D32">
            <v>92</v>
          </cell>
          <cell r="F32">
            <v>2</v>
          </cell>
          <cell r="G32">
            <v>103</v>
          </cell>
          <cell r="J32">
            <v>206</v>
          </cell>
          <cell r="K32">
            <v>160</v>
          </cell>
          <cell r="U32">
            <v>55</v>
          </cell>
        </row>
        <row r="33">
          <cell r="C33">
            <v>150</v>
          </cell>
          <cell r="D33">
            <v>91</v>
          </cell>
          <cell r="F33">
            <v>5</v>
          </cell>
          <cell r="G33">
            <v>252</v>
          </cell>
          <cell r="J33">
            <v>1260</v>
          </cell>
          <cell r="K33">
            <v>98</v>
          </cell>
          <cell r="U33">
            <v>441</v>
          </cell>
        </row>
        <row r="34">
          <cell r="C34">
            <v>144</v>
          </cell>
          <cell r="D34">
            <v>65</v>
          </cell>
          <cell r="F34">
            <v>1</v>
          </cell>
          <cell r="G34">
            <v>26</v>
          </cell>
          <cell r="J34">
            <v>26</v>
          </cell>
          <cell r="K34">
            <v>175</v>
          </cell>
          <cell r="U34">
            <v>309</v>
          </cell>
        </row>
        <row r="35">
          <cell r="C35">
            <v>199</v>
          </cell>
          <cell r="D35">
            <v>46</v>
          </cell>
          <cell r="F35">
            <v>4</v>
          </cell>
          <cell r="G35">
            <v>386</v>
          </cell>
          <cell r="J35">
            <v>1544</v>
          </cell>
          <cell r="K35">
            <v>218</v>
          </cell>
          <cell r="U35">
            <v>56</v>
          </cell>
        </row>
        <row r="36">
          <cell r="C36">
            <v>154</v>
          </cell>
          <cell r="D36">
            <v>52</v>
          </cell>
          <cell r="F36">
            <v>1</v>
          </cell>
          <cell r="G36">
            <v>352</v>
          </cell>
          <cell r="J36">
            <v>352</v>
          </cell>
          <cell r="K36">
            <v>2</v>
          </cell>
          <cell r="U36">
            <v>257</v>
          </cell>
        </row>
        <row r="37">
          <cell r="C37">
            <v>126</v>
          </cell>
          <cell r="D37">
            <v>23</v>
          </cell>
          <cell r="F37">
            <v>1</v>
          </cell>
          <cell r="G37">
            <v>367</v>
          </cell>
          <cell r="J37">
            <v>367</v>
          </cell>
          <cell r="K37">
            <v>127</v>
          </cell>
          <cell r="U37">
            <v>370</v>
          </cell>
        </row>
        <row r="38">
          <cell r="C38">
            <v>86</v>
          </cell>
          <cell r="D38">
            <v>73</v>
          </cell>
          <cell r="F38">
            <v>4</v>
          </cell>
          <cell r="G38">
            <v>131</v>
          </cell>
          <cell r="J38">
            <v>524</v>
          </cell>
          <cell r="K38">
            <v>18</v>
          </cell>
          <cell r="U38">
            <v>55</v>
          </cell>
        </row>
        <row r="39">
          <cell r="C39">
            <v>129</v>
          </cell>
          <cell r="D39">
            <v>58</v>
          </cell>
          <cell r="F39">
            <v>5</v>
          </cell>
          <cell r="G39">
            <v>99</v>
          </cell>
          <cell r="J39">
            <v>495</v>
          </cell>
          <cell r="K39">
            <v>382</v>
          </cell>
          <cell r="U39">
            <v>426</v>
          </cell>
        </row>
        <row r="40">
          <cell r="C40">
            <v>66</v>
          </cell>
          <cell r="D40">
            <v>84</v>
          </cell>
          <cell r="F40">
            <v>1</v>
          </cell>
          <cell r="G40">
            <v>326</v>
          </cell>
          <cell r="J40">
            <v>326</v>
          </cell>
          <cell r="K40">
            <v>303</v>
          </cell>
          <cell r="U40">
            <v>249</v>
          </cell>
        </row>
        <row r="41">
          <cell r="C41">
            <v>200</v>
          </cell>
          <cell r="D41">
            <v>31</v>
          </cell>
          <cell r="F41">
            <v>5</v>
          </cell>
          <cell r="G41">
            <v>345</v>
          </cell>
          <cell r="J41">
            <v>1725</v>
          </cell>
          <cell r="K41">
            <v>61</v>
          </cell>
          <cell r="U41">
            <v>254</v>
          </cell>
        </row>
        <row r="42">
          <cell r="C42">
            <v>175</v>
          </cell>
          <cell r="D42">
            <v>48</v>
          </cell>
          <cell r="F42">
            <v>2</v>
          </cell>
          <cell r="G42">
            <v>414</v>
          </cell>
          <cell r="J42">
            <v>828</v>
          </cell>
          <cell r="K42">
            <v>86</v>
          </cell>
          <cell r="U42">
            <v>315</v>
          </cell>
        </row>
        <row r="43">
          <cell r="C43">
            <v>150</v>
          </cell>
          <cell r="D43">
            <v>94</v>
          </cell>
          <cell r="F43">
            <v>5</v>
          </cell>
          <cell r="G43">
            <v>253</v>
          </cell>
          <cell r="J43">
            <v>1265</v>
          </cell>
          <cell r="K43">
            <v>6</v>
          </cell>
          <cell r="U43">
            <v>234</v>
          </cell>
        </row>
        <row r="44">
          <cell r="C44">
            <v>155</v>
          </cell>
          <cell r="D44">
            <v>94</v>
          </cell>
          <cell r="F44">
            <v>1</v>
          </cell>
          <cell r="G44">
            <v>93</v>
          </cell>
          <cell r="J44">
            <v>93</v>
          </cell>
          <cell r="K44">
            <v>6</v>
          </cell>
          <cell r="U44">
            <v>234</v>
          </cell>
        </row>
        <row r="45">
          <cell r="C45">
            <v>104</v>
          </cell>
          <cell r="D45">
            <v>69</v>
          </cell>
          <cell r="F45">
            <v>4</v>
          </cell>
          <cell r="G45">
            <v>258</v>
          </cell>
          <cell r="J45">
            <v>1032</v>
          </cell>
          <cell r="K45">
            <v>15</v>
          </cell>
          <cell r="U45">
            <v>460</v>
          </cell>
        </row>
        <row r="46">
          <cell r="C46">
            <v>62</v>
          </cell>
          <cell r="D46">
            <v>16</v>
          </cell>
          <cell r="F46">
            <v>5</v>
          </cell>
          <cell r="G46">
            <v>500</v>
          </cell>
          <cell r="J46">
            <v>2500</v>
          </cell>
          <cell r="K46">
            <v>42</v>
          </cell>
          <cell r="U46">
            <v>440</v>
          </cell>
        </row>
        <row r="47">
          <cell r="C47">
            <v>58</v>
          </cell>
          <cell r="D47">
            <v>46</v>
          </cell>
          <cell r="F47">
            <v>2</v>
          </cell>
          <cell r="G47">
            <v>498</v>
          </cell>
          <cell r="J47">
            <v>996</v>
          </cell>
          <cell r="K47">
            <v>218</v>
          </cell>
          <cell r="U47">
            <v>56</v>
          </cell>
        </row>
        <row r="48">
          <cell r="C48">
            <v>146</v>
          </cell>
          <cell r="D48">
            <v>15</v>
          </cell>
          <cell r="F48">
            <v>2</v>
          </cell>
          <cell r="G48">
            <v>292</v>
          </cell>
          <cell r="J48">
            <v>584</v>
          </cell>
          <cell r="K48">
            <v>407</v>
          </cell>
          <cell r="U48">
            <v>214</v>
          </cell>
        </row>
        <row r="49">
          <cell r="C49">
            <v>124</v>
          </cell>
          <cell r="D49">
            <v>30</v>
          </cell>
          <cell r="F49">
            <v>2</v>
          </cell>
          <cell r="G49">
            <v>264</v>
          </cell>
          <cell r="J49">
            <v>528</v>
          </cell>
          <cell r="K49">
            <v>68</v>
          </cell>
          <cell r="U49">
            <v>230</v>
          </cell>
        </row>
        <row r="50">
          <cell r="C50">
            <v>97</v>
          </cell>
          <cell r="D50">
            <v>4</v>
          </cell>
          <cell r="F50">
            <v>1</v>
          </cell>
          <cell r="G50">
            <v>127</v>
          </cell>
          <cell r="J50">
            <v>127</v>
          </cell>
          <cell r="K50">
            <v>130</v>
          </cell>
          <cell r="U50">
            <v>459</v>
          </cell>
        </row>
        <row r="51">
          <cell r="C51">
            <v>50</v>
          </cell>
          <cell r="D51">
            <v>11</v>
          </cell>
          <cell r="F51">
            <v>2</v>
          </cell>
          <cell r="G51">
            <v>453</v>
          </cell>
          <cell r="J51">
            <v>906</v>
          </cell>
          <cell r="K51">
            <v>228</v>
          </cell>
          <cell r="U51">
            <v>373</v>
          </cell>
        </row>
        <row r="52">
          <cell r="C52">
            <v>106</v>
          </cell>
          <cell r="D52">
            <v>23</v>
          </cell>
          <cell r="F52">
            <v>4</v>
          </cell>
          <cell r="G52">
            <v>469</v>
          </cell>
          <cell r="J52">
            <v>1876</v>
          </cell>
          <cell r="K52">
            <v>127</v>
          </cell>
          <cell r="U52">
            <v>370</v>
          </cell>
        </row>
        <row r="53">
          <cell r="C53">
            <v>113</v>
          </cell>
          <cell r="D53">
            <v>95</v>
          </cell>
          <cell r="F53">
            <v>1</v>
          </cell>
          <cell r="G53">
            <v>217</v>
          </cell>
          <cell r="J53">
            <v>217</v>
          </cell>
          <cell r="K53">
            <v>75</v>
          </cell>
          <cell r="U53">
            <v>73</v>
          </cell>
        </row>
        <row r="54">
          <cell r="C54">
            <v>144</v>
          </cell>
          <cell r="D54">
            <v>22</v>
          </cell>
          <cell r="F54">
            <v>4</v>
          </cell>
          <cell r="G54">
            <v>275</v>
          </cell>
          <cell r="J54">
            <v>1100</v>
          </cell>
          <cell r="K54">
            <v>9</v>
          </cell>
          <cell r="U54">
            <v>482</v>
          </cell>
        </row>
        <row r="55">
          <cell r="C55">
            <v>33</v>
          </cell>
          <cell r="D55">
            <v>51</v>
          </cell>
          <cell r="F55">
            <v>2</v>
          </cell>
          <cell r="G55">
            <v>446</v>
          </cell>
          <cell r="J55">
            <v>892</v>
          </cell>
          <cell r="K55">
            <v>55</v>
          </cell>
          <cell r="U55">
            <v>27</v>
          </cell>
        </row>
        <row r="56">
          <cell r="C56">
            <v>180</v>
          </cell>
          <cell r="D56">
            <v>84</v>
          </cell>
          <cell r="F56">
            <v>5</v>
          </cell>
          <cell r="G56">
            <v>247</v>
          </cell>
          <cell r="J56">
            <v>1235</v>
          </cell>
          <cell r="K56">
            <v>303</v>
          </cell>
          <cell r="U56">
            <v>249</v>
          </cell>
        </row>
        <row r="57">
          <cell r="C57">
            <v>166</v>
          </cell>
          <cell r="D57">
            <v>28</v>
          </cell>
          <cell r="F57">
            <v>5</v>
          </cell>
          <cell r="G57">
            <v>152</v>
          </cell>
          <cell r="J57">
            <v>760</v>
          </cell>
          <cell r="K57">
            <v>16</v>
          </cell>
          <cell r="U57">
            <v>203</v>
          </cell>
        </row>
        <row r="58">
          <cell r="C58">
            <v>193</v>
          </cell>
          <cell r="D58">
            <v>46</v>
          </cell>
          <cell r="F58">
            <v>4</v>
          </cell>
          <cell r="G58">
            <v>86</v>
          </cell>
          <cell r="J58">
            <v>344</v>
          </cell>
          <cell r="K58">
            <v>218</v>
          </cell>
          <cell r="U58">
            <v>56</v>
          </cell>
        </row>
        <row r="59">
          <cell r="C59">
            <v>141</v>
          </cell>
          <cell r="D59">
            <v>61</v>
          </cell>
          <cell r="F59">
            <v>3</v>
          </cell>
          <cell r="G59">
            <v>450</v>
          </cell>
          <cell r="J59">
            <v>1350</v>
          </cell>
          <cell r="K59">
            <v>92</v>
          </cell>
          <cell r="U59">
            <v>360</v>
          </cell>
        </row>
        <row r="60">
          <cell r="C60">
            <v>135</v>
          </cell>
          <cell r="D60">
            <v>24</v>
          </cell>
          <cell r="F60">
            <v>5</v>
          </cell>
          <cell r="G60">
            <v>241</v>
          </cell>
          <cell r="J60">
            <v>1205</v>
          </cell>
          <cell r="K60">
            <v>111</v>
          </cell>
          <cell r="U60">
            <v>435</v>
          </cell>
        </row>
        <row r="61">
          <cell r="C61">
            <v>93</v>
          </cell>
          <cell r="D61">
            <v>73</v>
          </cell>
          <cell r="F61">
            <v>1</v>
          </cell>
          <cell r="G61">
            <v>431</v>
          </cell>
          <cell r="J61">
            <v>431</v>
          </cell>
          <cell r="K61">
            <v>18</v>
          </cell>
          <cell r="U61">
            <v>55</v>
          </cell>
        </row>
        <row r="62">
          <cell r="C62">
            <v>93</v>
          </cell>
          <cell r="D62">
            <v>85</v>
          </cell>
          <cell r="F62">
            <v>1</v>
          </cell>
          <cell r="G62">
            <v>242</v>
          </cell>
          <cell r="J62">
            <v>242</v>
          </cell>
          <cell r="K62">
            <v>12</v>
          </cell>
          <cell r="U62">
            <v>78</v>
          </cell>
        </row>
        <row r="63">
          <cell r="C63">
            <v>158</v>
          </cell>
          <cell r="D63">
            <v>56</v>
          </cell>
          <cell r="F63">
            <v>2</v>
          </cell>
          <cell r="G63">
            <v>53</v>
          </cell>
          <cell r="J63">
            <v>106</v>
          </cell>
          <cell r="K63">
            <v>70</v>
          </cell>
          <cell r="U63">
            <v>64</v>
          </cell>
        </row>
        <row r="64">
          <cell r="C64">
            <v>153</v>
          </cell>
          <cell r="D64">
            <v>11</v>
          </cell>
          <cell r="F64">
            <v>3</v>
          </cell>
          <cell r="G64">
            <v>396</v>
          </cell>
          <cell r="J64">
            <v>1188</v>
          </cell>
          <cell r="K64">
            <v>228</v>
          </cell>
          <cell r="U64">
            <v>373</v>
          </cell>
        </row>
        <row r="65">
          <cell r="C65">
            <v>101</v>
          </cell>
          <cell r="D65">
            <v>79</v>
          </cell>
          <cell r="F65">
            <v>3</v>
          </cell>
          <cell r="G65">
            <v>52</v>
          </cell>
          <cell r="J65">
            <v>156</v>
          </cell>
          <cell r="K65">
            <v>45</v>
          </cell>
          <cell r="U65">
            <v>298</v>
          </cell>
        </row>
        <row r="66">
          <cell r="C66">
            <v>155</v>
          </cell>
          <cell r="D66">
            <v>42</v>
          </cell>
          <cell r="F66">
            <v>4</v>
          </cell>
          <cell r="G66">
            <v>370</v>
          </cell>
          <cell r="J66">
            <v>1480</v>
          </cell>
          <cell r="K66">
            <v>108</v>
          </cell>
          <cell r="U66">
            <v>77</v>
          </cell>
        </row>
        <row r="67">
          <cell r="C67">
            <v>6</v>
          </cell>
          <cell r="D67">
            <v>48</v>
          </cell>
          <cell r="F67">
            <v>3</v>
          </cell>
          <cell r="G67">
            <v>387</v>
          </cell>
          <cell r="J67">
            <v>1161</v>
          </cell>
          <cell r="K67">
            <v>86</v>
          </cell>
          <cell r="U67">
            <v>315</v>
          </cell>
        </row>
        <row r="68">
          <cell r="C68">
            <v>67</v>
          </cell>
          <cell r="D68">
            <v>50</v>
          </cell>
          <cell r="F68">
            <v>2</v>
          </cell>
          <cell r="G68">
            <v>60</v>
          </cell>
          <cell r="J68">
            <v>120</v>
          </cell>
          <cell r="K68">
            <v>50</v>
          </cell>
          <cell r="U68">
            <v>407</v>
          </cell>
        </row>
        <row r="69">
          <cell r="C69">
            <v>26</v>
          </cell>
          <cell r="D69">
            <v>72</v>
          </cell>
          <cell r="F69">
            <v>5</v>
          </cell>
          <cell r="G69">
            <v>225</v>
          </cell>
          <cell r="J69">
            <v>1125</v>
          </cell>
          <cell r="K69">
            <v>236</v>
          </cell>
          <cell r="U69">
            <v>465</v>
          </cell>
        </row>
        <row r="70">
          <cell r="C70">
            <v>48</v>
          </cell>
          <cell r="D70">
            <v>16</v>
          </cell>
          <cell r="F70">
            <v>2</v>
          </cell>
          <cell r="G70">
            <v>152</v>
          </cell>
          <cell r="J70">
            <v>304</v>
          </cell>
          <cell r="K70">
            <v>42</v>
          </cell>
          <cell r="U70">
            <v>440</v>
          </cell>
        </row>
        <row r="71">
          <cell r="C71">
            <v>19</v>
          </cell>
          <cell r="D71">
            <v>19</v>
          </cell>
          <cell r="F71">
            <v>2</v>
          </cell>
          <cell r="G71">
            <v>483</v>
          </cell>
          <cell r="J71">
            <v>966</v>
          </cell>
          <cell r="K71">
            <v>7</v>
          </cell>
          <cell r="U71">
            <v>442</v>
          </cell>
        </row>
        <row r="72">
          <cell r="C72">
            <v>115</v>
          </cell>
          <cell r="D72">
            <v>4</v>
          </cell>
          <cell r="F72">
            <v>1</v>
          </cell>
          <cell r="G72">
            <v>192</v>
          </cell>
          <cell r="J72">
            <v>192</v>
          </cell>
          <cell r="K72">
            <v>130</v>
          </cell>
          <cell r="U72">
            <v>459</v>
          </cell>
        </row>
        <row r="73">
          <cell r="C73">
            <v>7</v>
          </cell>
          <cell r="D73">
            <v>11</v>
          </cell>
          <cell r="F73">
            <v>5</v>
          </cell>
          <cell r="G73">
            <v>362</v>
          </cell>
          <cell r="J73">
            <v>1810</v>
          </cell>
          <cell r="K73">
            <v>228</v>
          </cell>
          <cell r="U73">
            <v>373</v>
          </cell>
        </row>
        <row r="74">
          <cell r="C74">
            <v>75</v>
          </cell>
          <cell r="D74">
            <v>15</v>
          </cell>
          <cell r="F74">
            <v>3</v>
          </cell>
          <cell r="G74">
            <v>463</v>
          </cell>
          <cell r="J74">
            <v>1389</v>
          </cell>
          <cell r="K74">
            <v>407</v>
          </cell>
          <cell r="U74">
            <v>214</v>
          </cell>
        </row>
        <row r="75">
          <cell r="C75">
            <v>79</v>
          </cell>
          <cell r="D75">
            <v>84</v>
          </cell>
          <cell r="F75">
            <v>1</v>
          </cell>
          <cell r="G75">
            <v>350</v>
          </cell>
          <cell r="J75">
            <v>350</v>
          </cell>
          <cell r="K75">
            <v>303</v>
          </cell>
          <cell r="U75">
            <v>249</v>
          </cell>
        </row>
        <row r="76">
          <cell r="C76">
            <v>27</v>
          </cell>
          <cell r="D76">
            <v>97</v>
          </cell>
          <cell r="F76">
            <v>4</v>
          </cell>
          <cell r="G76">
            <v>262</v>
          </cell>
          <cell r="J76">
            <v>1048</v>
          </cell>
          <cell r="K76">
            <v>5</v>
          </cell>
          <cell r="U76">
            <v>419</v>
          </cell>
        </row>
        <row r="77">
          <cell r="C77">
            <v>39</v>
          </cell>
          <cell r="D77">
            <v>45</v>
          </cell>
          <cell r="F77">
            <v>5</v>
          </cell>
          <cell r="G77">
            <v>305</v>
          </cell>
          <cell r="J77">
            <v>1525</v>
          </cell>
          <cell r="K77">
            <v>472</v>
          </cell>
          <cell r="U77">
            <v>425</v>
          </cell>
        </row>
        <row r="78">
          <cell r="C78">
            <v>147</v>
          </cell>
          <cell r="D78">
            <v>77</v>
          </cell>
          <cell r="F78">
            <v>4</v>
          </cell>
          <cell r="G78">
            <v>302</v>
          </cell>
          <cell r="J78">
            <v>1208</v>
          </cell>
          <cell r="K78">
            <v>243</v>
          </cell>
          <cell r="U78">
            <v>389</v>
          </cell>
        </row>
        <row r="79">
          <cell r="C79">
            <v>67</v>
          </cell>
          <cell r="D79">
            <v>18</v>
          </cell>
          <cell r="F79">
            <v>2</v>
          </cell>
          <cell r="G79">
            <v>481</v>
          </cell>
          <cell r="J79">
            <v>962</v>
          </cell>
          <cell r="K79">
            <v>78</v>
          </cell>
          <cell r="U79">
            <v>460</v>
          </cell>
        </row>
        <row r="80">
          <cell r="C80">
            <v>159</v>
          </cell>
          <cell r="D80">
            <v>46</v>
          </cell>
          <cell r="F80">
            <v>5</v>
          </cell>
          <cell r="G80">
            <v>176</v>
          </cell>
          <cell r="J80">
            <v>880</v>
          </cell>
          <cell r="K80">
            <v>218</v>
          </cell>
          <cell r="U80">
            <v>56</v>
          </cell>
        </row>
        <row r="81">
          <cell r="C81">
            <v>91</v>
          </cell>
          <cell r="D81">
            <v>85</v>
          </cell>
          <cell r="F81">
            <v>4</v>
          </cell>
          <cell r="G81">
            <v>324</v>
          </cell>
          <cell r="J81">
            <v>1296</v>
          </cell>
          <cell r="K81">
            <v>12</v>
          </cell>
          <cell r="U81">
            <v>78</v>
          </cell>
        </row>
        <row r="82">
          <cell r="C82">
            <v>61</v>
          </cell>
          <cell r="D82">
            <v>35</v>
          </cell>
          <cell r="F82">
            <v>2</v>
          </cell>
          <cell r="G82">
            <v>344</v>
          </cell>
          <cell r="J82">
            <v>688</v>
          </cell>
          <cell r="K82">
            <v>115</v>
          </cell>
          <cell r="U82">
            <v>346</v>
          </cell>
        </row>
        <row r="83">
          <cell r="C83">
            <v>135</v>
          </cell>
          <cell r="D83">
            <v>34</v>
          </cell>
          <cell r="F83">
            <v>5</v>
          </cell>
          <cell r="G83">
            <v>492</v>
          </cell>
          <cell r="J83">
            <v>2460</v>
          </cell>
          <cell r="K83">
            <v>43</v>
          </cell>
          <cell r="U83">
            <v>349</v>
          </cell>
        </row>
        <row r="84">
          <cell r="C84">
            <v>69</v>
          </cell>
          <cell r="D84">
            <v>14</v>
          </cell>
          <cell r="F84">
            <v>2</v>
          </cell>
          <cell r="G84">
            <v>313</v>
          </cell>
          <cell r="J84">
            <v>626</v>
          </cell>
          <cell r="K84">
            <v>8</v>
          </cell>
          <cell r="U84">
            <v>290</v>
          </cell>
        </row>
        <row r="85">
          <cell r="C85">
            <v>95</v>
          </cell>
          <cell r="D85">
            <v>54</v>
          </cell>
          <cell r="F85">
            <v>4</v>
          </cell>
          <cell r="G85">
            <v>361</v>
          </cell>
          <cell r="J85">
            <v>1444</v>
          </cell>
          <cell r="K85">
            <v>21</v>
          </cell>
          <cell r="U85">
            <v>426</v>
          </cell>
        </row>
        <row r="86">
          <cell r="C86">
            <v>55</v>
          </cell>
          <cell r="D86">
            <v>9</v>
          </cell>
          <cell r="F86">
            <v>1</v>
          </cell>
          <cell r="G86">
            <v>469</v>
          </cell>
          <cell r="J86">
            <v>469</v>
          </cell>
          <cell r="K86">
            <v>185</v>
          </cell>
          <cell r="U86">
            <v>121</v>
          </cell>
        </row>
        <row r="87">
          <cell r="C87">
            <v>140</v>
          </cell>
          <cell r="D87">
            <v>64</v>
          </cell>
          <cell r="F87">
            <v>5</v>
          </cell>
          <cell r="G87">
            <v>111</v>
          </cell>
          <cell r="J87">
            <v>555</v>
          </cell>
          <cell r="K87">
            <v>66</v>
          </cell>
          <cell r="U87">
            <v>461</v>
          </cell>
        </row>
        <row r="88">
          <cell r="C88">
            <v>139</v>
          </cell>
          <cell r="D88">
            <v>42</v>
          </cell>
          <cell r="F88">
            <v>1</v>
          </cell>
          <cell r="G88">
            <v>427</v>
          </cell>
          <cell r="J88">
            <v>427</v>
          </cell>
          <cell r="K88">
            <v>108</v>
          </cell>
          <cell r="U88">
            <v>77</v>
          </cell>
        </row>
        <row r="89">
          <cell r="C89">
            <v>17</v>
          </cell>
          <cell r="D89">
            <v>48</v>
          </cell>
          <cell r="F89">
            <v>1</v>
          </cell>
          <cell r="G89">
            <v>207</v>
          </cell>
          <cell r="J89">
            <v>207</v>
          </cell>
          <cell r="K89">
            <v>86</v>
          </cell>
          <cell r="U89">
            <v>315</v>
          </cell>
        </row>
        <row r="90">
          <cell r="C90">
            <v>193</v>
          </cell>
          <cell r="D90">
            <v>30</v>
          </cell>
          <cell r="F90">
            <v>4</v>
          </cell>
          <cell r="G90">
            <v>99</v>
          </cell>
          <cell r="J90">
            <v>396</v>
          </cell>
          <cell r="K90">
            <v>68</v>
          </cell>
          <cell r="U90">
            <v>230</v>
          </cell>
        </row>
        <row r="91">
          <cell r="C91">
            <v>190</v>
          </cell>
          <cell r="D91">
            <v>61</v>
          </cell>
          <cell r="F91">
            <v>1</v>
          </cell>
          <cell r="G91">
            <v>136</v>
          </cell>
          <cell r="J91">
            <v>136</v>
          </cell>
          <cell r="K91">
            <v>92</v>
          </cell>
          <cell r="U91">
            <v>360</v>
          </cell>
        </row>
        <row r="92">
          <cell r="C92">
            <v>186</v>
          </cell>
          <cell r="D92">
            <v>72</v>
          </cell>
          <cell r="F92">
            <v>5</v>
          </cell>
          <cell r="G92">
            <v>129</v>
          </cell>
          <cell r="J92">
            <v>645</v>
          </cell>
          <cell r="K92">
            <v>236</v>
          </cell>
          <cell r="U92">
            <v>465</v>
          </cell>
        </row>
        <row r="93">
          <cell r="C93">
            <v>124</v>
          </cell>
          <cell r="D93">
            <v>91</v>
          </cell>
          <cell r="F93">
            <v>4</v>
          </cell>
          <cell r="G93">
            <v>485</v>
          </cell>
          <cell r="J93">
            <v>1940</v>
          </cell>
          <cell r="K93">
            <v>98</v>
          </cell>
          <cell r="U93">
            <v>441</v>
          </cell>
        </row>
        <row r="94">
          <cell r="C94">
            <v>117</v>
          </cell>
          <cell r="D94">
            <v>96</v>
          </cell>
          <cell r="F94">
            <v>1</v>
          </cell>
          <cell r="G94">
            <v>301</v>
          </cell>
          <cell r="J94">
            <v>301</v>
          </cell>
          <cell r="K94">
            <v>25</v>
          </cell>
          <cell r="U94">
            <v>150</v>
          </cell>
        </row>
        <row r="95">
          <cell r="C95">
            <v>192</v>
          </cell>
          <cell r="D95">
            <v>49</v>
          </cell>
          <cell r="F95">
            <v>2</v>
          </cell>
          <cell r="G95">
            <v>403</v>
          </cell>
          <cell r="J95">
            <v>806</v>
          </cell>
          <cell r="K95">
            <v>4</v>
          </cell>
          <cell r="U95">
            <v>117</v>
          </cell>
        </row>
        <row r="96">
          <cell r="C96">
            <v>117</v>
          </cell>
          <cell r="D96">
            <v>95</v>
          </cell>
          <cell r="F96">
            <v>4</v>
          </cell>
          <cell r="G96">
            <v>81</v>
          </cell>
          <cell r="J96">
            <v>324</v>
          </cell>
          <cell r="K96">
            <v>75</v>
          </cell>
          <cell r="U96">
            <v>73</v>
          </cell>
        </row>
        <row r="97">
          <cell r="C97">
            <v>155</v>
          </cell>
          <cell r="D97">
            <v>96</v>
          </cell>
          <cell r="F97">
            <v>2</v>
          </cell>
          <cell r="G97">
            <v>458</v>
          </cell>
          <cell r="J97">
            <v>916</v>
          </cell>
          <cell r="K97">
            <v>25</v>
          </cell>
          <cell r="U97">
            <v>150</v>
          </cell>
        </row>
        <row r="98">
          <cell r="C98">
            <v>66</v>
          </cell>
          <cell r="D98">
            <v>3</v>
          </cell>
          <cell r="F98">
            <v>4</v>
          </cell>
          <cell r="G98">
            <v>431</v>
          </cell>
          <cell r="J98">
            <v>1724</v>
          </cell>
          <cell r="K98">
            <v>147</v>
          </cell>
          <cell r="U98">
            <v>357</v>
          </cell>
        </row>
        <row r="99">
          <cell r="C99">
            <v>40</v>
          </cell>
          <cell r="D99">
            <v>40</v>
          </cell>
          <cell r="F99">
            <v>5</v>
          </cell>
          <cell r="G99">
            <v>445</v>
          </cell>
          <cell r="J99">
            <v>2225</v>
          </cell>
          <cell r="K99">
            <v>113</v>
          </cell>
          <cell r="U99">
            <v>184</v>
          </cell>
        </row>
        <row r="100">
          <cell r="C100">
            <v>150</v>
          </cell>
          <cell r="D100">
            <v>3</v>
          </cell>
          <cell r="F100">
            <v>2</v>
          </cell>
          <cell r="G100">
            <v>211</v>
          </cell>
          <cell r="J100">
            <v>422</v>
          </cell>
          <cell r="K100">
            <v>147</v>
          </cell>
          <cell r="U100">
            <v>357</v>
          </cell>
        </row>
        <row r="101">
          <cell r="C101">
            <v>191</v>
          </cell>
          <cell r="D101">
            <v>56</v>
          </cell>
          <cell r="F101">
            <v>5</v>
          </cell>
          <cell r="G101">
            <v>392</v>
          </cell>
          <cell r="J101">
            <v>1960</v>
          </cell>
          <cell r="K101">
            <v>70</v>
          </cell>
          <cell r="U101">
            <v>64</v>
          </cell>
        </row>
        <row r="102">
          <cell r="C102">
            <v>39</v>
          </cell>
          <cell r="D102">
            <v>9</v>
          </cell>
          <cell r="F102">
            <v>5</v>
          </cell>
          <cell r="G102">
            <v>233</v>
          </cell>
          <cell r="J102">
            <v>1165</v>
          </cell>
          <cell r="K102">
            <v>185</v>
          </cell>
          <cell r="U102">
            <v>121</v>
          </cell>
        </row>
        <row r="103">
          <cell r="C103">
            <v>137</v>
          </cell>
          <cell r="D103">
            <v>3</v>
          </cell>
          <cell r="F103">
            <v>5</v>
          </cell>
          <cell r="G103">
            <v>185</v>
          </cell>
          <cell r="J103">
            <v>925</v>
          </cell>
          <cell r="K103">
            <v>147</v>
          </cell>
          <cell r="U103">
            <v>357</v>
          </cell>
        </row>
        <row r="104">
          <cell r="C104">
            <v>154</v>
          </cell>
          <cell r="D104">
            <v>3</v>
          </cell>
          <cell r="F104">
            <v>1</v>
          </cell>
          <cell r="G104">
            <v>383</v>
          </cell>
          <cell r="J104">
            <v>383</v>
          </cell>
          <cell r="K104">
            <v>147</v>
          </cell>
          <cell r="U104">
            <v>357</v>
          </cell>
        </row>
        <row r="105">
          <cell r="C105">
            <v>6</v>
          </cell>
          <cell r="D105">
            <v>99</v>
          </cell>
          <cell r="F105">
            <v>2</v>
          </cell>
          <cell r="G105">
            <v>172</v>
          </cell>
          <cell r="J105">
            <v>344</v>
          </cell>
          <cell r="K105">
            <v>13</v>
          </cell>
          <cell r="U105">
            <v>340</v>
          </cell>
        </row>
        <row r="106">
          <cell r="C106">
            <v>91</v>
          </cell>
          <cell r="D106">
            <v>57</v>
          </cell>
          <cell r="F106">
            <v>3</v>
          </cell>
          <cell r="G106">
            <v>376</v>
          </cell>
          <cell r="J106">
            <v>1128</v>
          </cell>
          <cell r="K106">
            <v>31</v>
          </cell>
          <cell r="U106">
            <v>66</v>
          </cell>
        </row>
        <row r="107">
          <cell r="C107">
            <v>132</v>
          </cell>
          <cell r="D107">
            <v>27</v>
          </cell>
          <cell r="F107">
            <v>4</v>
          </cell>
          <cell r="G107">
            <v>100</v>
          </cell>
          <cell r="J107">
            <v>400</v>
          </cell>
          <cell r="K107">
            <v>24</v>
          </cell>
          <cell r="U107">
            <v>372</v>
          </cell>
        </row>
        <row r="108">
          <cell r="C108">
            <v>157</v>
          </cell>
          <cell r="D108">
            <v>63</v>
          </cell>
          <cell r="F108">
            <v>1</v>
          </cell>
          <cell r="G108">
            <v>261</v>
          </cell>
          <cell r="J108">
            <v>261</v>
          </cell>
          <cell r="K108">
            <v>36</v>
          </cell>
          <cell r="U108">
            <v>171</v>
          </cell>
        </row>
        <row r="109">
          <cell r="C109">
            <v>148</v>
          </cell>
          <cell r="D109">
            <v>86</v>
          </cell>
          <cell r="F109">
            <v>4</v>
          </cell>
          <cell r="G109">
            <v>213</v>
          </cell>
          <cell r="J109">
            <v>852</v>
          </cell>
          <cell r="K109">
            <v>84</v>
          </cell>
          <cell r="U109">
            <v>405</v>
          </cell>
        </row>
        <row r="110">
          <cell r="C110">
            <v>121</v>
          </cell>
          <cell r="D110">
            <v>30</v>
          </cell>
          <cell r="F110">
            <v>1</v>
          </cell>
          <cell r="G110">
            <v>425</v>
          </cell>
          <cell r="J110">
            <v>425</v>
          </cell>
          <cell r="K110">
            <v>68</v>
          </cell>
          <cell r="U110">
            <v>230</v>
          </cell>
        </row>
        <row r="111">
          <cell r="C111">
            <v>189</v>
          </cell>
          <cell r="D111">
            <v>39</v>
          </cell>
          <cell r="F111">
            <v>5</v>
          </cell>
          <cell r="G111">
            <v>63</v>
          </cell>
          <cell r="J111">
            <v>315</v>
          </cell>
          <cell r="K111">
            <v>122</v>
          </cell>
          <cell r="U111">
            <v>50</v>
          </cell>
        </row>
        <row r="112">
          <cell r="C112">
            <v>25</v>
          </cell>
          <cell r="D112">
            <v>92</v>
          </cell>
          <cell r="F112">
            <v>3</v>
          </cell>
          <cell r="G112">
            <v>406</v>
          </cell>
          <cell r="J112">
            <v>1218</v>
          </cell>
          <cell r="K112">
            <v>160</v>
          </cell>
          <cell r="U112">
            <v>55</v>
          </cell>
        </row>
        <row r="113">
          <cell r="C113">
            <v>49</v>
          </cell>
          <cell r="D113">
            <v>12</v>
          </cell>
          <cell r="F113">
            <v>4</v>
          </cell>
          <cell r="G113">
            <v>445</v>
          </cell>
          <cell r="J113">
            <v>1780</v>
          </cell>
          <cell r="K113">
            <v>410</v>
          </cell>
          <cell r="U113">
            <v>61</v>
          </cell>
        </row>
        <row r="114">
          <cell r="C114">
            <v>16</v>
          </cell>
          <cell r="D114">
            <v>44</v>
          </cell>
          <cell r="F114">
            <v>4</v>
          </cell>
          <cell r="G114">
            <v>28</v>
          </cell>
          <cell r="J114">
            <v>112</v>
          </cell>
          <cell r="K114">
            <v>72</v>
          </cell>
          <cell r="U114">
            <v>181</v>
          </cell>
        </row>
        <row r="115">
          <cell r="C115">
            <v>114</v>
          </cell>
          <cell r="D115">
            <v>52</v>
          </cell>
          <cell r="F115">
            <v>3</v>
          </cell>
          <cell r="G115">
            <v>163</v>
          </cell>
          <cell r="J115">
            <v>489</v>
          </cell>
          <cell r="K115">
            <v>2</v>
          </cell>
          <cell r="U115">
            <v>257</v>
          </cell>
        </row>
        <row r="116">
          <cell r="C116">
            <v>184</v>
          </cell>
          <cell r="D116">
            <v>25</v>
          </cell>
          <cell r="F116">
            <v>2</v>
          </cell>
          <cell r="G116">
            <v>404</v>
          </cell>
          <cell r="J116">
            <v>808</v>
          </cell>
          <cell r="K116">
            <v>85</v>
          </cell>
          <cell r="U116">
            <v>212</v>
          </cell>
        </row>
        <row r="117">
          <cell r="C117">
            <v>141</v>
          </cell>
          <cell r="D117">
            <v>14</v>
          </cell>
          <cell r="F117">
            <v>3</v>
          </cell>
          <cell r="G117">
            <v>471</v>
          </cell>
          <cell r="J117">
            <v>1413</v>
          </cell>
          <cell r="K117">
            <v>8</v>
          </cell>
          <cell r="U117">
            <v>290</v>
          </cell>
        </row>
        <row r="118">
          <cell r="C118">
            <v>149</v>
          </cell>
          <cell r="D118">
            <v>54</v>
          </cell>
          <cell r="F118">
            <v>3</v>
          </cell>
          <cell r="G118">
            <v>350</v>
          </cell>
          <cell r="J118">
            <v>1050</v>
          </cell>
          <cell r="K118">
            <v>21</v>
          </cell>
          <cell r="U118">
            <v>426</v>
          </cell>
        </row>
        <row r="119">
          <cell r="C119">
            <v>136</v>
          </cell>
          <cell r="D119">
            <v>43</v>
          </cell>
          <cell r="F119">
            <v>1</v>
          </cell>
          <cell r="G119">
            <v>104</v>
          </cell>
          <cell r="J119">
            <v>104</v>
          </cell>
          <cell r="K119">
            <v>34</v>
          </cell>
          <cell r="U119">
            <v>293</v>
          </cell>
        </row>
        <row r="120">
          <cell r="C120">
            <v>106</v>
          </cell>
          <cell r="D120">
            <v>21</v>
          </cell>
          <cell r="F120">
            <v>3</v>
          </cell>
          <cell r="G120">
            <v>248</v>
          </cell>
          <cell r="J120">
            <v>744</v>
          </cell>
          <cell r="K120">
            <v>126</v>
          </cell>
          <cell r="U120">
            <v>327</v>
          </cell>
        </row>
        <row r="121">
          <cell r="C121">
            <v>9</v>
          </cell>
          <cell r="D121">
            <v>50</v>
          </cell>
          <cell r="F121">
            <v>4</v>
          </cell>
          <cell r="G121">
            <v>262</v>
          </cell>
          <cell r="J121">
            <v>1048</v>
          </cell>
          <cell r="K121">
            <v>50</v>
          </cell>
          <cell r="U121">
            <v>407</v>
          </cell>
        </row>
        <row r="122">
          <cell r="C122">
            <v>179</v>
          </cell>
          <cell r="D122">
            <v>43</v>
          </cell>
          <cell r="F122">
            <v>5</v>
          </cell>
          <cell r="G122">
            <v>105</v>
          </cell>
          <cell r="J122">
            <v>525</v>
          </cell>
          <cell r="K122">
            <v>34</v>
          </cell>
          <cell r="U122">
            <v>293</v>
          </cell>
        </row>
        <row r="123">
          <cell r="C123">
            <v>16</v>
          </cell>
          <cell r="D123">
            <v>66</v>
          </cell>
          <cell r="F123">
            <v>5</v>
          </cell>
          <cell r="G123">
            <v>221</v>
          </cell>
          <cell r="J123">
            <v>1105</v>
          </cell>
          <cell r="K123">
            <v>76</v>
          </cell>
          <cell r="U123">
            <v>452</v>
          </cell>
        </row>
        <row r="124">
          <cell r="C124">
            <v>179</v>
          </cell>
          <cell r="D124">
            <v>31</v>
          </cell>
          <cell r="F124">
            <v>5</v>
          </cell>
          <cell r="G124">
            <v>382</v>
          </cell>
          <cell r="J124">
            <v>1910</v>
          </cell>
          <cell r="K124">
            <v>61</v>
          </cell>
          <cell r="U124">
            <v>254</v>
          </cell>
        </row>
        <row r="125">
          <cell r="C125">
            <v>92</v>
          </cell>
          <cell r="D125">
            <v>17</v>
          </cell>
          <cell r="F125">
            <v>4</v>
          </cell>
          <cell r="G125">
            <v>286</v>
          </cell>
          <cell r="J125">
            <v>1144</v>
          </cell>
          <cell r="K125">
            <v>1</v>
          </cell>
          <cell r="U125">
            <v>55</v>
          </cell>
        </row>
        <row r="126">
          <cell r="C126">
            <v>192</v>
          </cell>
          <cell r="D126">
            <v>20</v>
          </cell>
          <cell r="F126">
            <v>2</v>
          </cell>
          <cell r="G126">
            <v>475</v>
          </cell>
          <cell r="J126">
            <v>950</v>
          </cell>
          <cell r="K126">
            <v>137</v>
          </cell>
          <cell r="U126">
            <v>182</v>
          </cell>
        </row>
        <row r="127">
          <cell r="C127">
            <v>50</v>
          </cell>
          <cell r="D127">
            <v>64</v>
          </cell>
          <cell r="F127">
            <v>1</v>
          </cell>
          <cell r="G127">
            <v>239</v>
          </cell>
          <cell r="J127">
            <v>239</v>
          </cell>
          <cell r="K127">
            <v>66</v>
          </cell>
          <cell r="U127">
            <v>461</v>
          </cell>
        </row>
        <row r="128">
          <cell r="C128">
            <v>121</v>
          </cell>
          <cell r="D128">
            <v>34</v>
          </cell>
          <cell r="F128">
            <v>2</v>
          </cell>
          <cell r="G128">
            <v>408</v>
          </cell>
          <cell r="J128">
            <v>816</v>
          </cell>
          <cell r="K128">
            <v>43</v>
          </cell>
          <cell r="U128">
            <v>349</v>
          </cell>
        </row>
        <row r="129">
          <cell r="C129">
            <v>33</v>
          </cell>
          <cell r="D129">
            <v>59</v>
          </cell>
          <cell r="F129">
            <v>1</v>
          </cell>
          <cell r="G129">
            <v>293</v>
          </cell>
          <cell r="J129">
            <v>293</v>
          </cell>
          <cell r="K129">
            <v>148</v>
          </cell>
          <cell r="U129">
            <v>183</v>
          </cell>
        </row>
        <row r="130">
          <cell r="C130">
            <v>55</v>
          </cell>
          <cell r="D130">
            <v>63</v>
          </cell>
          <cell r="F130">
            <v>5</v>
          </cell>
          <cell r="G130">
            <v>486</v>
          </cell>
          <cell r="J130">
            <v>2430</v>
          </cell>
          <cell r="K130">
            <v>36</v>
          </cell>
          <cell r="U130">
            <v>171</v>
          </cell>
        </row>
        <row r="131">
          <cell r="C131">
            <v>41</v>
          </cell>
          <cell r="D131">
            <v>69</v>
          </cell>
          <cell r="F131">
            <v>4</v>
          </cell>
          <cell r="G131">
            <v>446</v>
          </cell>
          <cell r="J131">
            <v>1784</v>
          </cell>
          <cell r="K131">
            <v>15</v>
          </cell>
          <cell r="U131">
            <v>460</v>
          </cell>
        </row>
        <row r="132">
          <cell r="C132">
            <v>37</v>
          </cell>
          <cell r="D132">
            <v>100</v>
          </cell>
          <cell r="F132">
            <v>1</v>
          </cell>
          <cell r="G132">
            <v>55</v>
          </cell>
          <cell r="J132">
            <v>55</v>
          </cell>
          <cell r="K132">
            <v>54</v>
          </cell>
          <cell r="U132">
            <v>472</v>
          </cell>
        </row>
        <row r="133">
          <cell r="C133">
            <v>97</v>
          </cell>
          <cell r="D133">
            <v>62</v>
          </cell>
          <cell r="F133">
            <v>2</v>
          </cell>
          <cell r="G133">
            <v>259</v>
          </cell>
          <cell r="J133">
            <v>518</v>
          </cell>
          <cell r="K133">
            <v>26</v>
          </cell>
          <cell r="U133">
            <v>32</v>
          </cell>
        </row>
        <row r="134">
          <cell r="C134">
            <v>21</v>
          </cell>
          <cell r="D134">
            <v>28</v>
          </cell>
          <cell r="F134">
            <v>1</v>
          </cell>
          <cell r="G134">
            <v>342</v>
          </cell>
          <cell r="J134">
            <v>342</v>
          </cell>
          <cell r="K134">
            <v>16</v>
          </cell>
          <cell r="U134">
            <v>203</v>
          </cell>
        </row>
        <row r="135">
          <cell r="C135">
            <v>158</v>
          </cell>
          <cell r="D135">
            <v>66</v>
          </cell>
          <cell r="F135">
            <v>3</v>
          </cell>
          <cell r="G135">
            <v>31</v>
          </cell>
          <cell r="J135">
            <v>93</v>
          </cell>
          <cell r="K135">
            <v>76</v>
          </cell>
          <cell r="U135">
            <v>452</v>
          </cell>
        </row>
        <row r="136">
          <cell r="C136">
            <v>176</v>
          </cell>
          <cell r="D136">
            <v>71</v>
          </cell>
          <cell r="F136">
            <v>5</v>
          </cell>
          <cell r="G136">
            <v>340</v>
          </cell>
          <cell r="J136">
            <v>1700</v>
          </cell>
          <cell r="K136">
            <v>30</v>
          </cell>
          <cell r="U136">
            <v>389</v>
          </cell>
        </row>
        <row r="137">
          <cell r="C137">
            <v>104</v>
          </cell>
          <cell r="D137">
            <v>21</v>
          </cell>
          <cell r="F137">
            <v>4</v>
          </cell>
          <cell r="G137">
            <v>365</v>
          </cell>
          <cell r="J137">
            <v>1460</v>
          </cell>
          <cell r="K137">
            <v>126</v>
          </cell>
          <cell r="U137">
            <v>327</v>
          </cell>
        </row>
        <row r="138">
          <cell r="C138">
            <v>53</v>
          </cell>
          <cell r="D138">
            <v>76</v>
          </cell>
          <cell r="F138">
            <v>5</v>
          </cell>
          <cell r="G138">
            <v>422</v>
          </cell>
          <cell r="J138">
            <v>2110</v>
          </cell>
          <cell r="K138">
            <v>29</v>
          </cell>
          <cell r="U138">
            <v>164</v>
          </cell>
        </row>
        <row r="139">
          <cell r="C139">
            <v>9</v>
          </cell>
          <cell r="D139">
            <v>19</v>
          </cell>
          <cell r="F139">
            <v>5</v>
          </cell>
          <cell r="G139">
            <v>282</v>
          </cell>
          <cell r="J139">
            <v>1410</v>
          </cell>
          <cell r="K139">
            <v>7</v>
          </cell>
          <cell r="U139">
            <v>442</v>
          </cell>
        </row>
        <row r="140">
          <cell r="C140">
            <v>19</v>
          </cell>
          <cell r="D140">
            <v>62</v>
          </cell>
          <cell r="F140">
            <v>1</v>
          </cell>
          <cell r="G140">
            <v>329</v>
          </cell>
          <cell r="J140">
            <v>329</v>
          </cell>
          <cell r="K140">
            <v>26</v>
          </cell>
          <cell r="U140">
            <v>32</v>
          </cell>
        </row>
        <row r="141">
          <cell r="C141">
            <v>194</v>
          </cell>
          <cell r="D141">
            <v>24</v>
          </cell>
          <cell r="F141">
            <v>5</v>
          </cell>
          <cell r="G141">
            <v>106</v>
          </cell>
          <cell r="J141">
            <v>530</v>
          </cell>
          <cell r="K141">
            <v>111</v>
          </cell>
          <cell r="U141">
            <v>435</v>
          </cell>
        </row>
        <row r="142">
          <cell r="C142">
            <v>166</v>
          </cell>
          <cell r="D142">
            <v>63</v>
          </cell>
          <cell r="F142">
            <v>2</v>
          </cell>
          <cell r="G142">
            <v>96</v>
          </cell>
          <cell r="J142">
            <v>192</v>
          </cell>
          <cell r="K142">
            <v>36</v>
          </cell>
          <cell r="U142">
            <v>171</v>
          </cell>
        </row>
        <row r="143">
          <cell r="C143">
            <v>45</v>
          </cell>
          <cell r="D143">
            <v>23</v>
          </cell>
          <cell r="F143">
            <v>3</v>
          </cell>
          <cell r="G143">
            <v>121</v>
          </cell>
          <cell r="J143">
            <v>363</v>
          </cell>
          <cell r="K143">
            <v>127</v>
          </cell>
          <cell r="U143">
            <v>370</v>
          </cell>
        </row>
        <row r="144">
          <cell r="C144">
            <v>121</v>
          </cell>
          <cell r="D144">
            <v>86</v>
          </cell>
          <cell r="F144">
            <v>2</v>
          </cell>
          <cell r="G144">
            <v>470</v>
          </cell>
          <cell r="J144">
            <v>940</v>
          </cell>
          <cell r="K144">
            <v>84</v>
          </cell>
          <cell r="U144">
            <v>405</v>
          </cell>
        </row>
        <row r="145">
          <cell r="C145">
            <v>61</v>
          </cell>
          <cell r="D145">
            <v>31</v>
          </cell>
          <cell r="F145">
            <v>5</v>
          </cell>
          <cell r="G145">
            <v>167</v>
          </cell>
          <cell r="J145">
            <v>835</v>
          </cell>
          <cell r="K145">
            <v>61</v>
          </cell>
          <cell r="U145">
            <v>254</v>
          </cell>
        </row>
        <row r="146">
          <cell r="C146">
            <v>26</v>
          </cell>
          <cell r="D146">
            <v>87</v>
          </cell>
          <cell r="F146">
            <v>1</v>
          </cell>
          <cell r="G146">
            <v>288</v>
          </cell>
          <cell r="J146">
            <v>288</v>
          </cell>
          <cell r="K146">
            <v>145</v>
          </cell>
          <cell r="U146">
            <v>115</v>
          </cell>
        </row>
        <row r="147">
          <cell r="C147">
            <v>145</v>
          </cell>
          <cell r="D147">
            <v>67</v>
          </cell>
          <cell r="F147">
            <v>2</v>
          </cell>
          <cell r="G147">
            <v>122</v>
          </cell>
          <cell r="J147">
            <v>244</v>
          </cell>
          <cell r="K147">
            <v>295</v>
          </cell>
          <cell r="U147">
            <v>291</v>
          </cell>
        </row>
        <row r="148">
          <cell r="C148">
            <v>131</v>
          </cell>
          <cell r="D148">
            <v>5</v>
          </cell>
          <cell r="F148">
            <v>4</v>
          </cell>
          <cell r="G148">
            <v>399</v>
          </cell>
          <cell r="J148">
            <v>1596</v>
          </cell>
          <cell r="K148">
            <v>71</v>
          </cell>
          <cell r="U148">
            <v>127</v>
          </cell>
        </row>
        <row r="149">
          <cell r="C149">
            <v>75</v>
          </cell>
          <cell r="D149">
            <v>54</v>
          </cell>
          <cell r="F149">
            <v>5</v>
          </cell>
          <cell r="G149">
            <v>211</v>
          </cell>
          <cell r="J149">
            <v>1055</v>
          </cell>
          <cell r="K149">
            <v>21</v>
          </cell>
          <cell r="U149">
            <v>426</v>
          </cell>
        </row>
        <row r="150">
          <cell r="C150">
            <v>6</v>
          </cell>
          <cell r="D150">
            <v>81</v>
          </cell>
          <cell r="F150">
            <v>1</v>
          </cell>
          <cell r="G150">
            <v>120</v>
          </cell>
          <cell r="J150">
            <v>120</v>
          </cell>
          <cell r="K150">
            <v>80</v>
          </cell>
          <cell r="U150">
            <v>262</v>
          </cell>
        </row>
        <row r="151">
          <cell r="C151">
            <v>192</v>
          </cell>
          <cell r="D151">
            <v>4</v>
          </cell>
          <cell r="F151">
            <v>4</v>
          </cell>
          <cell r="G151">
            <v>336</v>
          </cell>
          <cell r="J151">
            <v>1344</v>
          </cell>
          <cell r="K151">
            <v>130</v>
          </cell>
          <cell r="U151">
            <v>459</v>
          </cell>
        </row>
        <row r="152">
          <cell r="C152">
            <v>19</v>
          </cell>
          <cell r="D152">
            <v>72</v>
          </cell>
          <cell r="F152">
            <v>2</v>
          </cell>
          <cell r="G152">
            <v>396</v>
          </cell>
          <cell r="J152">
            <v>792</v>
          </cell>
          <cell r="K152">
            <v>236</v>
          </cell>
          <cell r="U152">
            <v>465</v>
          </cell>
        </row>
        <row r="153">
          <cell r="C153">
            <v>191</v>
          </cell>
          <cell r="D153">
            <v>65</v>
          </cell>
          <cell r="F153">
            <v>3</v>
          </cell>
          <cell r="G153">
            <v>115</v>
          </cell>
          <cell r="J153">
            <v>345</v>
          </cell>
          <cell r="K153">
            <v>175</v>
          </cell>
          <cell r="U153">
            <v>309</v>
          </cell>
        </row>
        <row r="154">
          <cell r="C154">
            <v>126</v>
          </cell>
          <cell r="D154">
            <v>65</v>
          </cell>
          <cell r="F154">
            <v>5</v>
          </cell>
          <cell r="G154">
            <v>71</v>
          </cell>
          <cell r="J154">
            <v>355</v>
          </cell>
          <cell r="K154">
            <v>175</v>
          </cell>
          <cell r="U154">
            <v>309</v>
          </cell>
        </row>
        <row r="155">
          <cell r="C155">
            <v>77</v>
          </cell>
          <cell r="D155">
            <v>96</v>
          </cell>
          <cell r="F155">
            <v>3</v>
          </cell>
          <cell r="G155">
            <v>129</v>
          </cell>
          <cell r="J155">
            <v>387</v>
          </cell>
          <cell r="K155">
            <v>25</v>
          </cell>
          <cell r="U155">
            <v>150</v>
          </cell>
        </row>
        <row r="156">
          <cell r="C156">
            <v>174</v>
          </cell>
          <cell r="D156">
            <v>61</v>
          </cell>
          <cell r="F156">
            <v>4</v>
          </cell>
          <cell r="G156">
            <v>89</v>
          </cell>
          <cell r="J156">
            <v>356</v>
          </cell>
          <cell r="K156">
            <v>92</v>
          </cell>
          <cell r="U156">
            <v>360</v>
          </cell>
        </row>
        <row r="157">
          <cell r="C157">
            <v>157</v>
          </cell>
          <cell r="D157">
            <v>58</v>
          </cell>
          <cell r="F157">
            <v>1</v>
          </cell>
          <cell r="G157">
            <v>41</v>
          </cell>
          <cell r="J157">
            <v>41</v>
          </cell>
          <cell r="K157">
            <v>382</v>
          </cell>
          <cell r="U157">
            <v>426</v>
          </cell>
        </row>
        <row r="158">
          <cell r="C158">
            <v>74</v>
          </cell>
          <cell r="D158">
            <v>97</v>
          </cell>
          <cell r="F158">
            <v>1</v>
          </cell>
          <cell r="G158">
            <v>192</v>
          </cell>
          <cell r="J158">
            <v>192</v>
          </cell>
          <cell r="K158">
            <v>5</v>
          </cell>
          <cell r="U158">
            <v>419</v>
          </cell>
        </row>
        <row r="159">
          <cell r="C159">
            <v>28</v>
          </cell>
          <cell r="D159">
            <v>39</v>
          </cell>
          <cell r="F159">
            <v>3</v>
          </cell>
          <cell r="G159">
            <v>409</v>
          </cell>
          <cell r="J159">
            <v>1227</v>
          </cell>
          <cell r="K159">
            <v>122</v>
          </cell>
          <cell r="U159">
            <v>50</v>
          </cell>
        </row>
        <row r="160">
          <cell r="C160">
            <v>74</v>
          </cell>
          <cell r="D160">
            <v>72</v>
          </cell>
          <cell r="F160">
            <v>3</v>
          </cell>
          <cell r="G160">
            <v>135</v>
          </cell>
          <cell r="J160">
            <v>405</v>
          </cell>
          <cell r="K160">
            <v>236</v>
          </cell>
          <cell r="U160">
            <v>465</v>
          </cell>
        </row>
        <row r="161">
          <cell r="C161">
            <v>32</v>
          </cell>
          <cell r="D161">
            <v>54</v>
          </cell>
          <cell r="F161">
            <v>2</v>
          </cell>
          <cell r="G161">
            <v>412</v>
          </cell>
          <cell r="J161">
            <v>824</v>
          </cell>
          <cell r="K161">
            <v>21</v>
          </cell>
          <cell r="U161">
            <v>426</v>
          </cell>
        </row>
        <row r="162">
          <cell r="C162">
            <v>50</v>
          </cell>
          <cell r="D162">
            <v>82</v>
          </cell>
          <cell r="F162">
            <v>5</v>
          </cell>
          <cell r="G162">
            <v>320</v>
          </cell>
          <cell r="J162">
            <v>1600</v>
          </cell>
          <cell r="K162">
            <v>291</v>
          </cell>
          <cell r="U162">
            <v>358</v>
          </cell>
        </row>
        <row r="163">
          <cell r="C163">
            <v>200</v>
          </cell>
          <cell r="D163">
            <v>23</v>
          </cell>
          <cell r="F163">
            <v>2</v>
          </cell>
          <cell r="G163">
            <v>431</v>
          </cell>
          <cell r="J163">
            <v>862</v>
          </cell>
          <cell r="K163">
            <v>127</v>
          </cell>
          <cell r="U163">
            <v>370</v>
          </cell>
        </row>
        <row r="164">
          <cell r="C164">
            <v>191</v>
          </cell>
          <cell r="D164">
            <v>22</v>
          </cell>
          <cell r="F164">
            <v>4</v>
          </cell>
          <cell r="G164">
            <v>372</v>
          </cell>
          <cell r="J164">
            <v>1488</v>
          </cell>
          <cell r="K164">
            <v>9</v>
          </cell>
          <cell r="U164">
            <v>482</v>
          </cell>
        </row>
        <row r="165">
          <cell r="C165">
            <v>9</v>
          </cell>
          <cell r="D165">
            <v>24</v>
          </cell>
          <cell r="F165">
            <v>3</v>
          </cell>
          <cell r="G165">
            <v>343</v>
          </cell>
          <cell r="J165">
            <v>1029</v>
          </cell>
          <cell r="K165">
            <v>111</v>
          </cell>
          <cell r="U165">
            <v>435</v>
          </cell>
        </row>
        <row r="166">
          <cell r="C166">
            <v>134</v>
          </cell>
          <cell r="D166">
            <v>7</v>
          </cell>
          <cell r="F166">
            <v>3</v>
          </cell>
          <cell r="G166">
            <v>61</v>
          </cell>
          <cell r="J166">
            <v>183</v>
          </cell>
          <cell r="K166">
            <v>32</v>
          </cell>
          <cell r="U166">
            <v>65</v>
          </cell>
        </row>
        <row r="167">
          <cell r="C167">
            <v>142</v>
          </cell>
          <cell r="D167">
            <v>67</v>
          </cell>
          <cell r="F167">
            <v>2</v>
          </cell>
          <cell r="G167">
            <v>132</v>
          </cell>
          <cell r="J167">
            <v>264</v>
          </cell>
          <cell r="K167">
            <v>295</v>
          </cell>
          <cell r="U167">
            <v>291</v>
          </cell>
        </row>
        <row r="168">
          <cell r="C168">
            <v>181</v>
          </cell>
          <cell r="D168">
            <v>23</v>
          </cell>
          <cell r="F168">
            <v>5</v>
          </cell>
          <cell r="G168">
            <v>137</v>
          </cell>
          <cell r="J168">
            <v>685</v>
          </cell>
          <cell r="K168">
            <v>127</v>
          </cell>
          <cell r="U168">
            <v>370</v>
          </cell>
        </row>
        <row r="169">
          <cell r="C169">
            <v>49</v>
          </cell>
          <cell r="D169">
            <v>17</v>
          </cell>
          <cell r="F169">
            <v>5</v>
          </cell>
          <cell r="G169">
            <v>362</v>
          </cell>
          <cell r="J169">
            <v>1810</v>
          </cell>
          <cell r="K169">
            <v>1</v>
          </cell>
          <cell r="U169">
            <v>55</v>
          </cell>
        </row>
        <row r="170">
          <cell r="C170">
            <v>128</v>
          </cell>
          <cell r="D170">
            <v>33</v>
          </cell>
          <cell r="F170">
            <v>4</v>
          </cell>
          <cell r="G170">
            <v>444</v>
          </cell>
          <cell r="J170">
            <v>1776</v>
          </cell>
          <cell r="K170">
            <v>77</v>
          </cell>
          <cell r="U170">
            <v>51</v>
          </cell>
        </row>
        <row r="171">
          <cell r="C171">
            <v>152</v>
          </cell>
          <cell r="D171">
            <v>35</v>
          </cell>
          <cell r="F171">
            <v>4</v>
          </cell>
          <cell r="G171">
            <v>191</v>
          </cell>
          <cell r="J171">
            <v>764</v>
          </cell>
          <cell r="K171">
            <v>115</v>
          </cell>
          <cell r="U171">
            <v>346</v>
          </cell>
        </row>
        <row r="172">
          <cell r="C172">
            <v>132</v>
          </cell>
          <cell r="D172">
            <v>52</v>
          </cell>
          <cell r="F172">
            <v>1</v>
          </cell>
          <cell r="G172">
            <v>71</v>
          </cell>
          <cell r="J172">
            <v>71</v>
          </cell>
          <cell r="K172">
            <v>2</v>
          </cell>
          <cell r="U172">
            <v>257</v>
          </cell>
        </row>
        <row r="173">
          <cell r="C173">
            <v>189</v>
          </cell>
          <cell r="D173">
            <v>87</v>
          </cell>
          <cell r="F173">
            <v>5</v>
          </cell>
          <cell r="G173">
            <v>210</v>
          </cell>
          <cell r="J173">
            <v>1050</v>
          </cell>
          <cell r="K173">
            <v>145</v>
          </cell>
          <cell r="U173">
            <v>115</v>
          </cell>
        </row>
        <row r="174">
          <cell r="C174">
            <v>41</v>
          </cell>
          <cell r="D174">
            <v>53</v>
          </cell>
          <cell r="F174">
            <v>4</v>
          </cell>
          <cell r="G174">
            <v>61</v>
          </cell>
          <cell r="J174">
            <v>244</v>
          </cell>
          <cell r="K174">
            <v>166</v>
          </cell>
          <cell r="U174">
            <v>59</v>
          </cell>
        </row>
        <row r="175">
          <cell r="C175">
            <v>55</v>
          </cell>
          <cell r="D175">
            <v>51</v>
          </cell>
          <cell r="F175">
            <v>4</v>
          </cell>
          <cell r="G175">
            <v>413</v>
          </cell>
          <cell r="J175">
            <v>1652</v>
          </cell>
          <cell r="K175">
            <v>55</v>
          </cell>
          <cell r="U175">
            <v>27</v>
          </cell>
        </row>
        <row r="176">
          <cell r="C176">
            <v>153</v>
          </cell>
          <cell r="D176">
            <v>66</v>
          </cell>
          <cell r="F176">
            <v>4</v>
          </cell>
          <cell r="G176">
            <v>365</v>
          </cell>
          <cell r="J176">
            <v>1460</v>
          </cell>
          <cell r="K176">
            <v>76</v>
          </cell>
          <cell r="U176">
            <v>452</v>
          </cell>
        </row>
        <row r="177">
          <cell r="C177">
            <v>130</v>
          </cell>
          <cell r="D177">
            <v>5</v>
          </cell>
          <cell r="F177">
            <v>5</v>
          </cell>
          <cell r="G177">
            <v>201</v>
          </cell>
          <cell r="J177">
            <v>1005</v>
          </cell>
          <cell r="K177">
            <v>71</v>
          </cell>
          <cell r="U177">
            <v>127</v>
          </cell>
        </row>
        <row r="178">
          <cell r="C178">
            <v>57</v>
          </cell>
          <cell r="D178">
            <v>50</v>
          </cell>
          <cell r="F178">
            <v>2</v>
          </cell>
          <cell r="G178">
            <v>460</v>
          </cell>
          <cell r="J178">
            <v>920</v>
          </cell>
          <cell r="K178">
            <v>50</v>
          </cell>
          <cell r="U178">
            <v>407</v>
          </cell>
        </row>
        <row r="179">
          <cell r="C179">
            <v>94</v>
          </cell>
          <cell r="D179">
            <v>48</v>
          </cell>
          <cell r="F179">
            <v>1</v>
          </cell>
          <cell r="G179">
            <v>187</v>
          </cell>
          <cell r="J179">
            <v>187</v>
          </cell>
          <cell r="K179">
            <v>86</v>
          </cell>
          <cell r="U179">
            <v>315</v>
          </cell>
        </row>
        <row r="180">
          <cell r="C180">
            <v>40</v>
          </cell>
          <cell r="D180">
            <v>64</v>
          </cell>
          <cell r="F180">
            <v>2</v>
          </cell>
          <cell r="G180">
            <v>485</v>
          </cell>
          <cell r="J180">
            <v>970</v>
          </cell>
          <cell r="K180">
            <v>66</v>
          </cell>
          <cell r="U180">
            <v>461</v>
          </cell>
        </row>
        <row r="181">
          <cell r="C181">
            <v>149</v>
          </cell>
          <cell r="D181">
            <v>33</v>
          </cell>
          <cell r="F181">
            <v>5</v>
          </cell>
          <cell r="G181">
            <v>331</v>
          </cell>
          <cell r="J181">
            <v>1655</v>
          </cell>
          <cell r="K181">
            <v>77</v>
          </cell>
          <cell r="U181">
            <v>51</v>
          </cell>
        </row>
        <row r="182">
          <cell r="C182">
            <v>47</v>
          </cell>
          <cell r="D182">
            <v>59</v>
          </cell>
          <cell r="F182">
            <v>4</v>
          </cell>
          <cell r="G182">
            <v>341</v>
          </cell>
          <cell r="J182">
            <v>1364</v>
          </cell>
          <cell r="K182">
            <v>148</v>
          </cell>
          <cell r="U182">
            <v>183</v>
          </cell>
        </row>
        <row r="183">
          <cell r="C183">
            <v>19</v>
          </cell>
          <cell r="D183">
            <v>23</v>
          </cell>
          <cell r="F183">
            <v>5</v>
          </cell>
          <cell r="G183">
            <v>369</v>
          </cell>
          <cell r="J183">
            <v>1845</v>
          </cell>
          <cell r="K183">
            <v>127</v>
          </cell>
          <cell r="U183">
            <v>370</v>
          </cell>
        </row>
        <row r="184">
          <cell r="C184">
            <v>62</v>
          </cell>
          <cell r="D184">
            <v>58</v>
          </cell>
          <cell r="F184">
            <v>4</v>
          </cell>
          <cell r="G184">
            <v>204</v>
          </cell>
          <cell r="J184">
            <v>816</v>
          </cell>
          <cell r="K184">
            <v>382</v>
          </cell>
          <cell r="U184">
            <v>426</v>
          </cell>
        </row>
        <row r="185">
          <cell r="C185">
            <v>88</v>
          </cell>
          <cell r="D185">
            <v>41</v>
          </cell>
          <cell r="F185">
            <v>1</v>
          </cell>
          <cell r="G185">
            <v>473</v>
          </cell>
          <cell r="J185">
            <v>473</v>
          </cell>
          <cell r="K185">
            <v>19</v>
          </cell>
          <cell r="U185">
            <v>459</v>
          </cell>
        </row>
        <row r="186">
          <cell r="C186">
            <v>160</v>
          </cell>
          <cell r="D186">
            <v>22</v>
          </cell>
          <cell r="F186">
            <v>3</v>
          </cell>
          <cell r="G186">
            <v>286</v>
          </cell>
          <cell r="J186">
            <v>858</v>
          </cell>
          <cell r="K186">
            <v>9</v>
          </cell>
          <cell r="U186">
            <v>482</v>
          </cell>
        </row>
        <row r="187">
          <cell r="C187">
            <v>193</v>
          </cell>
          <cell r="D187">
            <v>93</v>
          </cell>
          <cell r="F187">
            <v>1</v>
          </cell>
          <cell r="G187">
            <v>408</v>
          </cell>
          <cell r="J187">
            <v>408</v>
          </cell>
          <cell r="K187">
            <v>35</v>
          </cell>
          <cell r="U187">
            <v>423</v>
          </cell>
        </row>
        <row r="188">
          <cell r="C188">
            <v>33</v>
          </cell>
          <cell r="D188">
            <v>60</v>
          </cell>
          <cell r="F188">
            <v>2</v>
          </cell>
          <cell r="G188">
            <v>473</v>
          </cell>
          <cell r="J188">
            <v>946</v>
          </cell>
          <cell r="K188">
            <v>40</v>
          </cell>
          <cell r="U188">
            <v>435</v>
          </cell>
        </row>
        <row r="189">
          <cell r="C189">
            <v>132</v>
          </cell>
          <cell r="D189">
            <v>72</v>
          </cell>
          <cell r="F189">
            <v>2</v>
          </cell>
          <cell r="G189">
            <v>379</v>
          </cell>
          <cell r="J189">
            <v>758</v>
          </cell>
          <cell r="K189">
            <v>236</v>
          </cell>
          <cell r="U189">
            <v>465</v>
          </cell>
        </row>
        <row r="190">
          <cell r="C190">
            <v>161</v>
          </cell>
          <cell r="D190">
            <v>3</v>
          </cell>
          <cell r="F190">
            <v>4</v>
          </cell>
          <cell r="G190">
            <v>66</v>
          </cell>
          <cell r="J190">
            <v>264</v>
          </cell>
          <cell r="K190">
            <v>147</v>
          </cell>
          <cell r="U190">
            <v>357</v>
          </cell>
        </row>
        <row r="191">
          <cell r="C191">
            <v>9</v>
          </cell>
          <cell r="D191">
            <v>78</v>
          </cell>
          <cell r="F191">
            <v>4</v>
          </cell>
          <cell r="G191">
            <v>233</v>
          </cell>
          <cell r="J191">
            <v>932</v>
          </cell>
          <cell r="K191">
            <v>41</v>
          </cell>
          <cell r="U191">
            <v>88</v>
          </cell>
        </row>
        <row r="192">
          <cell r="C192">
            <v>91</v>
          </cell>
          <cell r="D192">
            <v>9</v>
          </cell>
          <cell r="F192">
            <v>4</v>
          </cell>
          <cell r="G192">
            <v>483</v>
          </cell>
          <cell r="J192">
            <v>1932</v>
          </cell>
          <cell r="K192">
            <v>185</v>
          </cell>
          <cell r="U192">
            <v>121</v>
          </cell>
        </row>
        <row r="193">
          <cell r="C193">
            <v>178</v>
          </cell>
          <cell r="D193">
            <v>50</v>
          </cell>
          <cell r="F193">
            <v>4</v>
          </cell>
          <cell r="G193">
            <v>278</v>
          </cell>
          <cell r="J193">
            <v>1112</v>
          </cell>
          <cell r="K193">
            <v>50</v>
          </cell>
          <cell r="U193">
            <v>407</v>
          </cell>
        </row>
        <row r="194">
          <cell r="C194">
            <v>115</v>
          </cell>
          <cell r="D194">
            <v>11</v>
          </cell>
          <cell r="F194">
            <v>5</v>
          </cell>
          <cell r="G194">
            <v>474</v>
          </cell>
          <cell r="J194">
            <v>2370</v>
          </cell>
          <cell r="K194">
            <v>228</v>
          </cell>
          <cell r="U194">
            <v>373</v>
          </cell>
        </row>
        <row r="195">
          <cell r="C195">
            <v>180</v>
          </cell>
          <cell r="D195">
            <v>46</v>
          </cell>
          <cell r="F195">
            <v>5</v>
          </cell>
          <cell r="G195">
            <v>324</v>
          </cell>
          <cell r="J195">
            <v>1620</v>
          </cell>
          <cell r="K195">
            <v>218</v>
          </cell>
          <cell r="U195">
            <v>56</v>
          </cell>
        </row>
        <row r="196">
          <cell r="C196">
            <v>61</v>
          </cell>
          <cell r="D196">
            <v>55</v>
          </cell>
          <cell r="F196">
            <v>5</v>
          </cell>
          <cell r="G196">
            <v>224</v>
          </cell>
          <cell r="J196">
            <v>1120</v>
          </cell>
          <cell r="K196">
            <v>167</v>
          </cell>
          <cell r="U196">
            <v>454</v>
          </cell>
        </row>
        <row r="197">
          <cell r="C197">
            <v>83</v>
          </cell>
          <cell r="D197">
            <v>56</v>
          </cell>
          <cell r="F197">
            <v>2</v>
          </cell>
          <cell r="G197">
            <v>225</v>
          </cell>
          <cell r="J197">
            <v>450</v>
          </cell>
          <cell r="K197">
            <v>70</v>
          </cell>
          <cell r="U197">
            <v>64</v>
          </cell>
        </row>
        <row r="198">
          <cell r="C198">
            <v>195</v>
          </cell>
          <cell r="D198">
            <v>66</v>
          </cell>
          <cell r="F198">
            <v>1</v>
          </cell>
          <cell r="G198">
            <v>321</v>
          </cell>
          <cell r="J198">
            <v>321</v>
          </cell>
          <cell r="K198">
            <v>76</v>
          </cell>
          <cell r="U198">
            <v>452</v>
          </cell>
        </row>
        <row r="199">
          <cell r="C199">
            <v>73</v>
          </cell>
          <cell r="D199">
            <v>28</v>
          </cell>
          <cell r="F199">
            <v>2</v>
          </cell>
          <cell r="G199">
            <v>124</v>
          </cell>
          <cell r="J199">
            <v>248</v>
          </cell>
          <cell r="K199">
            <v>16</v>
          </cell>
          <cell r="U199">
            <v>203</v>
          </cell>
        </row>
        <row r="200">
          <cell r="C200">
            <v>199</v>
          </cell>
          <cell r="D200">
            <v>84</v>
          </cell>
          <cell r="F200">
            <v>3</v>
          </cell>
          <cell r="G200">
            <v>452</v>
          </cell>
          <cell r="J200">
            <v>1356</v>
          </cell>
          <cell r="K200">
            <v>303</v>
          </cell>
          <cell r="U200">
            <v>249</v>
          </cell>
        </row>
        <row r="201">
          <cell r="C201">
            <v>175</v>
          </cell>
          <cell r="D201">
            <v>89</v>
          </cell>
          <cell r="F201">
            <v>1</v>
          </cell>
          <cell r="G201">
            <v>58</v>
          </cell>
          <cell r="J201">
            <v>58</v>
          </cell>
          <cell r="K201">
            <v>10</v>
          </cell>
          <cell r="U201">
            <v>387</v>
          </cell>
        </row>
        <row r="202">
          <cell r="C202">
            <v>148</v>
          </cell>
          <cell r="D202">
            <v>98</v>
          </cell>
          <cell r="F202">
            <v>2</v>
          </cell>
          <cell r="G202">
            <v>187</v>
          </cell>
          <cell r="J202">
            <v>374</v>
          </cell>
          <cell r="K202">
            <v>139</v>
          </cell>
          <cell r="U202">
            <v>460</v>
          </cell>
        </row>
        <row r="203">
          <cell r="C203">
            <v>194</v>
          </cell>
          <cell r="D203">
            <v>77</v>
          </cell>
          <cell r="F203">
            <v>1</v>
          </cell>
          <cell r="G203">
            <v>290</v>
          </cell>
          <cell r="J203">
            <v>290</v>
          </cell>
          <cell r="K203">
            <v>243</v>
          </cell>
          <cell r="U203">
            <v>389</v>
          </cell>
        </row>
        <row r="204">
          <cell r="C204">
            <v>47</v>
          </cell>
          <cell r="D204">
            <v>71</v>
          </cell>
          <cell r="F204">
            <v>5</v>
          </cell>
          <cell r="G204">
            <v>128</v>
          </cell>
          <cell r="J204">
            <v>640</v>
          </cell>
          <cell r="K204">
            <v>30</v>
          </cell>
          <cell r="U204">
            <v>389</v>
          </cell>
        </row>
        <row r="205">
          <cell r="C205">
            <v>141</v>
          </cell>
          <cell r="D205">
            <v>78</v>
          </cell>
          <cell r="F205">
            <v>2</v>
          </cell>
          <cell r="G205">
            <v>456</v>
          </cell>
          <cell r="J205">
            <v>912</v>
          </cell>
          <cell r="K205">
            <v>41</v>
          </cell>
          <cell r="U205">
            <v>88</v>
          </cell>
        </row>
        <row r="206">
          <cell r="C206">
            <v>50</v>
          </cell>
          <cell r="D206">
            <v>42</v>
          </cell>
          <cell r="F206">
            <v>1</v>
          </cell>
          <cell r="G206">
            <v>330</v>
          </cell>
          <cell r="J206">
            <v>330</v>
          </cell>
          <cell r="K206">
            <v>108</v>
          </cell>
          <cell r="U206">
            <v>77</v>
          </cell>
        </row>
        <row r="207">
          <cell r="C207">
            <v>113</v>
          </cell>
          <cell r="D207">
            <v>14</v>
          </cell>
          <cell r="F207">
            <v>3</v>
          </cell>
          <cell r="G207">
            <v>473</v>
          </cell>
          <cell r="J207">
            <v>1419</v>
          </cell>
          <cell r="K207">
            <v>8</v>
          </cell>
          <cell r="U207">
            <v>290</v>
          </cell>
        </row>
        <row r="208">
          <cell r="C208">
            <v>80</v>
          </cell>
          <cell r="D208">
            <v>71</v>
          </cell>
          <cell r="F208">
            <v>2</v>
          </cell>
          <cell r="G208">
            <v>61</v>
          </cell>
          <cell r="J208">
            <v>122</v>
          </cell>
          <cell r="K208">
            <v>30</v>
          </cell>
          <cell r="U208">
            <v>389</v>
          </cell>
        </row>
        <row r="209">
          <cell r="C209">
            <v>22</v>
          </cell>
          <cell r="D209">
            <v>24</v>
          </cell>
          <cell r="F209">
            <v>2</v>
          </cell>
          <cell r="G209">
            <v>411</v>
          </cell>
          <cell r="J209">
            <v>822</v>
          </cell>
          <cell r="K209">
            <v>111</v>
          </cell>
          <cell r="U209">
            <v>435</v>
          </cell>
        </row>
        <row r="210">
          <cell r="C210">
            <v>43</v>
          </cell>
          <cell r="D210">
            <v>75</v>
          </cell>
          <cell r="F210">
            <v>4</v>
          </cell>
          <cell r="G210">
            <v>358</v>
          </cell>
          <cell r="J210">
            <v>1432</v>
          </cell>
          <cell r="K210">
            <v>14</v>
          </cell>
          <cell r="U210">
            <v>88</v>
          </cell>
        </row>
        <row r="211">
          <cell r="C211">
            <v>28</v>
          </cell>
          <cell r="D211">
            <v>40</v>
          </cell>
          <cell r="F211">
            <v>1</v>
          </cell>
          <cell r="G211">
            <v>132</v>
          </cell>
          <cell r="J211">
            <v>132</v>
          </cell>
          <cell r="K211">
            <v>113</v>
          </cell>
          <cell r="U211">
            <v>184</v>
          </cell>
        </row>
        <row r="212">
          <cell r="C212">
            <v>197</v>
          </cell>
          <cell r="D212">
            <v>84</v>
          </cell>
          <cell r="F212">
            <v>4</v>
          </cell>
          <cell r="G212">
            <v>496</v>
          </cell>
          <cell r="J212">
            <v>1984</v>
          </cell>
          <cell r="K212">
            <v>303</v>
          </cell>
          <cell r="U212">
            <v>249</v>
          </cell>
        </row>
        <row r="213">
          <cell r="C213">
            <v>161</v>
          </cell>
          <cell r="D213">
            <v>37</v>
          </cell>
          <cell r="F213">
            <v>5</v>
          </cell>
          <cell r="G213">
            <v>215</v>
          </cell>
          <cell r="J213">
            <v>1075</v>
          </cell>
          <cell r="K213">
            <v>23</v>
          </cell>
          <cell r="U213">
            <v>210</v>
          </cell>
        </row>
        <row r="214">
          <cell r="C214">
            <v>129</v>
          </cell>
          <cell r="D214">
            <v>82</v>
          </cell>
          <cell r="F214">
            <v>2</v>
          </cell>
          <cell r="G214">
            <v>245</v>
          </cell>
          <cell r="J214">
            <v>490</v>
          </cell>
          <cell r="K214">
            <v>291</v>
          </cell>
          <cell r="U214">
            <v>358</v>
          </cell>
        </row>
        <row r="215">
          <cell r="C215">
            <v>99</v>
          </cell>
          <cell r="D215">
            <v>80</v>
          </cell>
          <cell r="F215">
            <v>3</v>
          </cell>
          <cell r="G215">
            <v>403</v>
          </cell>
          <cell r="J215">
            <v>1209</v>
          </cell>
          <cell r="K215">
            <v>44</v>
          </cell>
          <cell r="U215">
            <v>272</v>
          </cell>
        </row>
        <row r="216">
          <cell r="C216">
            <v>34</v>
          </cell>
          <cell r="D216">
            <v>59</v>
          </cell>
          <cell r="F216">
            <v>2</v>
          </cell>
          <cell r="G216">
            <v>143</v>
          </cell>
          <cell r="J216">
            <v>286</v>
          </cell>
          <cell r="K216">
            <v>148</v>
          </cell>
          <cell r="U216">
            <v>183</v>
          </cell>
        </row>
        <row r="217">
          <cell r="C217">
            <v>31</v>
          </cell>
          <cell r="D217">
            <v>77</v>
          </cell>
          <cell r="F217">
            <v>5</v>
          </cell>
          <cell r="G217">
            <v>498</v>
          </cell>
          <cell r="J217">
            <v>2490</v>
          </cell>
          <cell r="K217">
            <v>243</v>
          </cell>
          <cell r="U217">
            <v>389</v>
          </cell>
        </row>
        <row r="218">
          <cell r="C218">
            <v>142</v>
          </cell>
          <cell r="D218">
            <v>18</v>
          </cell>
          <cell r="F218">
            <v>5</v>
          </cell>
          <cell r="G218">
            <v>183</v>
          </cell>
          <cell r="J218">
            <v>915</v>
          </cell>
          <cell r="K218">
            <v>78</v>
          </cell>
          <cell r="U218">
            <v>460</v>
          </cell>
        </row>
        <row r="219">
          <cell r="C219">
            <v>25</v>
          </cell>
          <cell r="D219">
            <v>39</v>
          </cell>
          <cell r="F219">
            <v>2</v>
          </cell>
          <cell r="G219">
            <v>89</v>
          </cell>
          <cell r="J219">
            <v>178</v>
          </cell>
          <cell r="K219">
            <v>122</v>
          </cell>
          <cell r="U219">
            <v>50</v>
          </cell>
        </row>
        <row r="220">
          <cell r="C220">
            <v>133</v>
          </cell>
          <cell r="D220">
            <v>50</v>
          </cell>
          <cell r="F220">
            <v>2</v>
          </cell>
          <cell r="G220">
            <v>99</v>
          </cell>
          <cell r="J220">
            <v>198</v>
          </cell>
          <cell r="K220">
            <v>50</v>
          </cell>
          <cell r="U220">
            <v>407</v>
          </cell>
        </row>
        <row r="221">
          <cell r="C221">
            <v>143</v>
          </cell>
          <cell r="D221">
            <v>41</v>
          </cell>
          <cell r="F221">
            <v>1</v>
          </cell>
          <cell r="G221">
            <v>284</v>
          </cell>
          <cell r="J221">
            <v>284</v>
          </cell>
          <cell r="K221">
            <v>19</v>
          </cell>
          <cell r="U221">
            <v>459</v>
          </cell>
        </row>
        <row r="222">
          <cell r="C222">
            <v>118</v>
          </cell>
          <cell r="D222">
            <v>17</v>
          </cell>
          <cell r="F222">
            <v>3</v>
          </cell>
          <cell r="G222">
            <v>162</v>
          </cell>
          <cell r="J222">
            <v>486</v>
          </cell>
          <cell r="K222">
            <v>1</v>
          </cell>
          <cell r="U222">
            <v>55</v>
          </cell>
        </row>
        <row r="223">
          <cell r="C223">
            <v>168</v>
          </cell>
          <cell r="D223">
            <v>55</v>
          </cell>
          <cell r="F223">
            <v>4</v>
          </cell>
          <cell r="G223">
            <v>277</v>
          </cell>
          <cell r="J223">
            <v>1108</v>
          </cell>
          <cell r="K223">
            <v>167</v>
          </cell>
          <cell r="U223">
            <v>454</v>
          </cell>
        </row>
        <row r="224">
          <cell r="C224">
            <v>29</v>
          </cell>
          <cell r="D224">
            <v>65</v>
          </cell>
          <cell r="F224">
            <v>1</v>
          </cell>
          <cell r="G224">
            <v>20</v>
          </cell>
          <cell r="J224">
            <v>20</v>
          </cell>
          <cell r="K224">
            <v>175</v>
          </cell>
          <cell r="U224">
            <v>309</v>
          </cell>
        </row>
        <row r="225">
          <cell r="C225">
            <v>72</v>
          </cell>
          <cell r="D225">
            <v>78</v>
          </cell>
          <cell r="F225">
            <v>4</v>
          </cell>
          <cell r="G225">
            <v>113</v>
          </cell>
          <cell r="J225">
            <v>452</v>
          </cell>
          <cell r="K225">
            <v>41</v>
          </cell>
          <cell r="U225">
            <v>88</v>
          </cell>
        </row>
        <row r="226">
          <cell r="C226">
            <v>149</v>
          </cell>
          <cell r="D226">
            <v>9</v>
          </cell>
          <cell r="F226">
            <v>1</v>
          </cell>
          <cell r="G226">
            <v>97</v>
          </cell>
          <cell r="J226">
            <v>97</v>
          </cell>
          <cell r="K226">
            <v>185</v>
          </cell>
          <cell r="U226">
            <v>121</v>
          </cell>
        </row>
        <row r="227">
          <cell r="C227">
            <v>128</v>
          </cell>
          <cell r="D227">
            <v>52</v>
          </cell>
          <cell r="F227">
            <v>4</v>
          </cell>
          <cell r="G227">
            <v>59</v>
          </cell>
          <cell r="J227">
            <v>236</v>
          </cell>
          <cell r="K227">
            <v>2</v>
          </cell>
          <cell r="U227">
            <v>257</v>
          </cell>
        </row>
        <row r="228">
          <cell r="C228">
            <v>138</v>
          </cell>
          <cell r="D228">
            <v>58</v>
          </cell>
          <cell r="F228">
            <v>4</v>
          </cell>
          <cell r="G228">
            <v>327</v>
          </cell>
          <cell r="J228">
            <v>1308</v>
          </cell>
          <cell r="K228">
            <v>382</v>
          </cell>
          <cell r="U228">
            <v>426</v>
          </cell>
        </row>
        <row r="229">
          <cell r="C229">
            <v>151</v>
          </cell>
          <cell r="D229">
            <v>74</v>
          </cell>
          <cell r="F229">
            <v>5</v>
          </cell>
          <cell r="G229">
            <v>472</v>
          </cell>
          <cell r="J229">
            <v>2360</v>
          </cell>
          <cell r="K229">
            <v>165</v>
          </cell>
          <cell r="U229">
            <v>251</v>
          </cell>
        </row>
        <row r="230">
          <cell r="C230">
            <v>170</v>
          </cell>
          <cell r="D230">
            <v>70</v>
          </cell>
          <cell r="F230">
            <v>1</v>
          </cell>
          <cell r="G230">
            <v>127</v>
          </cell>
          <cell r="J230">
            <v>127</v>
          </cell>
          <cell r="K230">
            <v>33</v>
          </cell>
          <cell r="U230">
            <v>308</v>
          </cell>
        </row>
        <row r="231">
          <cell r="C231">
            <v>183</v>
          </cell>
          <cell r="D231">
            <v>41</v>
          </cell>
          <cell r="F231">
            <v>4</v>
          </cell>
          <cell r="G231">
            <v>169</v>
          </cell>
          <cell r="J231">
            <v>676</v>
          </cell>
          <cell r="K231">
            <v>19</v>
          </cell>
          <cell r="U231">
            <v>459</v>
          </cell>
        </row>
        <row r="232">
          <cell r="C232">
            <v>200</v>
          </cell>
          <cell r="D232">
            <v>96</v>
          </cell>
          <cell r="F232">
            <v>4</v>
          </cell>
          <cell r="G232">
            <v>182</v>
          </cell>
          <cell r="J232">
            <v>728</v>
          </cell>
          <cell r="K232">
            <v>25</v>
          </cell>
          <cell r="U232">
            <v>150</v>
          </cell>
        </row>
        <row r="233">
          <cell r="C233">
            <v>39</v>
          </cell>
          <cell r="D233">
            <v>14</v>
          </cell>
          <cell r="F233">
            <v>5</v>
          </cell>
          <cell r="G233">
            <v>33</v>
          </cell>
          <cell r="J233">
            <v>165</v>
          </cell>
          <cell r="K233">
            <v>8</v>
          </cell>
          <cell r="U233">
            <v>290</v>
          </cell>
        </row>
        <row r="234">
          <cell r="C234">
            <v>125</v>
          </cell>
          <cell r="D234">
            <v>51</v>
          </cell>
          <cell r="F234">
            <v>5</v>
          </cell>
          <cell r="G234">
            <v>494</v>
          </cell>
          <cell r="J234">
            <v>2470</v>
          </cell>
          <cell r="K234">
            <v>55</v>
          </cell>
          <cell r="U234">
            <v>27</v>
          </cell>
        </row>
        <row r="235">
          <cell r="C235">
            <v>94</v>
          </cell>
          <cell r="D235">
            <v>57</v>
          </cell>
          <cell r="F235">
            <v>3</v>
          </cell>
          <cell r="G235">
            <v>50</v>
          </cell>
          <cell r="J235">
            <v>150</v>
          </cell>
          <cell r="K235">
            <v>31</v>
          </cell>
          <cell r="U235">
            <v>66</v>
          </cell>
        </row>
        <row r="236">
          <cell r="C236">
            <v>31</v>
          </cell>
          <cell r="D236">
            <v>15</v>
          </cell>
          <cell r="F236">
            <v>1</v>
          </cell>
          <cell r="G236">
            <v>374</v>
          </cell>
          <cell r="J236">
            <v>374</v>
          </cell>
          <cell r="K236">
            <v>407</v>
          </cell>
          <cell r="U236">
            <v>214</v>
          </cell>
        </row>
        <row r="237">
          <cell r="C237">
            <v>95</v>
          </cell>
          <cell r="D237">
            <v>11</v>
          </cell>
          <cell r="F237">
            <v>2</v>
          </cell>
          <cell r="G237">
            <v>47</v>
          </cell>
          <cell r="J237">
            <v>94</v>
          </cell>
          <cell r="K237">
            <v>228</v>
          </cell>
          <cell r="U237">
            <v>373</v>
          </cell>
        </row>
        <row r="238">
          <cell r="C238">
            <v>147</v>
          </cell>
          <cell r="D238">
            <v>100</v>
          </cell>
          <cell r="F238">
            <v>3</v>
          </cell>
          <cell r="G238">
            <v>290</v>
          </cell>
          <cell r="J238">
            <v>870</v>
          </cell>
          <cell r="K238">
            <v>54</v>
          </cell>
          <cell r="U238">
            <v>472</v>
          </cell>
        </row>
        <row r="239">
          <cell r="C239">
            <v>161</v>
          </cell>
          <cell r="D239">
            <v>77</v>
          </cell>
          <cell r="F239">
            <v>1</v>
          </cell>
          <cell r="G239">
            <v>223</v>
          </cell>
          <cell r="J239">
            <v>223</v>
          </cell>
          <cell r="K239">
            <v>243</v>
          </cell>
          <cell r="U239">
            <v>389</v>
          </cell>
        </row>
        <row r="240">
          <cell r="C240">
            <v>105</v>
          </cell>
          <cell r="D240">
            <v>71</v>
          </cell>
          <cell r="F240">
            <v>3</v>
          </cell>
          <cell r="G240">
            <v>268</v>
          </cell>
          <cell r="J240">
            <v>804</v>
          </cell>
          <cell r="K240">
            <v>30</v>
          </cell>
          <cell r="U240">
            <v>389</v>
          </cell>
        </row>
        <row r="241">
          <cell r="C241">
            <v>166</v>
          </cell>
          <cell r="D241">
            <v>20</v>
          </cell>
          <cell r="F241">
            <v>2</v>
          </cell>
          <cell r="G241">
            <v>411</v>
          </cell>
          <cell r="J241">
            <v>822</v>
          </cell>
          <cell r="K241">
            <v>137</v>
          </cell>
          <cell r="U241">
            <v>182</v>
          </cell>
        </row>
        <row r="242">
          <cell r="C242">
            <v>21</v>
          </cell>
          <cell r="D242">
            <v>73</v>
          </cell>
          <cell r="F242">
            <v>3</v>
          </cell>
          <cell r="G242">
            <v>441</v>
          </cell>
          <cell r="J242">
            <v>1323</v>
          </cell>
          <cell r="K242">
            <v>18</v>
          </cell>
          <cell r="U242">
            <v>55</v>
          </cell>
        </row>
        <row r="243">
          <cell r="C243">
            <v>127</v>
          </cell>
          <cell r="D243">
            <v>3</v>
          </cell>
          <cell r="F243">
            <v>2</v>
          </cell>
          <cell r="G243">
            <v>343</v>
          </cell>
          <cell r="J243">
            <v>686</v>
          </cell>
          <cell r="K243">
            <v>147</v>
          </cell>
          <cell r="U243">
            <v>357</v>
          </cell>
        </row>
        <row r="244">
          <cell r="C244">
            <v>139</v>
          </cell>
          <cell r="D244">
            <v>5</v>
          </cell>
          <cell r="F244">
            <v>2</v>
          </cell>
          <cell r="G244">
            <v>70</v>
          </cell>
          <cell r="J244">
            <v>140</v>
          </cell>
          <cell r="K244">
            <v>71</v>
          </cell>
          <cell r="U244">
            <v>127</v>
          </cell>
        </row>
        <row r="245">
          <cell r="C245">
            <v>152</v>
          </cell>
          <cell r="D245">
            <v>97</v>
          </cell>
          <cell r="F245">
            <v>1</v>
          </cell>
          <cell r="G245">
            <v>232</v>
          </cell>
          <cell r="J245">
            <v>232</v>
          </cell>
          <cell r="K245">
            <v>5</v>
          </cell>
          <cell r="U245">
            <v>419</v>
          </cell>
        </row>
        <row r="246">
          <cell r="C246">
            <v>106</v>
          </cell>
          <cell r="D246">
            <v>40</v>
          </cell>
          <cell r="F246">
            <v>5</v>
          </cell>
          <cell r="G246">
            <v>456</v>
          </cell>
          <cell r="J246">
            <v>2280</v>
          </cell>
          <cell r="K246">
            <v>113</v>
          </cell>
          <cell r="U246">
            <v>184</v>
          </cell>
        </row>
        <row r="247">
          <cell r="C247">
            <v>115</v>
          </cell>
          <cell r="D247">
            <v>97</v>
          </cell>
          <cell r="F247">
            <v>1</v>
          </cell>
          <cell r="G247">
            <v>316</v>
          </cell>
          <cell r="J247">
            <v>316</v>
          </cell>
          <cell r="K247">
            <v>5</v>
          </cell>
          <cell r="U247">
            <v>419</v>
          </cell>
        </row>
        <row r="248">
          <cell r="C248">
            <v>141</v>
          </cell>
          <cell r="D248">
            <v>26</v>
          </cell>
          <cell r="F248">
            <v>4</v>
          </cell>
          <cell r="G248">
            <v>451</v>
          </cell>
          <cell r="J248">
            <v>1804</v>
          </cell>
          <cell r="K248">
            <v>11</v>
          </cell>
          <cell r="U248">
            <v>462</v>
          </cell>
        </row>
        <row r="249">
          <cell r="C249">
            <v>161</v>
          </cell>
          <cell r="D249">
            <v>45</v>
          </cell>
          <cell r="F249">
            <v>4</v>
          </cell>
          <cell r="G249">
            <v>296</v>
          </cell>
          <cell r="J249">
            <v>1184</v>
          </cell>
          <cell r="K249">
            <v>472</v>
          </cell>
          <cell r="U249">
            <v>425</v>
          </cell>
        </row>
        <row r="250">
          <cell r="C250">
            <v>46</v>
          </cell>
          <cell r="D250">
            <v>86</v>
          </cell>
          <cell r="F250">
            <v>4</v>
          </cell>
          <cell r="G250">
            <v>166</v>
          </cell>
          <cell r="J250">
            <v>664</v>
          </cell>
          <cell r="K250">
            <v>84</v>
          </cell>
          <cell r="U250">
            <v>405</v>
          </cell>
        </row>
        <row r="251">
          <cell r="C251">
            <v>155</v>
          </cell>
          <cell r="D251">
            <v>30</v>
          </cell>
          <cell r="F251">
            <v>3</v>
          </cell>
          <cell r="G251">
            <v>356</v>
          </cell>
          <cell r="J251">
            <v>1068</v>
          </cell>
          <cell r="K251">
            <v>68</v>
          </cell>
          <cell r="U251">
            <v>230</v>
          </cell>
        </row>
        <row r="252">
          <cell r="C252">
            <v>159</v>
          </cell>
          <cell r="D252">
            <v>89</v>
          </cell>
          <cell r="F252">
            <v>3</v>
          </cell>
          <cell r="G252">
            <v>450</v>
          </cell>
          <cell r="J252">
            <v>1350</v>
          </cell>
          <cell r="K252">
            <v>10</v>
          </cell>
          <cell r="U252">
            <v>387</v>
          </cell>
        </row>
        <row r="253">
          <cell r="C253">
            <v>88</v>
          </cell>
          <cell r="D253">
            <v>70</v>
          </cell>
          <cell r="F253">
            <v>1</v>
          </cell>
          <cell r="G253">
            <v>185</v>
          </cell>
          <cell r="J253">
            <v>185</v>
          </cell>
          <cell r="K253">
            <v>33</v>
          </cell>
          <cell r="U253">
            <v>308</v>
          </cell>
        </row>
        <row r="254">
          <cell r="C254">
            <v>55</v>
          </cell>
          <cell r="D254">
            <v>23</v>
          </cell>
          <cell r="F254">
            <v>1</v>
          </cell>
          <cell r="G254">
            <v>396</v>
          </cell>
          <cell r="J254">
            <v>396</v>
          </cell>
          <cell r="K254">
            <v>127</v>
          </cell>
          <cell r="U254">
            <v>370</v>
          </cell>
        </row>
        <row r="255">
          <cell r="C255">
            <v>187</v>
          </cell>
          <cell r="D255">
            <v>78</v>
          </cell>
          <cell r="F255">
            <v>3</v>
          </cell>
          <cell r="G255">
            <v>447</v>
          </cell>
          <cell r="J255">
            <v>1341</v>
          </cell>
          <cell r="K255">
            <v>41</v>
          </cell>
          <cell r="U255">
            <v>88</v>
          </cell>
        </row>
        <row r="256">
          <cell r="C256">
            <v>189</v>
          </cell>
          <cell r="D256">
            <v>62</v>
          </cell>
          <cell r="F256">
            <v>4</v>
          </cell>
          <cell r="G256">
            <v>143</v>
          </cell>
          <cell r="J256">
            <v>572</v>
          </cell>
          <cell r="K256">
            <v>26</v>
          </cell>
          <cell r="U256">
            <v>32</v>
          </cell>
        </row>
        <row r="257">
          <cell r="C257">
            <v>87</v>
          </cell>
          <cell r="D257">
            <v>98</v>
          </cell>
          <cell r="F257">
            <v>1</v>
          </cell>
          <cell r="G257">
            <v>471</v>
          </cell>
          <cell r="J257">
            <v>471</v>
          </cell>
          <cell r="K257">
            <v>139</v>
          </cell>
          <cell r="U257">
            <v>460</v>
          </cell>
        </row>
        <row r="258">
          <cell r="C258">
            <v>120</v>
          </cell>
          <cell r="D258">
            <v>19</v>
          </cell>
          <cell r="F258">
            <v>2</v>
          </cell>
          <cell r="G258">
            <v>71</v>
          </cell>
          <cell r="J258">
            <v>142</v>
          </cell>
          <cell r="K258">
            <v>7</v>
          </cell>
          <cell r="U258">
            <v>442</v>
          </cell>
        </row>
        <row r="259">
          <cell r="C259">
            <v>53</v>
          </cell>
          <cell r="D259">
            <v>15</v>
          </cell>
          <cell r="F259">
            <v>1</v>
          </cell>
          <cell r="G259">
            <v>137</v>
          </cell>
          <cell r="J259">
            <v>137</v>
          </cell>
          <cell r="K259">
            <v>407</v>
          </cell>
          <cell r="U259">
            <v>214</v>
          </cell>
        </row>
        <row r="260">
          <cell r="C260">
            <v>67</v>
          </cell>
          <cell r="D260">
            <v>32</v>
          </cell>
          <cell r="F260">
            <v>5</v>
          </cell>
          <cell r="G260">
            <v>500</v>
          </cell>
          <cell r="J260">
            <v>2500</v>
          </cell>
          <cell r="K260">
            <v>27</v>
          </cell>
          <cell r="U260">
            <v>366</v>
          </cell>
        </row>
        <row r="261">
          <cell r="C261">
            <v>188</v>
          </cell>
          <cell r="D261">
            <v>76</v>
          </cell>
          <cell r="F261">
            <v>4</v>
          </cell>
          <cell r="G261">
            <v>440</v>
          </cell>
          <cell r="J261">
            <v>1760</v>
          </cell>
          <cell r="K261">
            <v>29</v>
          </cell>
          <cell r="U261">
            <v>164</v>
          </cell>
        </row>
        <row r="262">
          <cell r="C262">
            <v>47</v>
          </cell>
          <cell r="D262">
            <v>81</v>
          </cell>
          <cell r="F262">
            <v>5</v>
          </cell>
          <cell r="G262">
            <v>499</v>
          </cell>
          <cell r="J262">
            <v>2495</v>
          </cell>
          <cell r="K262">
            <v>80</v>
          </cell>
          <cell r="U262">
            <v>262</v>
          </cell>
        </row>
        <row r="263">
          <cell r="C263">
            <v>48</v>
          </cell>
          <cell r="D263">
            <v>21</v>
          </cell>
          <cell r="F263">
            <v>4</v>
          </cell>
          <cell r="G263">
            <v>442</v>
          </cell>
          <cell r="J263">
            <v>1768</v>
          </cell>
          <cell r="K263">
            <v>126</v>
          </cell>
          <cell r="U263">
            <v>327</v>
          </cell>
        </row>
        <row r="264">
          <cell r="C264">
            <v>191</v>
          </cell>
          <cell r="D264">
            <v>37</v>
          </cell>
          <cell r="F264">
            <v>3</v>
          </cell>
          <cell r="G264">
            <v>70</v>
          </cell>
          <cell r="J264">
            <v>210</v>
          </cell>
          <cell r="K264">
            <v>23</v>
          </cell>
          <cell r="U264">
            <v>210</v>
          </cell>
        </row>
        <row r="265">
          <cell r="C265">
            <v>180</v>
          </cell>
          <cell r="D265">
            <v>76</v>
          </cell>
          <cell r="F265">
            <v>5</v>
          </cell>
          <cell r="G265">
            <v>195</v>
          </cell>
          <cell r="J265">
            <v>975</v>
          </cell>
          <cell r="K265">
            <v>29</v>
          </cell>
          <cell r="U265">
            <v>164</v>
          </cell>
        </row>
        <row r="266">
          <cell r="C266">
            <v>75</v>
          </cell>
          <cell r="D266">
            <v>30</v>
          </cell>
          <cell r="F266">
            <v>4</v>
          </cell>
          <cell r="G266">
            <v>158</v>
          </cell>
          <cell r="J266">
            <v>632</v>
          </cell>
          <cell r="K266">
            <v>68</v>
          </cell>
          <cell r="U266">
            <v>230</v>
          </cell>
        </row>
        <row r="267">
          <cell r="C267">
            <v>32</v>
          </cell>
          <cell r="D267">
            <v>17</v>
          </cell>
          <cell r="F267">
            <v>2</v>
          </cell>
          <cell r="G267">
            <v>352</v>
          </cell>
          <cell r="J267">
            <v>704</v>
          </cell>
          <cell r="K267">
            <v>1</v>
          </cell>
          <cell r="U267">
            <v>55</v>
          </cell>
        </row>
        <row r="268">
          <cell r="C268">
            <v>123</v>
          </cell>
          <cell r="D268">
            <v>53</v>
          </cell>
          <cell r="F268">
            <v>2</v>
          </cell>
          <cell r="G268">
            <v>72</v>
          </cell>
          <cell r="J268">
            <v>144</v>
          </cell>
          <cell r="K268">
            <v>166</v>
          </cell>
          <cell r="U268">
            <v>59</v>
          </cell>
        </row>
        <row r="269">
          <cell r="C269">
            <v>64</v>
          </cell>
          <cell r="D269">
            <v>56</v>
          </cell>
          <cell r="F269">
            <v>2</v>
          </cell>
          <cell r="G269">
            <v>119</v>
          </cell>
          <cell r="J269">
            <v>238</v>
          </cell>
          <cell r="K269">
            <v>70</v>
          </cell>
          <cell r="U269">
            <v>64</v>
          </cell>
        </row>
        <row r="270">
          <cell r="C270">
            <v>163</v>
          </cell>
          <cell r="D270">
            <v>6</v>
          </cell>
          <cell r="F270">
            <v>1</v>
          </cell>
          <cell r="G270">
            <v>227</v>
          </cell>
          <cell r="J270">
            <v>227</v>
          </cell>
          <cell r="K270">
            <v>57</v>
          </cell>
          <cell r="U270">
            <v>492</v>
          </cell>
        </row>
        <row r="271">
          <cell r="C271">
            <v>142</v>
          </cell>
          <cell r="D271">
            <v>15</v>
          </cell>
          <cell r="F271">
            <v>3</v>
          </cell>
          <cell r="G271">
            <v>91</v>
          </cell>
          <cell r="J271">
            <v>273</v>
          </cell>
          <cell r="K271">
            <v>407</v>
          </cell>
          <cell r="U271">
            <v>214</v>
          </cell>
        </row>
        <row r="272">
          <cell r="C272">
            <v>130</v>
          </cell>
          <cell r="D272">
            <v>33</v>
          </cell>
          <cell r="F272">
            <v>4</v>
          </cell>
          <cell r="G272">
            <v>140</v>
          </cell>
          <cell r="J272">
            <v>560</v>
          </cell>
          <cell r="K272">
            <v>77</v>
          </cell>
          <cell r="U272">
            <v>51</v>
          </cell>
        </row>
        <row r="273">
          <cell r="C273">
            <v>33</v>
          </cell>
          <cell r="D273">
            <v>40</v>
          </cell>
          <cell r="F273">
            <v>3</v>
          </cell>
          <cell r="G273">
            <v>210</v>
          </cell>
          <cell r="J273">
            <v>630</v>
          </cell>
          <cell r="K273">
            <v>113</v>
          </cell>
          <cell r="U273">
            <v>184</v>
          </cell>
        </row>
        <row r="274">
          <cell r="C274">
            <v>139</v>
          </cell>
          <cell r="D274">
            <v>1</v>
          </cell>
          <cell r="F274">
            <v>4</v>
          </cell>
          <cell r="G274">
            <v>120</v>
          </cell>
          <cell r="J274">
            <v>480</v>
          </cell>
          <cell r="K274">
            <v>106</v>
          </cell>
          <cell r="U274">
            <v>68</v>
          </cell>
        </row>
        <row r="275">
          <cell r="C275">
            <v>142</v>
          </cell>
          <cell r="D275">
            <v>3</v>
          </cell>
          <cell r="F275">
            <v>3</v>
          </cell>
          <cell r="G275">
            <v>157</v>
          </cell>
          <cell r="J275">
            <v>471</v>
          </cell>
          <cell r="K275">
            <v>147</v>
          </cell>
          <cell r="U275">
            <v>357</v>
          </cell>
        </row>
        <row r="276">
          <cell r="C276">
            <v>46</v>
          </cell>
          <cell r="D276">
            <v>53</v>
          </cell>
          <cell r="F276">
            <v>4</v>
          </cell>
          <cell r="G276">
            <v>337</v>
          </cell>
          <cell r="J276">
            <v>1348</v>
          </cell>
          <cell r="K276">
            <v>166</v>
          </cell>
          <cell r="U276">
            <v>59</v>
          </cell>
        </row>
        <row r="277">
          <cell r="C277">
            <v>198</v>
          </cell>
          <cell r="D277">
            <v>57</v>
          </cell>
          <cell r="F277">
            <v>5</v>
          </cell>
          <cell r="G277">
            <v>383</v>
          </cell>
          <cell r="J277">
            <v>1915</v>
          </cell>
          <cell r="K277">
            <v>31</v>
          </cell>
          <cell r="U277">
            <v>66</v>
          </cell>
        </row>
        <row r="278">
          <cell r="C278">
            <v>76</v>
          </cell>
          <cell r="D278">
            <v>17</v>
          </cell>
          <cell r="F278">
            <v>5</v>
          </cell>
          <cell r="G278">
            <v>340</v>
          </cell>
          <cell r="J278">
            <v>1700</v>
          </cell>
          <cell r="K278">
            <v>1</v>
          </cell>
          <cell r="U278">
            <v>55</v>
          </cell>
        </row>
        <row r="279">
          <cell r="C279">
            <v>39</v>
          </cell>
          <cell r="D279">
            <v>35</v>
          </cell>
          <cell r="F279">
            <v>1</v>
          </cell>
          <cell r="G279">
            <v>119</v>
          </cell>
          <cell r="J279">
            <v>119</v>
          </cell>
          <cell r="K279">
            <v>115</v>
          </cell>
          <cell r="U279">
            <v>346</v>
          </cell>
        </row>
        <row r="280">
          <cell r="C280">
            <v>194</v>
          </cell>
          <cell r="D280">
            <v>37</v>
          </cell>
          <cell r="F280">
            <v>2</v>
          </cell>
          <cell r="G280">
            <v>155</v>
          </cell>
          <cell r="J280">
            <v>310</v>
          </cell>
          <cell r="K280">
            <v>23</v>
          </cell>
          <cell r="U280">
            <v>210</v>
          </cell>
        </row>
        <row r="281">
          <cell r="C281">
            <v>149</v>
          </cell>
          <cell r="D281">
            <v>66</v>
          </cell>
          <cell r="F281">
            <v>3</v>
          </cell>
          <cell r="G281">
            <v>152</v>
          </cell>
          <cell r="J281">
            <v>456</v>
          </cell>
          <cell r="K281">
            <v>76</v>
          </cell>
          <cell r="U281">
            <v>452</v>
          </cell>
        </row>
        <row r="282">
          <cell r="C282">
            <v>109</v>
          </cell>
          <cell r="D282">
            <v>19</v>
          </cell>
          <cell r="F282">
            <v>3</v>
          </cell>
          <cell r="G282">
            <v>283</v>
          </cell>
          <cell r="J282">
            <v>849</v>
          </cell>
          <cell r="K282">
            <v>7</v>
          </cell>
          <cell r="U282">
            <v>442</v>
          </cell>
        </row>
        <row r="283">
          <cell r="C283">
            <v>168</v>
          </cell>
          <cell r="D283">
            <v>97</v>
          </cell>
          <cell r="F283">
            <v>1</v>
          </cell>
          <cell r="G283">
            <v>414</v>
          </cell>
          <cell r="J283">
            <v>414</v>
          </cell>
          <cell r="K283">
            <v>5</v>
          </cell>
          <cell r="U283">
            <v>419</v>
          </cell>
        </row>
        <row r="284">
          <cell r="C284">
            <v>10</v>
          </cell>
          <cell r="D284">
            <v>72</v>
          </cell>
          <cell r="F284">
            <v>1</v>
          </cell>
          <cell r="G284">
            <v>139</v>
          </cell>
          <cell r="J284">
            <v>139</v>
          </cell>
          <cell r="K284">
            <v>236</v>
          </cell>
          <cell r="U284">
            <v>465</v>
          </cell>
        </row>
        <row r="285">
          <cell r="C285">
            <v>25</v>
          </cell>
          <cell r="D285">
            <v>39</v>
          </cell>
          <cell r="F285">
            <v>4</v>
          </cell>
          <cell r="G285">
            <v>315</v>
          </cell>
          <cell r="J285">
            <v>1260</v>
          </cell>
          <cell r="K285">
            <v>122</v>
          </cell>
          <cell r="U285">
            <v>50</v>
          </cell>
        </row>
        <row r="286">
          <cell r="C286">
            <v>119</v>
          </cell>
          <cell r="D286">
            <v>69</v>
          </cell>
          <cell r="F286">
            <v>4</v>
          </cell>
          <cell r="G286">
            <v>483</v>
          </cell>
          <cell r="J286">
            <v>1932</v>
          </cell>
          <cell r="K286">
            <v>15</v>
          </cell>
          <cell r="U286">
            <v>460</v>
          </cell>
        </row>
        <row r="287">
          <cell r="C287">
            <v>157</v>
          </cell>
          <cell r="D287">
            <v>23</v>
          </cell>
          <cell r="F287">
            <v>1</v>
          </cell>
          <cell r="G287">
            <v>348</v>
          </cell>
          <cell r="J287">
            <v>348</v>
          </cell>
          <cell r="K287">
            <v>127</v>
          </cell>
          <cell r="U287">
            <v>370</v>
          </cell>
        </row>
        <row r="288">
          <cell r="C288">
            <v>83</v>
          </cell>
          <cell r="D288">
            <v>86</v>
          </cell>
          <cell r="F288">
            <v>1</v>
          </cell>
          <cell r="G288">
            <v>286</v>
          </cell>
          <cell r="J288">
            <v>286</v>
          </cell>
          <cell r="K288">
            <v>84</v>
          </cell>
          <cell r="U288">
            <v>405</v>
          </cell>
        </row>
        <row r="289">
          <cell r="C289">
            <v>60</v>
          </cell>
          <cell r="D289">
            <v>63</v>
          </cell>
          <cell r="F289">
            <v>2</v>
          </cell>
          <cell r="G289">
            <v>469</v>
          </cell>
          <cell r="J289">
            <v>938</v>
          </cell>
          <cell r="K289">
            <v>36</v>
          </cell>
          <cell r="U289">
            <v>171</v>
          </cell>
        </row>
        <row r="290">
          <cell r="C290">
            <v>164</v>
          </cell>
          <cell r="D290">
            <v>72</v>
          </cell>
          <cell r="F290">
            <v>5</v>
          </cell>
          <cell r="G290">
            <v>58</v>
          </cell>
          <cell r="J290">
            <v>290</v>
          </cell>
          <cell r="K290">
            <v>236</v>
          </cell>
          <cell r="U290">
            <v>465</v>
          </cell>
        </row>
        <row r="291">
          <cell r="C291">
            <v>184</v>
          </cell>
          <cell r="D291">
            <v>15</v>
          </cell>
          <cell r="F291">
            <v>5</v>
          </cell>
          <cell r="G291">
            <v>308</v>
          </cell>
          <cell r="J291">
            <v>1540</v>
          </cell>
          <cell r="K291">
            <v>407</v>
          </cell>
          <cell r="U291">
            <v>214</v>
          </cell>
        </row>
        <row r="292">
          <cell r="C292">
            <v>183</v>
          </cell>
          <cell r="D292">
            <v>4</v>
          </cell>
          <cell r="F292">
            <v>4</v>
          </cell>
          <cell r="G292">
            <v>178</v>
          </cell>
          <cell r="J292">
            <v>712</v>
          </cell>
          <cell r="K292">
            <v>130</v>
          </cell>
          <cell r="U292">
            <v>459</v>
          </cell>
        </row>
        <row r="293">
          <cell r="C293">
            <v>114</v>
          </cell>
          <cell r="D293">
            <v>59</v>
          </cell>
          <cell r="F293">
            <v>5</v>
          </cell>
          <cell r="G293">
            <v>204</v>
          </cell>
          <cell r="J293">
            <v>1020</v>
          </cell>
          <cell r="K293">
            <v>148</v>
          </cell>
          <cell r="U293">
            <v>183</v>
          </cell>
        </row>
        <row r="294">
          <cell r="C294">
            <v>173</v>
          </cell>
          <cell r="D294">
            <v>10</v>
          </cell>
          <cell r="F294">
            <v>2</v>
          </cell>
          <cell r="G294">
            <v>47</v>
          </cell>
          <cell r="J294">
            <v>94</v>
          </cell>
          <cell r="K294">
            <v>3</v>
          </cell>
          <cell r="U294">
            <v>268</v>
          </cell>
        </row>
        <row r="295">
          <cell r="C295">
            <v>189</v>
          </cell>
          <cell r="D295">
            <v>82</v>
          </cell>
          <cell r="F295">
            <v>5</v>
          </cell>
          <cell r="G295">
            <v>431</v>
          </cell>
          <cell r="J295">
            <v>2155</v>
          </cell>
          <cell r="K295">
            <v>291</v>
          </cell>
          <cell r="U295">
            <v>358</v>
          </cell>
        </row>
        <row r="296">
          <cell r="C296">
            <v>126</v>
          </cell>
          <cell r="D296">
            <v>35</v>
          </cell>
          <cell r="F296">
            <v>1</v>
          </cell>
          <cell r="G296">
            <v>22</v>
          </cell>
          <cell r="J296">
            <v>22</v>
          </cell>
          <cell r="K296">
            <v>115</v>
          </cell>
          <cell r="U296">
            <v>346</v>
          </cell>
        </row>
        <row r="297">
          <cell r="C297">
            <v>39</v>
          </cell>
          <cell r="D297">
            <v>71</v>
          </cell>
          <cell r="F297">
            <v>1</v>
          </cell>
          <cell r="G297">
            <v>154</v>
          </cell>
          <cell r="J297">
            <v>154</v>
          </cell>
          <cell r="K297">
            <v>30</v>
          </cell>
          <cell r="U297">
            <v>389</v>
          </cell>
        </row>
        <row r="298">
          <cell r="C298">
            <v>155</v>
          </cell>
          <cell r="D298">
            <v>40</v>
          </cell>
          <cell r="F298">
            <v>4</v>
          </cell>
          <cell r="G298">
            <v>21</v>
          </cell>
          <cell r="J298">
            <v>84</v>
          </cell>
          <cell r="K298">
            <v>113</v>
          </cell>
          <cell r="U298">
            <v>184</v>
          </cell>
        </row>
        <row r="299">
          <cell r="C299">
            <v>169</v>
          </cell>
          <cell r="D299">
            <v>94</v>
          </cell>
          <cell r="F299">
            <v>5</v>
          </cell>
          <cell r="G299">
            <v>309</v>
          </cell>
          <cell r="J299">
            <v>1545</v>
          </cell>
          <cell r="K299">
            <v>6</v>
          </cell>
          <cell r="U299">
            <v>234</v>
          </cell>
        </row>
        <row r="300">
          <cell r="C300">
            <v>148</v>
          </cell>
          <cell r="D300">
            <v>17</v>
          </cell>
          <cell r="F300">
            <v>5</v>
          </cell>
          <cell r="G300">
            <v>240</v>
          </cell>
          <cell r="J300">
            <v>1200</v>
          </cell>
          <cell r="K300">
            <v>1</v>
          </cell>
          <cell r="U300">
            <v>55</v>
          </cell>
        </row>
        <row r="301">
          <cell r="C301">
            <v>72</v>
          </cell>
          <cell r="D301">
            <v>22</v>
          </cell>
          <cell r="F301">
            <v>1</v>
          </cell>
          <cell r="G301">
            <v>405</v>
          </cell>
          <cell r="J301">
            <v>405</v>
          </cell>
          <cell r="K301">
            <v>9</v>
          </cell>
          <cell r="U301">
            <v>482</v>
          </cell>
        </row>
        <row r="302">
          <cell r="C302">
            <v>185</v>
          </cell>
          <cell r="D302">
            <v>18</v>
          </cell>
          <cell r="F302">
            <v>3</v>
          </cell>
          <cell r="G302">
            <v>20</v>
          </cell>
          <cell r="J302">
            <v>60</v>
          </cell>
          <cell r="K302">
            <v>78</v>
          </cell>
          <cell r="U302">
            <v>460</v>
          </cell>
        </row>
        <row r="303">
          <cell r="C303">
            <v>40</v>
          </cell>
          <cell r="D303">
            <v>44</v>
          </cell>
          <cell r="F303">
            <v>2</v>
          </cell>
          <cell r="G303">
            <v>246</v>
          </cell>
          <cell r="J303">
            <v>492</v>
          </cell>
          <cell r="K303">
            <v>72</v>
          </cell>
          <cell r="U303">
            <v>181</v>
          </cell>
        </row>
        <row r="304">
          <cell r="C304">
            <v>189</v>
          </cell>
          <cell r="D304">
            <v>54</v>
          </cell>
          <cell r="F304">
            <v>1</v>
          </cell>
          <cell r="G304">
            <v>118</v>
          </cell>
          <cell r="J304">
            <v>118</v>
          </cell>
          <cell r="K304">
            <v>21</v>
          </cell>
          <cell r="U304">
            <v>426</v>
          </cell>
        </row>
        <row r="305">
          <cell r="C305">
            <v>33</v>
          </cell>
          <cell r="D305">
            <v>9</v>
          </cell>
          <cell r="F305">
            <v>2</v>
          </cell>
          <cell r="G305">
            <v>33</v>
          </cell>
          <cell r="J305">
            <v>66</v>
          </cell>
          <cell r="K305">
            <v>185</v>
          </cell>
          <cell r="U305">
            <v>121</v>
          </cell>
        </row>
        <row r="306">
          <cell r="C306">
            <v>194</v>
          </cell>
          <cell r="D306">
            <v>89</v>
          </cell>
          <cell r="F306">
            <v>1</v>
          </cell>
          <cell r="G306">
            <v>140</v>
          </cell>
          <cell r="J306">
            <v>140</v>
          </cell>
          <cell r="K306">
            <v>10</v>
          </cell>
          <cell r="U306">
            <v>387</v>
          </cell>
        </row>
        <row r="307">
          <cell r="C307">
            <v>121</v>
          </cell>
          <cell r="D307">
            <v>31</v>
          </cell>
          <cell r="F307">
            <v>4</v>
          </cell>
          <cell r="G307">
            <v>44</v>
          </cell>
          <cell r="J307">
            <v>176</v>
          </cell>
          <cell r="K307">
            <v>61</v>
          </cell>
          <cell r="U307">
            <v>254</v>
          </cell>
        </row>
        <row r="308">
          <cell r="C308">
            <v>86</v>
          </cell>
          <cell r="D308">
            <v>10</v>
          </cell>
          <cell r="F308">
            <v>5</v>
          </cell>
          <cell r="G308">
            <v>500</v>
          </cell>
          <cell r="J308">
            <v>2500</v>
          </cell>
          <cell r="K308">
            <v>3</v>
          </cell>
          <cell r="U308">
            <v>268</v>
          </cell>
        </row>
        <row r="309">
          <cell r="C309">
            <v>54</v>
          </cell>
          <cell r="D309">
            <v>69</v>
          </cell>
          <cell r="F309">
            <v>3</v>
          </cell>
          <cell r="G309">
            <v>232</v>
          </cell>
          <cell r="J309">
            <v>696</v>
          </cell>
          <cell r="K309">
            <v>15</v>
          </cell>
          <cell r="U309">
            <v>460</v>
          </cell>
        </row>
        <row r="310">
          <cell r="C310">
            <v>63</v>
          </cell>
          <cell r="D310">
            <v>77</v>
          </cell>
          <cell r="F310">
            <v>3</v>
          </cell>
          <cell r="G310">
            <v>278</v>
          </cell>
          <cell r="J310">
            <v>834</v>
          </cell>
          <cell r="K310">
            <v>243</v>
          </cell>
          <cell r="U310">
            <v>389</v>
          </cell>
        </row>
        <row r="311">
          <cell r="C311">
            <v>80</v>
          </cell>
          <cell r="D311">
            <v>50</v>
          </cell>
          <cell r="F311">
            <v>5</v>
          </cell>
          <cell r="G311">
            <v>173</v>
          </cell>
          <cell r="J311">
            <v>865</v>
          </cell>
          <cell r="K311">
            <v>50</v>
          </cell>
          <cell r="U311">
            <v>407</v>
          </cell>
        </row>
        <row r="312">
          <cell r="C312">
            <v>100</v>
          </cell>
          <cell r="D312">
            <v>47</v>
          </cell>
          <cell r="F312">
            <v>4</v>
          </cell>
          <cell r="G312">
            <v>346</v>
          </cell>
          <cell r="J312">
            <v>1384</v>
          </cell>
          <cell r="K312">
            <v>276</v>
          </cell>
          <cell r="U312">
            <v>441</v>
          </cell>
        </row>
        <row r="313">
          <cell r="C313">
            <v>54</v>
          </cell>
          <cell r="D313">
            <v>82</v>
          </cell>
          <cell r="F313">
            <v>1</v>
          </cell>
          <cell r="G313">
            <v>367</v>
          </cell>
          <cell r="J313">
            <v>367</v>
          </cell>
          <cell r="K313">
            <v>291</v>
          </cell>
          <cell r="U313">
            <v>358</v>
          </cell>
        </row>
        <row r="314">
          <cell r="C314">
            <v>131</v>
          </cell>
          <cell r="D314">
            <v>78</v>
          </cell>
          <cell r="F314">
            <v>4</v>
          </cell>
          <cell r="G314">
            <v>347</v>
          </cell>
          <cell r="J314">
            <v>1388</v>
          </cell>
          <cell r="K314">
            <v>41</v>
          </cell>
          <cell r="U314">
            <v>88</v>
          </cell>
        </row>
        <row r="315">
          <cell r="C315">
            <v>106</v>
          </cell>
          <cell r="D315">
            <v>33</v>
          </cell>
          <cell r="F315">
            <v>1</v>
          </cell>
          <cell r="G315">
            <v>172</v>
          </cell>
          <cell r="J315">
            <v>172</v>
          </cell>
          <cell r="K315">
            <v>77</v>
          </cell>
          <cell r="U315">
            <v>51</v>
          </cell>
        </row>
        <row r="316">
          <cell r="C316">
            <v>175</v>
          </cell>
          <cell r="D316">
            <v>93</v>
          </cell>
          <cell r="F316">
            <v>3</v>
          </cell>
          <cell r="G316">
            <v>221</v>
          </cell>
          <cell r="J316">
            <v>663</v>
          </cell>
          <cell r="K316">
            <v>35</v>
          </cell>
          <cell r="U316">
            <v>423</v>
          </cell>
        </row>
        <row r="317">
          <cell r="C317">
            <v>54</v>
          </cell>
          <cell r="D317">
            <v>98</v>
          </cell>
          <cell r="F317">
            <v>4</v>
          </cell>
          <cell r="G317">
            <v>63</v>
          </cell>
          <cell r="J317">
            <v>252</v>
          </cell>
          <cell r="K317">
            <v>139</v>
          </cell>
          <cell r="U317">
            <v>460</v>
          </cell>
        </row>
        <row r="318">
          <cell r="C318">
            <v>63</v>
          </cell>
          <cell r="D318">
            <v>19</v>
          </cell>
          <cell r="F318">
            <v>4</v>
          </cell>
          <cell r="G318">
            <v>372</v>
          </cell>
          <cell r="J318">
            <v>1488</v>
          </cell>
          <cell r="K318">
            <v>7</v>
          </cell>
          <cell r="U318">
            <v>442</v>
          </cell>
        </row>
        <row r="319">
          <cell r="C319">
            <v>28</v>
          </cell>
          <cell r="D319">
            <v>43</v>
          </cell>
          <cell r="F319">
            <v>3</v>
          </cell>
          <cell r="G319">
            <v>171</v>
          </cell>
          <cell r="J319">
            <v>513</v>
          </cell>
          <cell r="K319">
            <v>34</v>
          </cell>
          <cell r="U319">
            <v>293</v>
          </cell>
        </row>
        <row r="320">
          <cell r="C320">
            <v>92</v>
          </cell>
          <cell r="D320">
            <v>65</v>
          </cell>
          <cell r="F320">
            <v>5</v>
          </cell>
          <cell r="G320">
            <v>163</v>
          </cell>
          <cell r="J320">
            <v>815</v>
          </cell>
          <cell r="K320">
            <v>175</v>
          </cell>
          <cell r="U320">
            <v>309</v>
          </cell>
        </row>
        <row r="321">
          <cell r="C321">
            <v>191</v>
          </cell>
          <cell r="D321">
            <v>14</v>
          </cell>
          <cell r="F321">
            <v>4</v>
          </cell>
          <cell r="G321">
            <v>161</v>
          </cell>
          <cell r="J321">
            <v>644</v>
          </cell>
          <cell r="K321">
            <v>8</v>
          </cell>
          <cell r="U321">
            <v>290</v>
          </cell>
        </row>
        <row r="322">
          <cell r="C322">
            <v>185</v>
          </cell>
          <cell r="D322">
            <v>16</v>
          </cell>
          <cell r="F322">
            <v>5</v>
          </cell>
          <cell r="G322">
            <v>492</v>
          </cell>
          <cell r="J322">
            <v>2460</v>
          </cell>
          <cell r="K322">
            <v>42</v>
          </cell>
          <cell r="U322">
            <v>440</v>
          </cell>
        </row>
        <row r="323">
          <cell r="C323">
            <v>88</v>
          </cell>
          <cell r="D323">
            <v>22</v>
          </cell>
          <cell r="F323">
            <v>3</v>
          </cell>
          <cell r="G323">
            <v>240</v>
          </cell>
          <cell r="J323">
            <v>720</v>
          </cell>
          <cell r="K323">
            <v>9</v>
          </cell>
          <cell r="U323">
            <v>482</v>
          </cell>
        </row>
        <row r="324">
          <cell r="C324">
            <v>135</v>
          </cell>
          <cell r="D324">
            <v>6</v>
          </cell>
          <cell r="F324">
            <v>3</v>
          </cell>
          <cell r="G324">
            <v>66</v>
          </cell>
          <cell r="J324">
            <v>198</v>
          </cell>
          <cell r="K324">
            <v>57</v>
          </cell>
          <cell r="U324">
            <v>492</v>
          </cell>
        </row>
        <row r="325">
          <cell r="C325">
            <v>142</v>
          </cell>
          <cell r="D325">
            <v>8</v>
          </cell>
          <cell r="F325">
            <v>2</v>
          </cell>
          <cell r="G325">
            <v>425</v>
          </cell>
          <cell r="J325">
            <v>850</v>
          </cell>
          <cell r="K325">
            <v>67</v>
          </cell>
          <cell r="U325">
            <v>293</v>
          </cell>
        </row>
        <row r="326">
          <cell r="C326">
            <v>172</v>
          </cell>
          <cell r="D326">
            <v>37</v>
          </cell>
          <cell r="F326">
            <v>4</v>
          </cell>
          <cell r="G326">
            <v>456</v>
          </cell>
          <cell r="J326">
            <v>1824</v>
          </cell>
          <cell r="K326">
            <v>23</v>
          </cell>
          <cell r="U326">
            <v>210</v>
          </cell>
        </row>
        <row r="327">
          <cell r="C327">
            <v>132</v>
          </cell>
          <cell r="D327">
            <v>23</v>
          </cell>
          <cell r="F327">
            <v>1</v>
          </cell>
          <cell r="G327">
            <v>208</v>
          </cell>
          <cell r="J327">
            <v>208</v>
          </cell>
          <cell r="K327">
            <v>127</v>
          </cell>
          <cell r="U327">
            <v>370</v>
          </cell>
        </row>
        <row r="328">
          <cell r="C328">
            <v>200</v>
          </cell>
          <cell r="D328">
            <v>6</v>
          </cell>
          <cell r="F328">
            <v>3</v>
          </cell>
          <cell r="G328">
            <v>343</v>
          </cell>
          <cell r="J328">
            <v>1029</v>
          </cell>
          <cell r="K328">
            <v>57</v>
          </cell>
          <cell r="U328">
            <v>492</v>
          </cell>
        </row>
        <row r="329">
          <cell r="C329">
            <v>194</v>
          </cell>
          <cell r="D329">
            <v>78</v>
          </cell>
          <cell r="F329">
            <v>1</v>
          </cell>
          <cell r="G329">
            <v>97</v>
          </cell>
          <cell r="J329">
            <v>97</v>
          </cell>
          <cell r="K329">
            <v>41</v>
          </cell>
          <cell r="U329">
            <v>88</v>
          </cell>
        </row>
        <row r="330">
          <cell r="C330">
            <v>52</v>
          </cell>
          <cell r="D330">
            <v>90</v>
          </cell>
          <cell r="F330">
            <v>4</v>
          </cell>
          <cell r="G330">
            <v>288</v>
          </cell>
          <cell r="J330">
            <v>1152</v>
          </cell>
          <cell r="K330">
            <v>17</v>
          </cell>
          <cell r="U330">
            <v>255</v>
          </cell>
        </row>
        <row r="331">
          <cell r="C331">
            <v>144</v>
          </cell>
          <cell r="D331">
            <v>98</v>
          </cell>
          <cell r="F331">
            <v>4</v>
          </cell>
          <cell r="G331">
            <v>136</v>
          </cell>
          <cell r="J331">
            <v>544</v>
          </cell>
          <cell r="K331">
            <v>139</v>
          </cell>
          <cell r="U331">
            <v>460</v>
          </cell>
        </row>
        <row r="332">
          <cell r="C332">
            <v>139</v>
          </cell>
          <cell r="D332">
            <v>82</v>
          </cell>
          <cell r="F332">
            <v>4</v>
          </cell>
          <cell r="G332">
            <v>29</v>
          </cell>
          <cell r="J332">
            <v>116</v>
          </cell>
          <cell r="K332">
            <v>291</v>
          </cell>
          <cell r="U332">
            <v>358</v>
          </cell>
        </row>
        <row r="333">
          <cell r="C333">
            <v>117</v>
          </cell>
          <cell r="D333">
            <v>17</v>
          </cell>
          <cell r="F333">
            <v>3</v>
          </cell>
          <cell r="G333">
            <v>28</v>
          </cell>
          <cell r="J333">
            <v>84</v>
          </cell>
          <cell r="K333">
            <v>1</v>
          </cell>
          <cell r="U333">
            <v>55</v>
          </cell>
        </row>
        <row r="334">
          <cell r="C334">
            <v>10</v>
          </cell>
          <cell r="D334">
            <v>12</v>
          </cell>
          <cell r="F334">
            <v>3</v>
          </cell>
          <cell r="G334">
            <v>244</v>
          </cell>
          <cell r="J334">
            <v>732</v>
          </cell>
          <cell r="K334">
            <v>410</v>
          </cell>
          <cell r="U334">
            <v>61</v>
          </cell>
        </row>
        <row r="335">
          <cell r="C335">
            <v>28</v>
          </cell>
          <cell r="D335">
            <v>8</v>
          </cell>
          <cell r="F335">
            <v>4</v>
          </cell>
          <cell r="G335">
            <v>111</v>
          </cell>
          <cell r="J335">
            <v>444</v>
          </cell>
          <cell r="K335">
            <v>67</v>
          </cell>
          <cell r="U335">
            <v>293</v>
          </cell>
        </row>
        <row r="336">
          <cell r="C336">
            <v>94</v>
          </cell>
          <cell r="D336">
            <v>32</v>
          </cell>
          <cell r="F336">
            <v>2</v>
          </cell>
          <cell r="G336">
            <v>46</v>
          </cell>
          <cell r="J336">
            <v>92</v>
          </cell>
          <cell r="K336">
            <v>27</v>
          </cell>
          <cell r="U336">
            <v>366</v>
          </cell>
        </row>
        <row r="337">
          <cell r="C337">
            <v>162</v>
          </cell>
          <cell r="D337">
            <v>13</v>
          </cell>
          <cell r="F337">
            <v>5</v>
          </cell>
          <cell r="G337">
            <v>153</v>
          </cell>
          <cell r="J337">
            <v>765</v>
          </cell>
          <cell r="K337">
            <v>37</v>
          </cell>
          <cell r="U337">
            <v>34</v>
          </cell>
        </row>
        <row r="338">
          <cell r="C338">
            <v>43</v>
          </cell>
          <cell r="D338">
            <v>68</v>
          </cell>
          <cell r="F338">
            <v>4</v>
          </cell>
          <cell r="G338">
            <v>353</v>
          </cell>
          <cell r="J338">
            <v>1412</v>
          </cell>
          <cell r="K338">
            <v>22</v>
          </cell>
          <cell r="U338">
            <v>330</v>
          </cell>
        </row>
        <row r="339">
          <cell r="C339">
            <v>162</v>
          </cell>
          <cell r="D339">
            <v>74</v>
          </cell>
          <cell r="F339">
            <v>4</v>
          </cell>
          <cell r="G339">
            <v>369</v>
          </cell>
          <cell r="J339">
            <v>1476</v>
          </cell>
          <cell r="K339">
            <v>165</v>
          </cell>
          <cell r="U339">
            <v>251</v>
          </cell>
        </row>
        <row r="340">
          <cell r="C340">
            <v>10</v>
          </cell>
          <cell r="D340">
            <v>4</v>
          </cell>
          <cell r="F340">
            <v>2</v>
          </cell>
          <cell r="G340">
            <v>494</v>
          </cell>
          <cell r="J340">
            <v>988</v>
          </cell>
          <cell r="K340">
            <v>130</v>
          </cell>
          <cell r="U340">
            <v>459</v>
          </cell>
        </row>
        <row r="341">
          <cell r="C341">
            <v>159</v>
          </cell>
          <cell r="D341">
            <v>56</v>
          </cell>
          <cell r="F341">
            <v>4</v>
          </cell>
          <cell r="G341">
            <v>373</v>
          </cell>
          <cell r="J341">
            <v>1492</v>
          </cell>
          <cell r="K341">
            <v>70</v>
          </cell>
          <cell r="U341">
            <v>64</v>
          </cell>
        </row>
        <row r="342">
          <cell r="C342">
            <v>71</v>
          </cell>
          <cell r="D342">
            <v>23</v>
          </cell>
          <cell r="F342">
            <v>1</v>
          </cell>
          <cell r="G342">
            <v>304</v>
          </cell>
          <cell r="J342">
            <v>304</v>
          </cell>
          <cell r="K342">
            <v>127</v>
          </cell>
          <cell r="U342">
            <v>370</v>
          </cell>
        </row>
        <row r="343">
          <cell r="C343">
            <v>176</v>
          </cell>
          <cell r="D343">
            <v>7</v>
          </cell>
          <cell r="F343">
            <v>3</v>
          </cell>
          <cell r="G343">
            <v>198</v>
          </cell>
          <cell r="J343">
            <v>594</v>
          </cell>
          <cell r="K343">
            <v>32</v>
          </cell>
          <cell r="U343">
            <v>65</v>
          </cell>
        </row>
        <row r="344">
          <cell r="C344">
            <v>82</v>
          </cell>
          <cell r="D344">
            <v>21</v>
          </cell>
          <cell r="F344">
            <v>5</v>
          </cell>
          <cell r="G344">
            <v>132</v>
          </cell>
          <cell r="J344">
            <v>660</v>
          </cell>
          <cell r="K344">
            <v>126</v>
          </cell>
          <cell r="U344">
            <v>327</v>
          </cell>
        </row>
        <row r="345">
          <cell r="C345">
            <v>179</v>
          </cell>
          <cell r="D345">
            <v>65</v>
          </cell>
          <cell r="F345">
            <v>5</v>
          </cell>
          <cell r="G345">
            <v>455</v>
          </cell>
          <cell r="J345">
            <v>2275</v>
          </cell>
          <cell r="K345">
            <v>175</v>
          </cell>
          <cell r="U345">
            <v>309</v>
          </cell>
        </row>
        <row r="346">
          <cell r="C346">
            <v>63</v>
          </cell>
          <cell r="D346">
            <v>75</v>
          </cell>
          <cell r="F346">
            <v>5</v>
          </cell>
          <cell r="G346">
            <v>297</v>
          </cell>
          <cell r="J346">
            <v>1485</v>
          </cell>
          <cell r="K346">
            <v>14</v>
          </cell>
          <cell r="U346">
            <v>88</v>
          </cell>
        </row>
        <row r="347">
          <cell r="C347">
            <v>17</v>
          </cell>
          <cell r="D347">
            <v>25</v>
          </cell>
          <cell r="F347">
            <v>4</v>
          </cell>
          <cell r="G347">
            <v>328</v>
          </cell>
          <cell r="J347">
            <v>1312</v>
          </cell>
          <cell r="K347">
            <v>85</v>
          </cell>
          <cell r="U347">
            <v>212</v>
          </cell>
        </row>
        <row r="348">
          <cell r="C348">
            <v>108</v>
          </cell>
          <cell r="D348">
            <v>3</v>
          </cell>
          <cell r="F348">
            <v>3</v>
          </cell>
          <cell r="G348">
            <v>70</v>
          </cell>
          <cell r="J348">
            <v>210</v>
          </cell>
          <cell r="K348">
            <v>147</v>
          </cell>
          <cell r="U348">
            <v>357</v>
          </cell>
        </row>
        <row r="349">
          <cell r="C349">
            <v>100</v>
          </cell>
          <cell r="D349">
            <v>5</v>
          </cell>
          <cell r="F349">
            <v>5</v>
          </cell>
          <cell r="G349">
            <v>289</v>
          </cell>
          <cell r="J349">
            <v>1445</v>
          </cell>
          <cell r="K349">
            <v>71</v>
          </cell>
          <cell r="U349">
            <v>127</v>
          </cell>
        </row>
        <row r="350">
          <cell r="C350">
            <v>200</v>
          </cell>
          <cell r="D350">
            <v>43</v>
          </cell>
          <cell r="F350">
            <v>3</v>
          </cell>
          <cell r="G350">
            <v>418</v>
          </cell>
          <cell r="J350">
            <v>1254</v>
          </cell>
          <cell r="K350">
            <v>34</v>
          </cell>
          <cell r="U350">
            <v>293</v>
          </cell>
        </row>
        <row r="351">
          <cell r="C351">
            <v>46</v>
          </cell>
          <cell r="D351">
            <v>34</v>
          </cell>
          <cell r="F351">
            <v>1</v>
          </cell>
          <cell r="G351">
            <v>68</v>
          </cell>
          <cell r="J351">
            <v>68</v>
          </cell>
          <cell r="K351">
            <v>43</v>
          </cell>
          <cell r="U351">
            <v>349</v>
          </cell>
        </row>
        <row r="352">
          <cell r="C352">
            <v>38</v>
          </cell>
          <cell r="D352">
            <v>53</v>
          </cell>
          <cell r="F352">
            <v>1</v>
          </cell>
          <cell r="G352">
            <v>122</v>
          </cell>
          <cell r="J352">
            <v>122</v>
          </cell>
          <cell r="K352">
            <v>166</v>
          </cell>
          <cell r="U352">
            <v>59</v>
          </cell>
        </row>
        <row r="353">
          <cell r="C353">
            <v>169</v>
          </cell>
          <cell r="D353">
            <v>17</v>
          </cell>
          <cell r="F353">
            <v>4</v>
          </cell>
          <cell r="G353">
            <v>117</v>
          </cell>
          <cell r="J353">
            <v>468</v>
          </cell>
          <cell r="K353">
            <v>1</v>
          </cell>
          <cell r="U353">
            <v>55</v>
          </cell>
        </row>
        <row r="354">
          <cell r="C354">
            <v>6</v>
          </cell>
          <cell r="D354">
            <v>20</v>
          </cell>
          <cell r="F354">
            <v>5</v>
          </cell>
          <cell r="G354">
            <v>490</v>
          </cell>
          <cell r="J354">
            <v>2450</v>
          </cell>
          <cell r="K354">
            <v>137</v>
          </cell>
          <cell r="U354">
            <v>182</v>
          </cell>
        </row>
        <row r="355">
          <cell r="C355">
            <v>136</v>
          </cell>
          <cell r="D355">
            <v>96</v>
          </cell>
          <cell r="F355">
            <v>4</v>
          </cell>
          <cell r="G355">
            <v>219</v>
          </cell>
          <cell r="J355">
            <v>876</v>
          </cell>
          <cell r="K355">
            <v>25</v>
          </cell>
          <cell r="U355">
            <v>150</v>
          </cell>
        </row>
        <row r="356">
          <cell r="C356">
            <v>58</v>
          </cell>
          <cell r="D356">
            <v>54</v>
          </cell>
          <cell r="F356">
            <v>3</v>
          </cell>
          <cell r="G356">
            <v>318</v>
          </cell>
          <cell r="J356">
            <v>954</v>
          </cell>
          <cell r="K356">
            <v>21</v>
          </cell>
          <cell r="U356">
            <v>426</v>
          </cell>
        </row>
        <row r="357">
          <cell r="C357">
            <v>109</v>
          </cell>
          <cell r="D357">
            <v>12</v>
          </cell>
          <cell r="F357">
            <v>1</v>
          </cell>
          <cell r="G357">
            <v>256</v>
          </cell>
          <cell r="J357">
            <v>256</v>
          </cell>
          <cell r="K357">
            <v>410</v>
          </cell>
          <cell r="U357">
            <v>61</v>
          </cell>
        </row>
        <row r="358">
          <cell r="C358">
            <v>165</v>
          </cell>
          <cell r="D358">
            <v>31</v>
          </cell>
          <cell r="F358">
            <v>1</v>
          </cell>
          <cell r="G358">
            <v>191</v>
          </cell>
          <cell r="J358">
            <v>191</v>
          </cell>
          <cell r="K358">
            <v>61</v>
          </cell>
          <cell r="U358">
            <v>254</v>
          </cell>
        </row>
        <row r="359">
          <cell r="C359">
            <v>74</v>
          </cell>
          <cell r="D359">
            <v>85</v>
          </cell>
          <cell r="F359">
            <v>5</v>
          </cell>
          <cell r="G359">
            <v>356</v>
          </cell>
          <cell r="J359">
            <v>1780</v>
          </cell>
          <cell r="K359">
            <v>12</v>
          </cell>
          <cell r="U359">
            <v>78</v>
          </cell>
        </row>
        <row r="360">
          <cell r="C360">
            <v>136</v>
          </cell>
          <cell r="D360">
            <v>1</v>
          </cell>
          <cell r="F360">
            <v>4</v>
          </cell>
          <cell r="G360">
            <v>398</v>
          </cell>
          <cell r="J360">
            <v>1592</v>
          </cell>
          <cell r="K360">
            <v>106</v>
          </cell>
          <cell r="U360">
            <v>68</v>
          </cell>
        </row>
        <row r="361">
          <cell r="C361">
            <v>23</v>
          </cell>
          <cell r="D361">
            <v>22</v>
          </cell>
          <cell r="F361">
            <v>1</v>
          </cell>
          <cell r="G361">
            <v>41</v>
          </cell>
          <cell r="J361">
            <v>41</v>
          </cell>
          <cell r="K361">
            <v>9</v>
          </cell>
          <cell r="U361">
            <v>482</v>
          </cell>
        </row>
        <row r="362">
          <cell r="C362">
            <v>141</v>
          </cell>
          <cell r="D362">
            <v>27</v>
          </cell>
          <cell r="F362">
            <v>5</v>
          </cell>
          <cell r="G362">
            <v>463</v>
          </cell>
          <cell r="J362">
            <v>2315</v>
          </cell>
          <cell r="K362">
            <v>24</v>
          </cell>
          <cell r="U362">
            <v>372</v>
          </cell>
        </row>
        <row r="363">
          <cell r="C363">
            <v>76</v>
          </cell>
          <cell r="D363">
            <v>27</v>
          </cell>
          <cell r="F363">
            <v>4</v>
          </cell>
          <cell r="G363">
            <v>292</v>
          </cell>
          <cell r="J363">
            <v>1168</v>
          </cell>
          <cell r="K363">
            <v>24</v>
          </cell>
          <cell r="U363">
            <v>372</v>
          </cell>
        </row>
        <row r="364">
          <cell r="C364">
            <v>173</v>
          </cell>
          <cell r="D364">
            <v>37</v>
          </cell>
          <cell r="F364">
            <v>4</v>
          </cell>
          <cell r="G364">
            <v>435</v>
          </cell>
          <cell r="J364">
            <v>1740</v>
          </cell>
          <cell r="K364">
            <v>23</v>
          </cell>
          <cell r="U364">
            <v>210</v>
          </cell>
        </row>
        <row r="365">
          <cell r="C365">
            <v>118</v>
          </cell>
          <cell r="D365">
            <v>63</v>
          </cell>
          <cell r="F365">
            <v>5</v>
          </cell>
          <cell r="G365">
            <v>346</v>
          </cell>
          <cell r="J365">
            <v>1730</v>
          </cell>
          <cell r="K365">
            <v>36</v>
          </cell>
          <cell r="U365">
            <v>171</v>
          </cell>
        </row>
        <row r="366">
          <cell r="C366">
            <v>168</v>
          </cell>
          <cell r="D366">
            <v>59</v>
          </cell>
          <cell r="F366">
            <v>1</v>
          </cell>
          <cell r="G366">
            <v>203</v>
          </cell>
          <cell r="J366">
            <v>203</v>
          </cell>
          <cell r="K366">
            <v>148</v>
          </cell>
          <cell r="U366">
            <v>183</v>
          </cell>
        </row>
        <row r="367">
          <cell r="C367">
            <v>162</v>
          </cell>
          <cell r="D367">
            <v>42</v>
          </cell>
          <cell r="F367">
            <v>4</v>
          </cell>
          <cell r="G367">
            <v>165</v>
          </cell>
          <cell r="J367">
            <v>660</v>
          </cell>
          <cell r="K367">
            <v>108</v>
          </cell>
          <cell r="U367">
            <v>77</v>
          </cell>
        </row>
        <row r="368">
          <cell r="C368">
            <v>66</v>
          </cell>
          <cell r="D368">
            <v>88</v>
          </cell>
          <cell r="F368">
            <v>4</v>
          </cell>
          <cell r="G368">
            <v>229</v>
          </cell>
          <cell r="J368">
            <v>916</v>
          </cell>
          <cell r="K368">
            <v>490</v>
          </cell>
          <cell r="U368">
            <v>378</v>
          </cell>
        </row>
        <row r="369">
          <cell r="C369">
            <v>60</v>
          </cell>
          <cell r="D369">
            <v>40</v>
          </cell>
          <cell r="F369">
            <v>4</v>
          </cell>
          <cell r="G369">
            <v>494</v>
          </cell>
          <cell r="J369">
            <v>1976</v>
          </cell>
          <cell r="K369">
            <v>113</v>
          </cell>
          <cell r="U369">
            <v>184</v>
          </cell>
        </row>
        <row r="370">
          <cell r="C370">
            <v>182</v>
          </cell>
          <cell r="D370">
            <v>28</v>
          </cell>
          <cell r="F370">
            <v>1</v>
          </cell>
          <cell r="G370">
            <v>251</v>
          </cell>
          <cell r="J370">
            <v>251</v>
          </cell>
          <cell r="K370">
            <v>16</v>
          </cell>
          <cell r="U370">
            <v>203</v>
          </cell>
        </row>
        <row r="371">
          <cell r="C371">
            <v>167</v>
          </cell>
          <cell r="D371">
            <v>81</v>
          </cell>
          <cell r="F371">
            <v>1</v>
          </cell>
          <cell r="G371">
            <v>299</v>
          </cell>
          <cell r="J371">
            <v>299</v>
          </cell>
          <cell r="K371">
            <v>80</v>
          </cell>
          <cell r="U371">
            <v>262</v>
          </cell>
        </row>
        <row r="372">
          <cell r="C372">
            <v>152</v>
          </cell>
          <cell r="D372">
            <v>36</v>
          </cell>
          <cell r="F372">
            <v>1</v>
          </cell>
          <cell r="G372">
            <v>95</v>
          </cell>
          <cell r="J372">
            <v>95</v>
          </cell>
          <cell r="K372">
            <v>52</v>
          </cell>
          <cell r="U372">
            <v>467</v>
          </cell>
        </row>
        <row r="373">
          <cell r="C373">
            <v>28</v>
          </cell>
          <cell r="D373">
            <v>48</v>
          </cell>
          <cell r="F373">
            <v>2</v>
          </cell>
          <cell r="G373">
            <v>457</v>
          </cell>
          <cell r="J373">
            <v>914</v>
          </cell>
          <cell r="K373">
            <v>86</v>
          </cell>
          <cell r="U373">
            <v>315</v>
          </cell>
        </row>
        <row r="374">
          <cell r="C374">
            <v>132</v>
          </cell>
          <cell r="D374">
            <v>13</v>
          </cell>
          <cell r="F374">
            <v>3</v>
          </cell>
          <cell r="G374">
            <v>343</v>
          </cell>
          <cell r="J374">
            <v>1029</v>
          </cell>
          <cell r="K374">
            <v>37</v>
          </cell>
          <cell r="U374">
            <v>34</v>
          </cell>
        </row>
        <row r="375">
          <cell r="C375">
            <v>134</v>
          </cell>
          <cell r="D375">
            <v>96</v>
          </cell>
          <cell r="F375">
            <v>4</v>
          </cell>
          <cell r="G375">
            <v>366</v>
          </cell>
          <cell r="J375">
            <v>1464</v>
          </cell>
          <cell r="K375">
            <v>25</v>
          </cell>
          <cell r="U375">
            <v>150</v>
          </cell>
        </row>
        <row r="376">
          <cell r="C376">
            <v>34</v>
          </cell>
          <cell r="D376">
            <v>98</v>
          </cell>
          <cell r="F376">
            <v>2</v>
          </cell>
          <cell r="G376">
            <v>432</v>
          </cell>
          <cell r="J376">
            <v>864</v>
          </cell>
          <cell r="K376">
            <v>139</v>
          </cell>
          <cell r="U376">
            <v>460</v>
          </cell>
        </row>
        <row r="377">
          <cell r="C377">
            <v>122</v>
          </cell>
          <cell r="D377">
            <v>88</v>
          </cell>
          <cell r="F377">
            <v>3</v>
          </cell>
          <cell r="G377">
            <v>83</v>
          </cell>
          <cell r="J377">
            <v>249</v>
          </cell>
          <cell r="K377">
            <v>490</v>
          </cell>
          <cell r="U377">
            <v>378</v>
          </cell>
        </row>
        <row r="378">
          <cell r="C378">
            <v>51</v>
          </cell>
          <cell r="D378">
            <v>69</v>
          </cell>
          <cell r="F378">
            <v>2</v>
          </cell>
          <cell r="G378">
            <v>56</v>
          </cell>
          <cell r="J378">
            <v>112</v>
          </cell>
          <cell r="K378">
            <v>15</v>
          </cell>
          <cell r="U378">
            <v>460</v>
          </cell>
        </row>
        <row r="379">
          <cell r="C379">
            <v>69</v>
          </cell>
          <cell r="D379">
            <v>67</v>
          </cell>
          <cell r="F379">
            <v>4</v>
          </cell>
          <cell r="G379">
            <v>486</v>
          </cell>
          <cell r="J379">
            <v>1944</v>
          </cell>
          <cell r="K379">
            <v>295</v>
          </cell>
          <cell r="U379">
            <v>291</v>
          </cell>
        </row>
        <row r="380">
          <cell r="C380">
            <v>163</v>
          </cell>
          <cell r="D380">
            <v>76</v>
          </cell>
          <cell r="F380">
            <v>1</v>
          </cell>
          <cell r="G380">
            <v>397</v>
          </cell>
          <cell r="J380">
            <v>397</v>
          </cell>
          <cell r="K380">
            <v>29</v>
          </cell>
          <cell r="U380">
            <v>164</v>
          </cell>
        </row>
        <row r="381">
          <cell r="C381">
            <v>91</v>
          </cell>
          <cell r="D381">
            <v>53</v>
          </cell>
          <cell r="F381">
            <v>4</v>
          </cell>
          <cell r="G381">
            <v>355</v>
          </cell>
          <cell r="J381">
            <v>1420</v>
          </cell>
          <cell r="K381">
            <v>166</v>
          </cell>
          <cell r="U381">
            <v>59</v>
          </cell>
        </row>
        <row r="382">
          <cell r="C382">
            <v>12</v>
          </cell>
          <cell r="D382">
            <v>55</v>
          </cell>
          <cell r="F382">
            <v>4</v>
          </cell>
          <cell r="G382">
            <v>52</v>
          </cell>
          <cell r="J382">
            <v>208</v>
          </cell>
          <cell r="K382">
            <v>167</v>
          </cell>
          <cell r="U382">
            <v>454</v>
          </cell>
        </row>
        <row r="383">
          <cell r="C383">
            <v>35</v>
          </cell>
          <cell r="D383">
            <v>55</v>
          </cell>
          <cell r="F383">
            <v>4</v>
          </cell>
          <cell r="G383">
            <v>77</v>
          </cell>
          <cell r="J383">
            <v>308</v>
          </cell>
          <cell r="K383">
            <v>167</v>
          </cell>
          <cell r="U383">
            <v>454</v>
          </cell>
        </row>
        <row r="384">
          <cell r="C384">
            <v>162</v>
          </cell>
          <cell r="D384">
            <v>45</v>
          </cell>
          <cell r="F384">
            <v>3</v>
          </cell>
          <cell r="G384">
            <v>453</v>
          </cell>
          <cell r="J384">
            <v>1359</v>
          </cell>
          <cell r="K384">
            <v>472</v>
          </cell>
          <cell r="U384">
            <v>425</v>
          </cell>
        </row>
        <row r="385">
          <cell r="C385">
            <v>57</v>
          </cell>
          <cell r="D385">
            <v>32</v>
          </cell>
          <cell r="F385">
            <v>2</v>
          </cell>
          <cell r="G385">
            <v>261</v>
          </cell>
          <cell r="J385">
            <v>522</v>
          </cell>
          <cell r="K385">
            <v>27</v>
          </cell>
          <cell r="U385">
            <v>366</v>
          </cell>
        </row>
        <row r="386">
          <cell r="C386">
            <v>177</v>
          </cell>
          <cell r="D386">
            <v>5</v>
          </cell>
          <cell r="F386">
            <v>5</v>
          </cell>
          <cell r="G386">
            <v>29</v>
          </cell>
          <cell r="J386">
            <v>145</v>
          </cell>
          <cell r="K386">
            <v>71</v>
          </cell>
          <cell r="U386">
            <v>127</v>
          </cell>
        </row>
        <row r="387">
          <cell r="C387">
            <v>124</v>
          </cell>
          <cell r="D387">
            <v>13</v>
          </cell>
          <cell r="F387">
            <v>3</v>
          </cell>
          <cell r="G387">
            <v>451</v>
          </cell>
          <cell r="J387">
            <v>1353</v>
          </cell>
          <cell r="K387">
            <v>37</v>
          </cell>
          <cell r="U387">
            <v>34</v>
          </cell>
        </row>
        <row r="388">
          <cell r="C388">
            <v>98</v>
          </cell>
          <cell r="D388">
            <v>26</v>
          </cell>
          <cell r="F388">
            <v>5</v>
          </cell>
          <cell r="G388">
            <v>53</v>
          </cell>
          <cell r="J388">
            <v>265</v>
          </cell>
          <cell r="K388">
            <v>11</v>
          </cell>
          <cell r="U388">
            <v>462</v>
          </cell>
        </row>
        <row r="389">
          <cell r="C389">
            <v>133</v>
          </cell>
          <cell r="D389">
            <v>8</v>
          </cell>
          <cell r="F389">
            <v>2</v>
          </cell>
          <cell r="G389">
            <v>304</v>
          </cell>
          <cell r="J389">
            <v>608</v>
          </cell>
          <cell r="K389">
            <v>67</v>
          </cell>
          <cell r="U389">
            <v>293</v>
          </cell>
        </row>
        <row r="390">
          <cell r="C390">
            <v>96</v>
          </cell>
          <cell r="D390">
            <v>30</v>
          </cell>
          <cell r="F390">
            <v>2</v>
          </cell>
          <cell r="G390">
            <v>31</v>
          </cell>
          <cell r="J390">
            <v>62</v>
          </cell>
          <cell r="K390">
            <v>68</v>
          </cell>
          <cell r="U390">
            <v>230</v>
          </cell>
        </row>
        <row r="391">
          <cell r="C391">
            <v>92</v>
          </cell>
          <cell r="D391">
            <v>54</v>
          </cell>
          <cell r="F391">
            <v>4</v>
          </cell>
          <cell r="G391">
            <v>28</v>
          </cell>
          <cell r="J391">
            <v>112</v>
          </cell>
          <cell r="K391">
            <v>21</v>
          </cell>
          <cell r="U391">
            <v>426</v>
          </cell>
        </row>
        <row r="392">
          <cell r="C392">
            <v>50</v>
          </cell>
          <cell r="D392">
            <v>49</v>
          </cell>
          <cell r="F392">
            <v>1</v>
          </cell>
          <cell r="G392">
            <v>27</v>
          </cell>
          <cell r="J392">
            <v>27</v>
          </cell>
          <cell r="K392">
            <v>4</v>
          </cell>
          <cell r="U392">
            <v>117</v>
          </cell>
        </row>
        <row r="393">
          <cell r="C393">
            <v>124</v>
          </cell>
          <cell r="D393">
            <v>41</v>
          </cell>
          <cell r="F393">
            <v>1</v>
          </cell>
          <cell r="G393">
            <v>49</v>
          </cell>
          <cell r="J393">
            <v>49</v>
          </cell>
          <cell r="K393">
            <v>19</v>
          </cell>
          <cell r="U393">
            <v>459</v>
          </cell>
        </row>
        <row r="394">
          <cell r="C394">
            <v>79</v>
          </cell>
          <cell r="D394">
            <v>73</v>
          </cell>
          <cell r="F394">
            <v>3</v>
          </cell>
          <cell r="G394">
            <v>174</v>
          </cell>
          <cell r="J394">
            <v>522</v>
          </cell>
          <cell r="K394">
            <v>18</v>
          </cell>
          <cell r="U394">
            <v>55</v>
          </cell>
        </row>
        <row r="395">
          <cell r="C395">
            <v>148</v>
          </cell>
          <cell r="D395">
            <v>4</v>
          </cell>
          <cell r="F395">
            <v>5</v>
          </cell>
          <cell r="G395">
            <v>174</v>
          </cell>
          <cell r="J395">
            <v>870</v>
          </cell>
          <cell r="K395">
            <v>130</v>
          </cell>
          <cell r="U395">
            <v>459</v>
          </cell>
        </row>
        <row r="396">
          <cell r="C396">
            <v>33</v>
          </cell>
          <cell r="D396">
            <v>77</v>
          </cell>
          <cell r="F396">
            <v>3</v>
          </cell>
          <cell r="G396">
            <v>283</v>
          </cell>
          <cell r="J396">
            <v>849</v>
          </cell>
          <cell r="K396">
            <v>243</v>
          </cell>
          <cell r="U396">
            <v>389</v>
          </cell>
        </row>
        <row r="397">
          <cell r="C397">
            <v>180</v>
          </cell>
          <cell r="D397">
            <v>27</v>
          </cell>
          <cell r="F397">
            <v>1</v>
          </cell>
          <cell r="G397">
            <v>492</v>
          </cell>
          <cell r="J397">
            <v>492</v>
          </cell>
          <cell r="K397">
            <v>24</v>
          </cell>
          <cell r="U397">
            <v>372</v>
          </cell>
        </row>
        <row r="398">
          <cell r="C398">
            <v>32</v>
          </cell>
          <cell r="D398">
            <v>14</v>
          </cell>
          <cell r="F398">
            <v>1</v>
          </cell>
          <cell r="G398">
            <v>408</v>
          </cell>
          <cell r="J398">
            <v>408</v>
          </cell>
          <cell r="K398">
            <v>8</v>
          </cell>
          <cell r="U398">
            <v>290</v>
          </cell>
        </row>
        <row r="399">
          <cell r="C399">
            <v>98</v>
          </cell>
          <cell r="D399">
            <v>71</v>
          </cell>
          <cell r="F399">
            <v>2</v>
          </cell>
          <cell r="G399">
            <v>357</v>
          </cell>
          <cell r="J399">
            <v>714</v>
          </cell>
          <cell r="K399">
            <v>30</v>
          </cell>
          <cell r="U399">
            <v>389</v>
          </cell>
        </row>
        <row r="400">
          <cell r="C400">
            <v>163</v>
          </cell>
          <cell r="D400">
            <v>51</v>
          </cell>
          <cell r="F400">
            <v>4</v>
          </cell>
          <cell r="G400">
            <v>123</v>
          </cell>
          <cell r="J400">
            <v>492</v>
          </cell>
          <cell r="K400">
            <v>55</v>
          </cell>
          <cell r="U400">
            <v>27</v>
          </cell>
        </row>
        <row r="401">
          <cell r="C401">
            <v>114</v>
          </cell>
          <cell r="D401">
            <v>28</v>
          </cell>
          <cell r="F401">
            <v>3</v>
          </cell>
          <cell r="G401">
            <v>217</v>
          </cell>
          <cell r="J401">
            <v>651</v>
          </cell>
          <cell r="K401">
            <v>16</v>
          </cell>
          <cell r="U401">
            <v>203</v>
          </cell>
        </row>
        <row r="402">
          <cell r="C402">
            <v>151</v>
          </cell>
          <cell r="D402">
            <v>34</v>
          </cell>
          <cell r="F402">
            <v>1</v>
          </cell>
          <cell r="G402">
            <v>188</v>
          </cell>
          <cell r="J402">
            <v>188</v>
          </cell>
          <cell r="K402">
            <v>43</v>
          </cell>
          <cell r="U402">
            <v>349</v>
          </cell>
        </row>
        <row r="403">
          <cell r="C403">
            <v>53</v>
          </cell>
          <cell r="D403">
            <v>33</v>
          </cell>
          <cell r="F403">
            <v>3</v>
          </cell>
          <cell r="G403">
            <v>218</v>
          </cell>
          <cell r="J403">
            <v>654</v>
          </cell>
          <cell r="K403">
            <v>77</v>
          </cell>
          <cell r="U403">
            <v>51</v>
          </cell>
        </row>
        <row r="404">
          <cell r="C404">
            <v>168</v>
          </cell>
          <cell r="D404">
            <v>18</v>
          </cell>
          <cell r="F404">
            <v>1</v>
          </cell>
          <cell r="G404">
            <v>171</v>
          </cell>
          <cell r="J404">
            <v>171</v>
          </cell>
          <cell r="K404">
            <v>78</v>
          </cell>
          <cell r="U404">
            <v>460</v>
          </cell>
        </row>
        <row r="405">
          <cell r="C405">
            <v>124</v>
          </cell>
          <cell r="D405">
            <v>41</v>
          </cell>
          <cell r="F405">
            <v>4</v>
          </cell>
          <cell r="G405">
            <v>161</v>
          </cell>
          <cell r="J405">
            <v>644</v>
          </cell>
          <cell r="K405">
            <v>19</v>
          </cell>
          <cell r="U405">
            <v>459</v>
          </cell>
        </row>
        <row r="406">
          <cell r="C406">
            <v>112</v>
          </cell>
          <cell r="D406">
            <v>63</v>
          </cell>
          <cell r="F406">
            <v>3</v>
          </cell>
          <cell r="G406">
            <v>213</v>
          </cell>
          <cell r="J406">
            <v>639</v>
          </cell>
          <cell r="K406">
            <v>36</v>
          </cell>
          <cell r="U406">
            <v>171</v>
          </cell>
        </row>
        <row r="407">
          <cell r="C407">
            <v>37</v>
          </cell>
          <cell r="D407">
            <v>89</v>
          </cell>
          <cell r="F407">
            <v>5</v>
          </cell>
          <cell r="G407">
            <v>112</v>
          </cell>
          <cell r="J407">
            <v>560</v>
          </cell>
          <cell r="K407">
            <v>10</v>
          </cell>
          <cell r="U407">
            <v>387</v>
          </cell>
        </row>
        <row r="408">
          <cell r="C408">
            <v>132</v>
          </cell>
          <cell r="D408">
            <v>8</v>
          </cell>
          <cell r="F408">
            <v>1</v>
          </cell>
          <cell r="G408">
            <v>485</v>
          </cell>
          <cell r="J408">
            <v>485</v>
          </cell>
          <cell r="K408">
            <v>67</v>
          </cell>
          <cell r="U408">
            <v>293</v>
          </cell>
        </row>
        <row r="409">
          <cell r="C409">
            <v>66</v>
          </cell>
          <cell r="D409">
            <v>1</v>
          </cell>
          <cell r="F409">
            <v>4</v>
          </cell>
          <cell r="G409">
            <v>410</v>
          </cell>
          <cell r="J409">
            <v>1640</v>
          </cell>
          <cell r="K409">
            <v>106</v>
          </cell>
          <cell r="U409">
            <v>68</v>
          </cell>
        </row>
        <row r="410">
          <cell r="C410">
            <v>110</v>
          </cell>
          <cell r="D410">
            <v>24</v>
          </cell>
          <cell r="F410">
            <v>3</v>
          </cell>
          <cell r="G410">
            <v>37</v>
          </cell>
          <cell r="J410">
            <v>111</v>
          </cell>
          <cell r="K410">
            <v>111</v>
          </cell>
          <cell r="U410">
            <v>435</v>
          </cell>
        </row>
        <row r="411">
          <cell r="C411">
            <v>32</v>
          </cell>
          <cell r="D411">
            <v>52</v>
          </cell>
          <cell r="F411">
            <v>5</v>
          </cell>
          <cell r="G411">
            <v>146</v>
          </cell>
          <cell r="J411">
            <v>730</v>
          </cell>
          <cell r="K411">
            <v>2</v>
          </cell>
          <cell r="U411">
            <v>257</v>
          </cell>
        </row>
        <row r="412">
          <cell r="C412">
            <v>180</v>
          </cell>
          <cell r="D412">
            <v>8</v>
          </cell>
          <cell r="F412">
            <v>5</v>
          </cell>
          <cell r="G412">
            <v>59</v>
          </cell>
          <cell r="J412">
            <v>295</v>
          </cell>
          <cell r="K412">
            <v>67</v>
          </cell>
          <cell r="U412">
            <v>293</v>
          </cell>
        </row>
        <row r="413">
          <cell r="C413">
            <v>150</v>
          </cell>
          <cell r="D413">
            <v>21</v>
          </cell>
          <cell r="F413">
            <v>4</v>
          </cell>
          <cell r="G413">
            <v>331</v>
          </cell>
          <cell r="J413">
            <v>1324</v>
          </cell>
          <cell r="K413">
            <v>126</v>
          </cell>
          <cell r="U413">
            <v>327</v>
          </cell>
        </row>
        <row r="414">
          <cell r="C414">
            <v>152</v>
          </cell>
          <cell r="D414">
            <v>86</v>
          </cell>
          <cell r="F414">
            <v>1</v>
          </cell>
          <cell r="G414">
            <v>477</v>
          </cell>
          <cell r="J414">
            <v>477</v>
          </cell>
          <cell r="K414">
            <v>84</v>
          </cell>
          <cell r="U414">
            <v>405</v>
          </cell>
        </row>
        <row r="415">
          <cell r="C415">
            <v>58</v>
          </cell>
          <cell r="D415">
            <v>30</v>
          </cell>
          <cell r="F415">
            <v>5</v>
          </cell>
          <cell r="G415">
            <v>371</v>
          </cell>
          <cell r="J415">
            <v>1855</v>
          </cell>
          <cell r="K415">
            <v>68</v>
          </cell>
          <cell r="U415">
            <v>230</v>
          </cell>
        </row>
        <row r="416">
          <cell r="C416">
            <v>151</v>
          </cell>
          <cell r="D416">
            <v>21</v>
          </cell>
          <cell r="F416">
            <v>1</v>
          </cell>
          <cell r="G416">
            <v>370</v>
          </cell>
          <cell r="J416">
            <v>370</v>
          </cell>
          <cell r="K416">
            <v>126</v>
          </cell>
          <cell r="U416">
            <v>327</v>
          </cell>
        </row>
        <row r="417">
          <cell r="C417">
            <v>113</v>
          </cell>
          <cell r="D417">
            <v>32</v>
          </cell>
          <cell r="F417">
            <v>3</v>
          </cell>
          <cell r="G417">
            <v>203</v>
          </cell>
          <cell r="J417">
            <v>609</v>
          </cell>
          <cell r="K417">
            <v>27</v>
          </cell>
          <cell r="U417">
            <v>366</v>
          </cell>
        </row>
        <row r="418">
          <cell r="C418">
            <v>176</v>
          </cell>
          <cell r="D418">
            <v>66</v>
          </cell>
          <cell r="F418">
            <v>4</v>
          </cell>
          <cell r="G418">
            <v>22</v>
          </cell>
          <cell r="J418">
            <v>88</v>
          </cell>
          <cell r="K418">
            <v>76</v>
          </cell>
          <cell r="U418">
            <v>452</v>
          </cell>
        </row>
        <row r="419">
          <cell r="C419">
            <v>147</v>
          </cell>
          <cell r="D419">
            <v>59</v>
          </cell>
          <cell r="F419">
            <v>1</v>
          </cell>
          <cell r="G419">
            <v>402</v>
          </cell>
          <cell r="J419">
            <v>402</v>
          </cell>
          <cell r="K419">
            <v>148</v>
          </cell>
          <cell r="U419">
            <v>183</v>
          </cell>
        </row>
        <row r="420">
          <cell r="C420">
            <v>32</v>
          </cell>
          <cell r="D420">
            <v>2</v>
          </cell>
          <cell r="F420">
            <v>2</v>
          </cell>
          <cell r="G420">
            <v>146</v>
          </cell>
          <cell r="J420">
            <v>292</v>
          </cell>
          <cell r="K420">
            <v>49</v>
          </cell>
          <cell r="U420">
            <v>223</v>
          </cell>
        </row>
        <row r="421">
          <cell r="C421">
            <v>160</v>
          </cell>
          <cell r="D421">
            <v>30</v>
          </cell>
          <cell r="F421">
            <v>2</v>
          </cell>
          <cell r="G421">
            <v>186</v>
          </cell>
          <cell r="J421">
            <v>372</v>
          </cell>
          <cell r="K421">
            <v>68</v>
          </cell>
          <cell r="U421">
            <v>230</v>
          </cell>
        </row>
        <row r="422">
          <cell r="C422">
            <v>37</v>
          </cell>
          <cell r="D422">
            <v>66</v>
          </cell>
          <cell r="F422">
            <v>2</v>
          </cell>
          <cell r="G422">
            <v>261</v>
          </cell>
          <cell r="J422">
            <v>522</v>
          </cell>
          <cell r="K422">
            <v>76</v>
          </cell>
          <cell r="U422">
            <v>452</v>
          </cell>
        </row>
        <row r="423">
          <cell r="C423">
            <v>166</v>
          </cell>
          <cell r="D423">
            <v>76</v>
          </cell>
          <cell r="F423">
            <v>3</v>
          </cell>
          <cell r="G423">
            <v>436</v>
          </cell>
          <cell r="J423">
            <v>1308</v>
          </cell>
          <cell r="K423">
            <v>29</v>
          </cell>
          <cell r="U423">
            <v>164</v>
          </cell>
        </row>
        <row r="424">
          <cell r="C424">
            <v>11</v>
          </cell>
          <cell r="D424">
            <v>16</v>
          </cell>
          <cell r="F424">
            <v>4</v>
          </cell>
          <cell r="G424">
            <v>430</v>
          </cell>
          <cell r="J424">
            <v>1720</v>
          </cell>
          <cell r="K424">
            <v>42</v>
          </cell>
          <cell r="U424">
            <v>440</v>
          </cell>
        </row>
        <row r="425">
          <cell r="C425">
            <v>3</v>
          </cell>
          <cell r="D425">
            <v>74</v>
          </cell>
          <cell r="F425">
            <v>4</v>
          </cell>
          <cell r="G425">
            <v>45</v>
          </cell>
          <cell r="J425">
            <v>180</v>
          </cell>
          <cell r="K425">
            <v>165</v>
          </cell>
          <cell r="U425">
            <v>251</v>
          </cell>
        </row>
        <row r="426">
          <cell r="C426">
            <v>144</v>
          </cell>
          <cell r="D426">
            <v>85</v>
          </cell>
          <cell r="F426">
            <v>3</v>
          </cell>
          <cell r="G426">
            <v>192</v>
          </cell>
          <cell r="J426">
            <v>576</v>
          </cell>
          <cell r="K426">
            <v>12</v>
          </cell>
          <cell r="U426">
            <v>78</v>
          </cell>
        </row>
        <row r="427">
          <cell r="C427">
            <v>29</v>
          </cell>
          <cell r="D427">
            <v>59</v>
          </cell>
          <cell r="F427">
            <v>1</v>
          </cell>
          <cell r="G427">
            <v>275</v>
          </cell>
          <cell r="J427">
            <v>275</v>
          </cell>
          <cell r="K427">
            <v>148</v>
          </cell>
          <cell r="U427">
            <v>183</v>
          </cell>
        </row>
        <row r="428">
          <cell r="C428">
            <v>58</v>
          </cell>
          <cell r="D428">
            <v>3</v>
          </cell>
          <cell r="F428">
            <v>2</v>
          </cell>
          <cell r="G428">
            <v>115</v>
          </cell>
          <cell r="J428">
            <v>230</v>
          </cell>
          <cell r="K428">
            <v>147</v>
          </cell>
          <cell r="U428">
            <v>357</v>
          </cell>
        </row>
        <row r="429">
          <cell r="C429">
            <v>120</v>
          </cell>
          <cell r="D429">
            <v>100</v>
          </cell>
          <cell r="F429">
            <v>1</v>
          </cell>
          <cell r="G429">
            <v>208</v>
          </cell>
          <cell r="J429">
            <v>208</v>
          </cell>
          <cell r="K429">
            <v>54</v>
          </cell>
          <cell r="U429">
            <v>472</v>
          </cell>
        </row>
        <row r="430">
          <cell r="C430">
            <v>86</v>
          </cell>
          <cell r="D430">
            <v>4</v>
          </cell>
          <cell r="F430">
            <v>5</v>
          </cell>
          <cell r="G430">
            <v>427</v>
          </cell>
          <cell r="J430">
            <v>2135</v>
          </cell>
          <cell r="K430">
            <v>130</v>
          </cell>
          <cell r="U430">
            <v>459</v>
          </cell>
        </row>
        <row r="431">
          <cell r="C431">
            <v>92</v>
          </cell>
          <cell r="D431">
            <v>4</v>
          </cell>
          <cell r="F431">
            <v>3</v>
          </cell>
          <cell r="G431">
            <v>48</v>
          </cell>
          <cell r="J431">
            <v>144</v>
          </cell>
          <cell r="K431">
            <v>130</v>
          </cell>
          <cell r="U431">
            <v>459</v>
          </cell>
        </row>
        <row r="432">
          <cell r="C432">
            <v>94</v>
          </cell>
          <cell r="D432">
            <v>50</v>
          </cell>
          <cell r="F432">
            <v>2</v>
          </cell>
          <cell r="G432">
            <v>330</v>
          </cell>
          <cell r="J432">
            <v>660</v>
          </cell>
          <cell r="K432">
            <v>50</v>
          </cell>
          <cell r="U432">
            <v>407</v>
          </cell>
        </row>
        <row r="433">
          <cell r="C433">
            <v>1</v>
          </cell>
          <cell r="D433">
            <v>48</v>
          </cell>
          <cell r="F433">
            <v>4</v>
          </cell>
          <cell r="G433">
            <v>446</v>
          </cell>
          <cell r="J433">
            <v>1784</v>
          </cell>
          <cell r="K433">
            <v>86</v>
          </cell>
          <cell r="U433">
            <v>315</v>
          </cell>
        </row>
        <row r="434">
          <cell r="C434">
            <v>75</v>
          </cell>
          <cell r="D434">
            <v>98</v>
          </cell>
          <cell r="F434">
            <v>2</v>
          </cell>
          <cell r="G434">
            <v>340</v>
          </cell>
          <cell r="J434">
            <v>680</v>
          </cell>
          <cell r="K434">
            <v>139</v>
          </cell>
          <cell r="U434">
            <v>460</v>
          </cell>
        </row>
        <row r="435">
          <cell r="C435">
            <v>74</v>
          </cell>
          <cell r="D435">
            <v>99</v>
          </cell>
          <cell r="F435">
            <v>4</v>
          </cell>
          <cell r="G435">
            <v>124</v>
          </cell>
          <cell r="J435">
            <v>496</v>
          </cell>
          <cell r="K435">
            <v>13</v>
          </cell>
          <cell r="U435">
            <v>340</v>
          </cell>
        </row>
        <row r="436">
          <cell r="C436">
            <v>47</v>
          </cell>
          <cell r="D436">
            <v>73</v>
          </cell>
          <cell r="F436">
            <v>5</v>
          </cell>
          <cell r="G436">
            <v>419</v>
          </cell>
          <cell r="J436">
            <v>2095</v>
          </cell>
          <cell r="K436">
            <v>18</v>
          </cell>
          <cell r="U436">
            <v>55</v>
          </cell>
        </row>
        <row r="437">
          <cell r="C437">
            <v>1</v>
          </cell>
          <cell r="D437">
            <v>46</v>
          </cell>
          <cell r="F437">
            <v>5</v>
          </cell>
          <cell r="G437">
            <v>285</v>
          </cell>
          <cell r="J437">
            <v>1425</v>
          </cell>
          <cell r="K437">
            <v>218</v>
          </cell>
          <cell r="U437">
            <v>56</v>
          </cell>
        </row>
        <row r="438">
          <cell r="C438">
            <v>59</v>
          </cell>
          <cell r="D438">
            <v>48</v>
          </cell>
          <cell r="F438">
            <v>1</v>
          </cell>
          <cell r="G438">
            <v>361</v>
          </cell>
          <cell r="J438">
            <v>361</v>
          </cell>
          <cell r="K438">
            <v>86</v>
          </cell>
          <cell r="U438">
            <v>315</v>
          </cell>
        </row>
        <row r="439">
          <cell r="C439">
            <v>112</v>
          </cell>
          <cell r="D439">
            <v>25</v>
          </cell>
          <cell r="F439">
            <v>3</v>
          </cell>
          <cell r="G439">
            <v>414</v>
          </cell>
          <cell r="J439">
            <v>1242</v>
          </cell>
          <cell r="K439">
            <v>85</v>
          </cell>
          <cell r="U439">
            <v>212</v>
          </cell>
        </row>
        <row r="440">
          <cell r="C440">
            <v>186</v>
          </cell>
          <cell r="D440">
            <v>28</v>
          </cell>
          <cell r="F440">
            <v>1</v>
          </cell>
          <cell r="G440">
            <v>453</v>
          </cell>
          <cell r="J440">
            <v>453</v>
          </cell>
          <cell r="K440">
            <v>16</v>
          </cell>
          <cell r="U440">
            <v>203</v>
          </cell>
        </row>
        <row r="441">
          <cell r="C441">
            <v>165</v>
          </cell>
          <cell r="D441">
            <v>79</v>
          </cell>
          <cell r="F441">
            <v>3</v>
          </cell>
          <cell r="G441">
            <v>54</v>
          </cell>
          <cell r="J441">
            <v>162</v>
          </cell>
          <cell r="K441">
            <v>45</v>
          </cell>
          <cell r="U441">
            <v>298</v>
          </cell>
        </row>
        <row r="442">
          <cell r="C442">
            <v>17</v>
          </cell>
          <cell r="D442">
            <v>62</v>
          </cell>
          <cell r="F442">
            <v>4</v>
          </cell>
          <cell r="G442">
            <v>37</v>
          </cell>
          <cell r="J442">
            <v>148</v>
          </cell>
          <cell r="K442">
            <v>26</v>
          </cell>
          <cell r="U442">
            <v>32</v>
          </cell>
        </row>
        <row r="443">
          <cell r="C443">
            <v>42</v>
          </cell>
          <cell r="D443">
            <v>32</v>
          </cell>
          <cell r="F443">
            <v>4</v>
          </cell>
          <cell r="G443">
            <v>41</v>
          </cell>
          <cell r="J443">
            <v>164</v>
          </cell>
          <cell r="K443">
            <v>27</v>
          </cell>
          <cell r="U443">
            <v>366</v>
          </cell>
        </row>
        <row r="444">
          <cell r="C444">
            <v>9</v>
          </cell>
          <cell r="D444">
            <v>80</v>
          </cell>
          <cell r="F444">
            <v>3</v>
          </cell>
          <cell r="G444">
            <v>229</v>
          </cell>
          <cell r="J444">
            <v>687</v>
          </cell>
          <cell r="K444">
            <v>44</v>
          </cell>
          <cell r="U444">
            <v>272</v>
          </cell>
        </row>
        <row r="445">
          <cell r="C445">
            <v>181</v>
          </cell>
          <cell r="D445">
            <v>49</v>
          </cell>
          <cell r="F445">
            <v>1</v>
          </cell>
          <cell r="G445">
            <v>304</v>
          </cell>
          <cell r="J445">
            <v>304</v>
          </cell>
          <cell r="K445">
            <v>4</v>
          </cell>
          <cell r="U445">
            <v>117</v>
          </cell>
        </row>
        <row r="446">
          <cell r="C446">
            <v>118</v>
          </cell>
          <cell r="D446">
            <v>100</v>
          </cell>
          <cell r="F446">
            <v>5</v>
          </cell>
          <cell r="G446">
            <v>214</v>
          </cell>
          <cell r="J446">
            <v>1070</v>
          </cell>
          <cell r="K446">
            <v>54</v>
          </cell>
          <cell r="U446">
            <v>472</v>
          </cell>
        </row>
        <row r="447">
          <cell r="C447">
            <v>194</v>
          </cell>
          <cell r="D447">
            <v>73</v>
          </cell>
          <cell r="F447">
            <v>4</v>
          </cell>
          <cell r="G447">
            <v>346</v>
          </cell>
          <cell r="J447">
            <v>1384</v>
          </cell>
          <cell r="K447">
            <v>18</v>
          </cell>
          <cell r="U447">
            <v>55</v>
          </cell>
        </row>
        <row r="448">
          <cell r="C448">
            <v>138</v>
          </cell>
          <cell r="D448">
            <v>87</v>
          </cell>
          <cell r="F448">
            <v>4</v>
          </cell>
          <cell r="G448">
            <v>493</v>
          </cell>
          <cell r="J448">
            <v>1972</v>
          </cell>
          <cell r="K448">
            <v>145</v>
          </cell>
          <cell r="U448">
            <v>115</v>
          </cell>
        </row>
        <row r="449">
          <cell r="C449">
            <v>135</v>
          </cell>
          <cell r="D449">
            <v>62</v>
          </cell>
          <cell r="F449">
            <v>1</v>
          </cell>
          <cell r="G449">
            <v>474</v>
          </cell>
          <cell r="J449">
            <v>474</v>
          </cell>
          <cell r="K449">
            <v>26</v>
          </cell>
          <cell r="U449">
            <v>32</v>
          </cell>
        </row>
        <row r="450">
          <cell r="C450">
            <v>24</v>
          </cell>
          <cell r="D450">
            <v>74</v>
          </cell>
          <cell r="F450">
            <v>5</v>
          </cell>
          <cell r="G450">
            <v>282</v>
          </cell>
          <cell r="J450">
            <v>1410</v>
          </cell>
          <cell r="K450">
            <v>165</v>
          </cell>
          <cell r="U450">
            <v>251</v>
          </cell>
        </row>
        <row r="451">
          <cell r="C451">
            <v>103</v>
          </cell>
          <cell r="D451">
            <v>37</v>
          </cell>
          <cell r="F451">
            <v>3</v>
          </cell>
          <cell r="G451">
            <v>423</v>
          </cell>
          <cell r="J451">
            <v>1269</v>
          </cell>
          <cell r="K451">
            <v>23</v>
          </cell>
          <cell r="U451">
            <v>210</v>
          </cell>
        </row>
        <row r="452">
          <cell r="C452">
            <v>14</v>
          </cell>
          <cell r="D452">
            <v>65</v>
          </cell>
          <cell r="F452">
            <v>3</v>
          </cell>
          <cell r="G452">
            <v>373</v>
          </cell>
          <cell r="J452">
            <v>1119</v>
          </cell>
          <cell r="K452">
            <v>175</v>
          </cell>
          <cell r="U452">
            <v>309</v>
          </cell>
        </row>
        <row r="453">
          <cell r="C453">
            <v>4</v>
          </cell>
          <cell r="D453">
            <v>52</v>
          </cell>
          <cell r="F453">
            <v>1</v>
          </cell>
          <cell r="G453">
            <v>140</v>
          </cell>
          <cell r="J453">
            <v>140</v>
          </cell>
          <cell r="K453">
            <v>2</v>
          </cell>
          <cell r="U453">
            <v>257</v>
          </cell>
        </row>
        <row r="454">
          <cell r="C454">
            <v>88</v>
          </cell>
          <cell r="D454">
            <v>46</v>
          </cell>
          <cell r="F454">
            <v>1</v>
          </cell>
          <cell r="G454">
            <v>174</v>
          </cell>
          <cell r="J454">
            <v>174</v>
          </cell>
          <cell r="K454">
            <v>218</v>
          </cell>
          <cell r="U454">
            <v>56</v>
          </cell>
        </row>
        <row r="455">
          <cell r="C455">
            <v>26</v>
          </cell>
          <cell r="D455">
            <v>39</v>
          </cell>
          <cell r="F455">
            <v>4</v>
          </cell>
          <cell r="G455">
            <v>50</v>
          </cell>
          <cell r="J455">
            <v>200</v>
          </cell>
          <cell r="K455">
            <v>122</v>
          </cell>
          <cell r="U455">
            <v>50</v>
          </cell>
        </row>
        <row r="456">
          <cell r="C456">
            <v>158</v>
          </cell>
          <cell r="D456">
            <v>93</v>
          </cell>
          <cell r="F456">
            <v>5</v>
          </cell>
          <cell r="G456">
            <v>46</v>
          </cell>
          <cell r="J456">
            <v>230</v>
          </cell>
          <cell r="K456">
            <v>35</v>
          </cell>
          <cell r="U456">
            <v>423</v>
          </cell>
        </row>
        <row r="457">
          <cell r="C457">
            <v>105</v>
          </cell>
          <cell r="D457">
            <v>8</v>
          </cell>
          <cell r="F457">
            <v>3</v>
          </cell>
          <cell r="G457">
            <v>321</v>
          </cell>
          <cell r="J457">
            <v>963</v>
          </cell>
          <cell r="K457">
            <v>67</v>
          </cell>
          <cell r="U457">
            <v>293</v>
          </cell>
        </row>
        <row r="458">
          <cell r="C458">
            <v>187</v>
          </cell>
          <cell r="D458">
            <v>44</v>
          </cell>
          <cell r="F458">
            <v>2</v>
          </cell>
          <cell r="G458">
            <v>436</v>
          </cell>
          <cell r="J458">
            <v>872</v>
          </cell>
          <cell r="K458">
            <v>72</v>
          </cell>
          <cell r="U458">
            <v>181</v>
          </cell>
        </row>
        <row r="459">
          <cell r="C459">
            <v>174</v>
          </cell>
          <cell r="D459">
            <v>74</v>
          </cell>
          <cell r="F459">
            <v>4</v>
          </cell>
          <cell r="G459">
            <v>320</v>
          </cell>
          <cell r="J459">
            <v>1280</v>
          </cell>
          <cell r="K459">
            <v>165</v>
          </cell>
          <cell r="U459">
            <v>251</v>
          </cell>
        </row>
        <row r="460">
          <cell r="C460">
            <v>19</v>
          </cell>
          <cell r="D460">
            <v>46</v>
          </cell>
          <cell r="F460">
            <v>3</v>
          </cell>
          <cell r="G460">
            <v>97</v>
          </cell>
          <cell r="J460">
            <v>291</v>
          </cell>
          <cell r="K460">
            <v>218</v>
          </cell>
          <cell r="U460">
            <v>56</v>
          </cell>
        </row>
        <row r="461">
          <cell r="C461">
            <v>108</v>
          </cell>
          <cell r="D461">
            <v>30</v>
          </cell>
          <cell r="F461">
            <v>5</v>
          </cell>
          <cell r="G461">
            <v>400</v>
          </cell>
          <cell r="J461">
            <v>2000</v>
          </cell>
          <cell r="K461">
            <v>68</v>
          </cell>
          <cell r="U461">
            <v>230</v>
          </cell>
        </row>
        <row r="462">
          <cell r="C462">
            <v>124</v>
          </cell>
          <cell r="D462">
            <v>100</v>
          </cell>
          <cell r="F462">
            <v>4</v>
          </cell>
          <cell r="G462">
            <v>398</v>
          </cell>
          <cell r="J462">
            <v>1592</v>
          </cell>
          <cell r="K462">
            <v>54</v>
          </cell>
          <cell r="U462">
            <v>472</v>
          </cell>
        </row>
        <row r="463">
          <cell r="C463">
            <v>150</v>
          </cell>
          <cell r="D463">
            <v>41</v>
          </cell>
          <cell r="F463">
            <v>5</v>
          </cell>
          <cell r="G463">
            <v>79</v>
          </cell>
          <cell r="J463">
            <v>395</v>
          </cell>
          <cell r="K463">
            <v>19</v>
          </cell>
          <cell r="U463">
            <v>459</v>
          </cell>
        </row>
        <row r="464">
          <cell r="C464">
            <v>28</v>
          </cell>
          <cell r="D464">
            <v>11</v>
          </cell>
          <cell r="F464">
            <v>3</v>
          </cell>
          <cell r="G464">
            <v>407</v>
          </cell>
          <cell r="J464">
            <v>1221</v>
          </cell>
          <cell r="K464">
            <v>228</v>
          </cell>
          <cell r="U464">
            <v>373</v>
          </cell>
        </row>
        <row r="465">
          <cell r="C465">
            <v>192</v>
          </cell>
          <cell r="D465">
            <v>39</v>
          </cell>
          <cell r="F465">
            <v>2</v>
          </cell>
          <cell r="G465">
            <v>159</v>
          </cell>
          <cell r="J465">
            <v>318</v>
          </cell>
          <cell r="K465">
            <v>122</v>
          </cell>
          <cell r="U465">
            <v>50</v>
          </cell>
        </row>
        <row r="466">
          <cell r="C466">
            <v>43</v>
          </cell>
          <cell r="D466">
            <v>90</v>
          </cell>
          <cell r="F466">
            <v>5</v>
          </cell>
          <cell r="G466">
            <v>254</v>
          </cell>
          <cell r="J466">
            <v>1270</v>
          </cell>
          <cell r="K466">
            <v>17</v>
          </cell>
          <cell r="U466">
            <v>255</v>
          </cell>
        </row>
        <row r="467">
          <cell r="C467">
            <v>101</v>
          </cell>
          <cell r="D467">
            <v>51</v>
          </cell>
          <cell r="F467">
            <v>3</v>
          </cell>
          <cell r="G467">
            <v>342</v>
          </cell>
          <cell r="J467">
            <v>1026</v>
          </cell>
          <cell r="K467">
            <v>55</v>
          </cell>
          <cell r="U467">
            <v>27</v>
          </cell>
        </row>
        <row r="468">
          <cell r="C468">
            <v>13</v>
          </cell>
          <cell r="D468">
            <v>43</v>
          </cell>
          <cell r="F468">
            <v>5</v>
          </cell>
          <cell r="G468">
            <v>409</v>
          </cell>
          <cell r="J468">
            <v>2045</v>
          </cell>
          <cell r="K468">
            <v>34</v>
          </cell>
          <cell r="U468">
            <v>293</v>
          </cell>
        </row>
        <row r="469">
          <cell r="C469">
            <v>18</v>
          </cell>
          <cell r="D469">
            <v>11</v>
          </cell>
          <cell r="F469">
            <v>2</v>
          </cell>
          <cell r="G469">
            <v>496</v>
          </cell>
          <cell r="J469">
            <v>992</v>
          </cell>
          <cell r="K469">
            <v>228</v>
          </cell>
          <cell r="U469">
            <v>373</v>
          </cell>
        </row>
        <row r="470">
          <cell r="C470">
            <v>147</v>
          </cell>
          <cell r="D470">
            <v>49</v>
          </cell>
          <cell r="F470">
            <v>4</v>
          </cell>
          <cell r="G470">
            <v>260</v>
          </cell>
          <cell r="J470">
            <v>1040</v>
          </cell>
          <cell r="K470">
            <v>4</v>
          </cell>
          <cell r="U470">
            <v>117</v>
          </cell>
        </row>
        <row r="471">
          <cell r="C471">
            <v>14</v>
          </cell>
          <cell r="D471">
            <v>53</v>
          </cell>
          <cell r="F471">
            <v>3</v>
          </cell>
          <cell r="G471">
            <v>428</v>
          </cell>
          <cell r="J471">
            <v>1284</v>
          </cell>
          <cell r="K471">
            <v>166</v>
          </cell>
          <cell r="U471">
            <v>59</v>
          </cell>
        </row>
        <row r="472">
          <cell r="C472">
            <v>20</v>
          </cell>
          <cell r="D472">
            <v>34</v>
          </cell>
          <cell r="F472">
            <v>1</v>
          </cell>
          <cell r="G472">
            <v>200</v>
          </cell>
          <cell r="J472">
            <v>200</v>
          </cell>
          <cell r="K472">
            <v>43</v>
          </cell>
          <cell r="U472">
            <v>349</v>
          </cell>
        </row>
        <row r="473">
          <cell r="C473">
            <v>11</v>
          </cell>
          <cell r="D473">
            <v>13</v>
          </cell>
          <cell r="F473">
            <v>1</v>
          </cell>
          <cell r="G473">
            <v>243</v>
          </cell>
          <cell r="J473">
            <v>243</v>
          </cell>
          <cell r="K473">
            <v>37</v>
          </cell>
          <cell r="U473">
            <v>34</v>
          </cell>
        </row>
        <row r="474">
          <cell r="C474">
            <v>103</v>
          </cell>
          <cell r="D474">
            <v>7</v>
          </cell>
          <cell r="F474">
            <v>1</v>
          </cell>
          <cell r="G474">
            <v>294</v>
          </cell>
          <cell r="J474">
            <v>294</v>
          </cell>
          <cell r="K474">
            <v>32</v>
          </cell>
          <cell r="U474">
            <v>65</v>
          </cell>
        </row>
        <row r="475">
          <cell r="C475">
            <v>36</v>
          </cell>
          <cell r="D475">
            <v>19</v>
          </cell>
          <cell r="F475">
            <v>2</v>
          </cell>
          <cell r="G475">
            <v>277</v>
          </cell>
          <cell r="J475">
            <v>554</v>
          </cell>
          <cell r="K475">
            <v>7</v>
          </cell>
          <cell r="U475">
            <v>442</v>
          </cell>
        </row>
        <row r="476">
          <cell r="C476">
            <v>137</v>
          </cell>
          <cell r="D476">
            <v>31</v>
          </cell>
          <cell r="F476">
            <v>5</v>
          </cell>
          <cell r="G476">
            <v>412</v>
          </cell>
          <cell r="J476">
            <v>2060</v>
          </cell>
          <cell r="K476">
            <v>61</v>
          </cell>
          <cell r="U476">
            <v>254</v>
          </cell>
        </row>
        <row r="477">
          <cell r="C477">
            <v>93</v>
          </cell>
          <cell r="D477">
            <v>29</v>
          </cell>
          <cell r="F477">
            <v>5</v>
          </cell>
          <cell r="G477">
            <v>167</v>
          </cell>
          <cell r="J477">
            <v>835</v>
          </cell>
          <cell r="K477">
            <v>164</v>
          </cell>
          <cell r="U477">
            <v>155</v>
          </cell>
        </row>
        <row r="478">
          <cell r="C478">
            <v>194</v>
          </cell>
          <cell r="D478">
            <v>16</v>
          </cell>
          <cell r="F478">
            <v>2</v>
          </cell>
          <cell r="G478">
            <v>487</v>
          </cell>
          <cell r="J478">
            <v>974</v>
          </cell>
          <cell r="K478">
            <v>42</v>
          </cell>
          <cell r="U478">
            <v>440</v>
          </cell>
        </row>
        <row r="479">
          <cell r="C479">
            <v>59</v>
          </cell>
          <cell r="D479">
            <v>35</v>
          </cell>
          <cell r="F479">
            <v>5</v>
          </cell>
          <cell r="G479">
            <v>71</v>
          </cell>
          <cell r="J479">
            <v>355</v>
          </cell>
          <cell r="K479">
            <v>115</v>
          </cell>
          <cell r="U479">
            <v>346</v>
          </cell>
        </row>
        <row r="480">
          <cell r="C480">
            <v>142</v>
          </cell>
          <cell r="D480">
            <v>57</v>
          </cell>
          <cell r="F480">
            <v>1</v>
          </cell>
          <cell r="G480">
            <v>275</v>
          </cell>
          <cell r="J480">
            <v>275</v>
          </cell>
          <cell r="K480">
            <v>31</v>
          </cell>
          <cell r="U480">
            <v>66</v>
          </cell>
        </row>
        <row r="481">
          <cell r="C481">
            <v>24</v>
          </cell>
          <cell r="D481">
            <v>30</v>
          </cell>
          <cell r="F481">
            <v>5</v>
          </cell>
          <cell r="G481">
            <v>425</v>
          </cell>
          <cell r="J481">
            <v>2125</v>
          </cell>
          <cell r="K481">
            <v>68</v>
          </cell>
          <cell r="U481">
            <v>230</v>
          </cell>
        </row>
        <row r="482">
          <cell r="C482">
            <v>108</v>
          </cell>
          <cell r="D482">
            <v>20</v>
          </cell>
          <cell r="F482">
            <v>3</v>
          </cell>
          <cell r="G482">
            <v>187</v>
          </cell>
          <cell r="J482">
            <v>561</v>
          </cell>
          <cell r="K482">
            <v>137</v>
          </cell>
          <cell r="U482">
            <v>182</v>
          </cell>
        </row>
        <row r="483">
          <cell r="C483">
            <v>165</v>
          </cell>
          <cell r="D483">
            <v>75</v>
          </cell>
          <cell r="F483">
            <v>5</v>
          </cell>
          <cell r="G483">
            <v>197</v>
          </cell>
          <cell r="J483">
            <v>985</v>
          </cell>
          <cell r="K483">
            <v>14</v>
          </cell>
          <cell r="U483">
            <v>88</v>
          </cell>
        </row>
        <row r="484">
          <cell r="C484">
            <v>172</v>
          </cell>
          <cell r="D484">
            <v>76</v>
          </cell>
          <cell r="F484">
            <v>5</v>
          </cell>
          <cell r="G484">
            <v>172</v>
          </cell>
          <cell r="J484">
            <v>860</v>
          </cell>
          <cell r="K484">
            <v>29</v>
          </cell>
          <cell r="U484">
            <v>164</v>
          </cell>
        </row>
        <row r="485">
          <cell r="C485">
            <v>139</v>
          </cell>
          <cell r="D485">
            <v>88</v>
          </cell>
          <cell r="F485">
            <v>2</v>
          </cell>
          <cell r="G485">
            <v>166</v>
          </cell>
          <cell r="J485">
            <v>332</v>
          </cell>
          <cell r="K485">
            <v>490</v>
          </cell>
          <cell r="U485">
            <v>378</v>
          </cell>
        </row>
        <row r="486">
          <cell r="C486">
            <v>91</v>
          </cell>
          <cell r="D486">
            <v>29</v>
          </cell>
          <cell r="F486">
            <v>3</v>
          </cell>
          <cell r="G486">
            <v>252</v>
          </cell>
          <cell r="J486">
            <v>756</v>
          </cell>
          <cell r="K486">
            <v>164</v>
          </cell>
          <cell r="U486">
            <v>155</v>
          </cell>
        </row>
        <row r="487">
          <cell r="C487">
            <v>156</v>
          </cell>
          <cell r="D487">
            <v>93</v>
          </cell>
          <cell r="F487">
            <v>4</v>
          </cell>
          <cell r="G487">
            <v>46</v>
          </cell>
          <cell r="J487">
            <v>184</v>
          </cell>
          <cell r="K487">
            <v>35</v>
          </cell>
          <cell r="U487">
            <v>423</v>
          </cell>
        </row>
        <row r="488">
          <cell r="C488">
            <v>39</v>
          </cell>
          <cell r="D488">
            <v>100</v>
          </cell>
          <cell r="F488">
            <v>3</v>
          </cell>
          <cell r="G488">
            <v>205</v>
          </cell>
          <cell r="J488">
            <v>615</v>
          </cell>
          <cell r="K488">
            <v>54</v>
          </cell>
          <cell r="U488">
            <v>472</v>
          </cell>
        </row>
        <row r="489">
          <cell r="C489">
            <v>42</v>
          </cell>
          <cell r="D489">
            <v>32</v>
          </cell>
          <cell r="F489">
            <v>1</v>
          </cell>
          <cell r="G489">
            <v>394</v>
          </cell>
          <cell r="J489">
            <v>394</v>
          </cell>
          <cell r="K489">
            <v>27</v>
          </cell>
          <cell r="U489">
            <v>366</v>
          </cell>
        </row>
        <row r="490">
          <cell r="C490">
            <v>152</v>
          </cell>
          <cell r="D490">
            <v>48</v>
          </cell>
          <cell r="F490">
            <v>1</v>
          </cell>
          <cell r="G490">
            <v>75</v>
          </cell>
          <cell r="J490">
            <v>75</v>
          </cell>
          <cell r="K490">
            <v>86</v>
          </cell>
          <cell r="U490">
            <v>315</v>
          </cell>
        </row>
        <row r="491">
          <cell r="C491">
            <v>120</v>
          </cell>
          <cell r="D491">
            <v>83</v>
          </cell>
          <cell r="F491">
            <v>1</v>
          </cell>
          <cell r="G491">
            <v>183</v>
          </cell>
          <cell r="J491">
            <v>183</v>
          </cell>
          <cell r="K491">
            <v>47</v>
          </cell>
          <cell r="U491">
            <v>183</v>
          </cell>
        </row>
        <row r="492">
          <cell r="C492">
            <v>6</v>
          </cell>
          <cell r="D492">
            <v>69</v>
          </cell>
          <cell r="F492">
            <v>1</v>
          </cell>
          <cell r="G492">
            <v>262</v>
          </cell>
          <cell r="J492">
            <v>262</v>
          </cell>
          <cell r="K492">
            <v>15</v>
          </cell>
          <cell r="U492">
            <v>460</v>
          </cell>
        </row>
        <row r="493">
          <cell r="C493">
            <v>67</v>
          </cell>
          <cell r="D493">
            <v>21</v>
          </cell>
          <cell r="F493">
            <v>3</v>
          </cell>
          <cell r="G493">
            <v>267</v>
          </cell>
          <cell r="J493">
            <v>801</v>
          </cell>
          <cell r="K493">
            <v>126</v>
          </cell>
          <cell r="U493">
            <v>327</v>
          </cell>
        </row>
        <row r="494">
          <cell r="C494">
            <v>105</v>
          </cell>
          <cell r="D494">
            <v>90</v>
          </cell>
          <cell r="F494">
            <v>2</v>
          </cell>
          <cell r="G494">
            <v>428</v>
          </cell>
          <cell r="J494">
            <v>856</v>
          </cell>
          <cell r="K494">
            <v>17</v>
          </cell>
          <cell r="U494">
            <v>255</v>
          </cell>
        </row>
        <row r="495">
          <cell r="C495">
            <v>191</v>
          </cell>
          <cell r="D495">
            <v>51</v>
          </cell>
          <cell r="F495">
            <v>2</v>
          </cell>
          <cell r="G495">
            <v>147</v>
          </cell>
          <cell r="J495">
            <v>294</v>
          </cell>
          <cell r="K495">
            <v>55</v>
          </cell>
          <cell r="U495">
            <v>27</v>
          </cell>
        </row>
        <row r="496">
          <cell r="C496">
            <v>123</v>
          </cell>
          <cell r="D496">
            <v>95</v>
          </cell>
          <cell r="F496">
            <v>3</v>
          </cell>
          <cell r="G496">
            <v>467</v>
          </cell>
          <cell r="J496">
            <v>1401</v>
          </cell>
          <cell r="K496">
            <v>75</v>
          </cell>
          <cell r="U496">
            <v>73</v>
          </cell>
        </row>
        <row r="497">
          <cell r="C497">
            <v>1</v>
          </cell>
          <cell r="D497">
            <v>36</v>
          </cell>
          <cell r="F497">
            <v>5</v>
          </cell>
          <cell r="G497">
            <v>364</v>
          </cell>
          <cell r="J497">
            <v>1820</v>
          </cell>
          <cell r="K497">
            <v>52</v>
          </cell>
          <cell r="U497">
            <v>467</v>
          </cell>
        </row>
        <row r="498">
          <cell r="C498">
            <v>153</v>
          </cell>
          <cell r="D498">
            <v>23</v>
          </cell>
          <cell r="F498">
            <v>5</v>
          </cell>
          <cell r="G498">
            <v>460</v>
          </cell>
          <cell r="J498">
            <v>2300</v>
          </cell>
          <cell r="K498">
            <v>127</v>
          </cell>
          <cell r="U498">
            <v>370</v>
          </cell>
        </row>
        <row r="499">
          <cell r="C499">
            <v>51</v>
          </cell>
          <cell r="D499">
            <v>9</v>
          </cell>
          <cell r="F499">
            <v>3</v>
          </cell>
          <cell r="G499">
            <v>63</v>
          </cell>
          <cell r="J499">
            <v>189</v>
          </cell>
          <cell r="K499">
            <v>185</v>
          </cell>
          <cell r="U499">
            <v>121</v>
          </cell>
        </row>
        <row r="500">
          <cell r="C500">
            <v>162</v>
          </cell>
          <cell r="D500">
            <v>26</v>
          </cell>
          <cell r="F500">
            <v>3</v>
          </cell>
          <cell r="G500">
            <v>183</v>
          </cell>
          <cell r="J500">
            <v>549</v>
          </cell>
          <cell r="K500">
            <v>11</v>
          </cell>
          <cell r="U500">
            <v>462</v>
          </cell>
        </row>
        <row r="501">
          <cell r="C501">
            <v>17</v>
          </cell>
          <cell r="D501">
            <v>51</v>
          </cell>
          <cell r="F501">
            <v>3</v>
          </cell>
          <cell r="G501">
            <v>445</v>
          </cell>
          <cell r="J501">
            <v>1335</v>
          </cell>
          <cell r="K501">
            <v>55</v>
          </cell>
          <cell r="U501">
            <v>27</v>
          </cell>
        </row>
      </sheetData>
      <sheetData sheetId="10">
        <row r="2">
          <cell r="A2">
            <v>1</v>
          </cell>
          <cell r="B2" t="str">
            <v>2024-01-02</v>
          </cell>
        </row>
        <row r="3">
          <cell r="A3">
            <v>2</v>
          </cell>
          <cell r="B3" t="str">
            <v>2024-01-03</v>
          </cell>
        </row>
        <row r="4">
          <cell r="A4">
            <v>3</v>
          </cell>
          <cell r="B4" t="str">
            <v>2024-01-04</v>
          </cell>
        </row>
        <row r="5">
          <cell r="A5">
            <v>4</v>
          </cell>
          <cell r="B5" t="str">
            <v>2024-01-05</v>
          </cell>
        </row>
        <row r="6">
          <cell r="A6">
            <v>5</v>
          </cell>
          <cell r="B6" t="str">
            <v>2024-01-06</v>
          </cell>
        </row>
        <row r="7">
          <cell r="A7">
            <v>6</v>
          </cell>
          <cell r="B7" t="str">
            <v>2024-01-07</v>
          </cell>
        </row>
        <row r="8">
          <cell r="A8">
            <v>7</v>
          </cell>
          <cell r="B8" t="str">
            <v>2024-01-08</v>
          </cell>
        </row>
        <row r="9">
          <cell r="A9">
            <v>8</v>
          </cell>
          <cell r="B9" t="str">
            <v>2024-01-09</v>
          </cell>
        </row>
        <row r="10">
          <cell r="A10">
            <v>9</v>
          </cell>
          <cell r="B10" t="str">
            <v>2024-01-10</v>
          </cell>
        </row>
        <row r="11">
          <cell r="A11">
            <v>10</v>
          </cell>
          <cell r="B11" t="str">
            <v>2024-01-11</v>
          </cell>
        </row>
        <row r="12">
          <cell r="A12">
            <v>11</v>
          </cell>
          <cell r="B12" t="str">
            <v>2024-01-12</v>
          </cell>
        </row>
        <row r="13">
          <cell r="A13">
            <v>12</v>
          </cell>
          <cell r="B13" t="str">
            <v>2024-01-13</v>
          </cell>
        </row>
        <row r="14">
          <cell r="A14">
            <v>13</v>
          </cell>
          <cell r="B14" t="str">
            <v>2024-01-14</v>
          </cell>
        </row>
        <row r="15">
          <cell r="A15">
            <v>14</v>
          </cell>
          <cell r="B15" t="str">
            <v>2024-01-15</v>
          </cell>
        </row>
        <row r="16">
          <cell r="A16">
            <v>15</v>
          </cell>
          <cell r="B16" t="str">
            <v>2024-01-16</v>
          </cell>
        </row>
        <row r="17">
          <cell r="A17">
            <v>16</v>
          </cell>
          <cell r="B17" t="str">
            <v>2024-01-17</v>
          </cell>
        </row>
        <row r="18">
          <cell r="A18">
            <v>17</v>
          </cell>
          <cell r="B18" t="str">
            <v>2024-01-18</v>
          </cell>
        </row>
        <row r="19">
          <cell r="A19">
            <v>18</v>
          </cell>
          <cell r="B19" t="str">
            <v>2024-01-19</v>
          </cell>
        </row>
        <row r="20">
          <cell r="A20">
            <v>19</v>
          </cell>
          <cell r="B20" t="str">
            <v>2024-01-20</v>
          </cell>
        </row>
        <row r="21">
          <cell r="A21">
            <v>20</v>
          </cell>
          <cell r="B21" t="str">
            <v>2024-01-21</v>
          </cell>
        </row>
        <row r="22">
          <cell r="A22">
            <v>21</v>
          </cell>
          <cell r="B22" t="str">
            <v>2024-01-22</v>
          </cell>
        </row>
        <row r="23">
          <cell r="A23">
            <v>22</v>
          </cell>
          <cell r="B23" t="str">
            <v>2024-01-23</v>
          </cell>
        </row>
        <row r="24">
          <cell r="A24">
            <v>23</v>
          </cell>
          <cell r="B24" t="str">
            <v>2024-01-24</v>
          </cell>
        </row>
        <row r="25">
          <cell r="A25">
            <v>24</v>
          </cell>
          <cell r="B25" t="str">
            <v>2024-01-25</v>
          </cell>
        </row>
        <row r="26">
          <cell r="A26">
            <v>25</v>
          </cell>
          <cell r="B26" t="str">
            <v>2024-01-26</v>
          </cell>
        </row>
        <row r="27">
          <cell r="A27">
            <v>26</v>
          </cell>
          <cell r="B27" t="str">
            <v>2024-01-27</v>
          </cell>
        </row>
        <row r="28">
          <cell r="A28">
            <v>27</v>
          </cell>
          <cell r="B28" t="str">
            <v>2024-01-28</v>
          </cell>
        </row>
        <row r="29">
          <cell r="A29">
            <v>28</v>
          </cell>
          <cell r="B29" t="str">
            <v>2024-01-29</v>
          </cell>
        </row>
        <row r="30">
          <cell r="A30">
            <v>29</v>
          </cell>
          <cell r="B30" t="str">
            <v>2024-01-30</v>
          </cell>
        </row>
        <row r="31">
          <cell r="A31">
            <v>30</v>
          </cell>
          <cell r="B31" t="str">
            <v>2024-01-31</v>
          </cell>
        </row>
        <row r="32">
          <cell r="A32">
            <v>31</v>
          </cell>
          <cell r="B32" t="str">
            <v>2024-02-01</v>
          </cell>
        </row>
        <row r="33">
          <cell r="A33">
            <v>32</v>
          </cell>
          <cell r="B33" t="str">
            <v>2024-02-02</v>
          </cell>
        </row>
        <row r="34">
          <cell r="A34">
            <v>33</v>
          </cell>
          <cell r="B34" t="str">
            <v>2024-02-03</v>
          </cell>
        </row>
        <row r="35">
          <cell r="A35">
            <v>34</v>
          </cell>
          <cell r="B35" t="str">
            <v>2024-02-04</v>
          </cell>
        </row>
        <row r="36">
          <cell r="A36">
            <v>35</v>
          </cell>
          <cell r="B36" t="str">
            <v>2024-02-05</v>
          </cell>
        </row>
        <row r="37">
          <cell r="A37">
            <v>36</v>
          </cell>
          <cell r="B37" t="str">
            <v>2024-02-06</v>
          </cell>
        </row>
        <row r="38">
          <cell r="A38">
            <v>37</v>
          </cell>
          <cell r="B38" t="str">
            <v>2024-02-07</v>
          </cell>
        </row>
        <row r="39">
          <cell r="A39">
            <v>38</v>
          </cell>
          <cell r="B39" t="str">
            <v>2024-02-08</v>
          </cell>
        </row>
        <row r="40">
          <cell r="A40">
            <v>39</v>
          </cell>
          <cell r="B40" t="str">
            <v>2024-02-09</v>
          </cell>
        </row>
        <row r="41">
          <cell r="A41">
            <v>40</v>
          </cell>
          <cell r="B41" t="str">
            <v>2024-02-10</v>
          </cell>
        </row>
        <row r="42">
          <cell r="A42">
            <v>41</v>
          </cell>
          <cell r="B42" t="str">
            <v>2024-02-11</v>
          </cell>
        </row>
        <row r="43">
          <cell r="A43">
            <v>42</v>
          </cell>
          <cell r="B43" t="str">
            <v>2024-02-12</v>
          </cell>
        </row>
        <row r="44">
          <cell r="A44">
            <v>43</v>
          </cell>
          <cell r="B44" t="str">
            <v>2024-02-13</v>
          </cell>
        </row>
        <row r="45">
          <cell r="A45">
            <v>44</v>
          </cell>
          <cell r="B45" t="str">
            <v>2024-02-14</v>
          </cell>
        </row>
        <row r="46">
          <cell r="A46">
            <v>45</v>
          </cell>
          <cell r="B46" t="str">
            <v>2024-02-15</v>
          </cell>
        </row>
        <row r="47">
          <cell r="A47">
            <v>46</v>
          </cell>
          <cell r="B47" t="str">
            <v>2024-02-16</v>
          </cell>
        </row>
        <row r="48">
          <cell r="A48">
            <v>47</v>
          </cell>
          <cell r="B48" t="str">
            <v>2024-02-17</v>
          </cell>
        </row>
        <row r="49">
          <cell r="A49">
            <v>48</v>
          </cell>
          <cell r="B49" t="str">
            <v>2024-02-18</v>
          </cell>
        </row>
        <row r="50">
          <cell r="A50">
            <v>49</v>
          </cell>
          <cell r="B50" t="str">
            <v>2024-02-19</v>
          </cell>
        </row>
        <row r="51">
          <cell r="A51">
            <v>50</v>
          </cell>
          <cell r="B51" t="str">
            <v>2024-02-20</v>
          </cell>
        </row>
        <row r="52">
          <cell r="A52">
            <v>51</v>
          </cell>
          <cell r="B52" t="str">
            <v>2024-02-21</v>
          </cell>
        </row>
        <row r="53">
          <cell r="A53">
            <v>52</v>
          </cell>
          <cell r="B53" t="str">
            <v>2024-02-22</v>
          </cell>
        </row>
        <row r="54">
          <cell r="A54">
            <v>53</v>
          </cell>
          <cell r="B54" t="str">
            <v>2024-02-23</v>
          </cell>
        </row>
        <row r="55">
          <cell r="A55">
            <v>54</v>
          </cell>
          <cell r="B55" t="str">
            <v>2024-02-24</v>
          </cell>
        </row>
        <row r="56">
          <cell r="A56">
            <v>55</v>
          </cell>
          <cell r="B56" t="str">
            <v>2024-02-25</v>
          </cell>
        </row>
        <row r="57">
          <cell r="A57">
            <v>56</v>
          </cell>
          <cell r="B57" t="str">
            <v>2024-02-26</v>
          </cell>
        </row>
        <row r="58">
          <cell r="A58">
            <v>57</v>
          </cell>
          <cell r="B58" t="str">
            <v>2024-02-27</v>
          </cell>
        </row>
        <row r="59">
          <cell r="A59">
            <v>58</v>
          </cell>
          <cell r="B59" t="str">
            <v>2024-02-28</v>
          </cell>
        </row>
        <row r="60">
          <cell r="A60">
            <v>59</v>
          </cell>
          <cell r="B60" t="str">
            <v>2024-02-29</v>
          </cell>
        </row>
        <row r="61">
          <cell r="A61">
            <v>60</v>
          </cell>
          <cell r="B61" t="str">
            <v>2024-03-01</v>
          </cell>
        </row>
        <row r="62">
          <cell r="A62">
            <v>61</v>
          </cell>
          <cell r="B62" t="str">
            <v>2024-03-02</v>
          </cell>
        </row>
        <row r="63">
          <cell r="A63">
            <v>62</v>
          </cell>
          <cell r="B63" t="str">
            <v>2024-03-03</v>
          </cell>
        </row>
        <row r="64">
          <cell r="A64">
            <v>63</v>
          </cell>
          <cell r="B64" t="str">
            <v>2024-03-04</v>
          </cell>
        </row>
        <row r="65">
          <cell r="A65">
            <v>64</v>
          </cell>
          <cell r="B65" t="str">
            <v>2024-03-05</v>
          </cell>
        </row>
        <row r="66">
          <cell r="A66">
            <v>65</v>
          </cell>
          <cell r="B66" t="str">
            <v>2024-03-06</v>
          </cell>
        </row>
        <row r="67">
          <cell r="A67">
            <v>66</v>
          </cell>
          <cell r="B67" t="str">
            <v>2024-03-07</v>
          </cell>
        </row>
        <row r="68">
          <cell r="A68">
            <v>67</v>
          </cell>
          <cell r="B68" t="str">
            <v>2024-03-08</v>
          </cell>
        </row>
        <row r="69">
          <cell r="A69">
            <v>68</v>
          </cell>
          <cell r="B69" t="str">
            <v>2024-03-09</v>
          </cell>
        </row>
        <row r="70">
          <cell r="A70">
            <v>69</v>
          </cell>
          <cell r="B70" t="str">
            <v>2024-03-10</v>
          </cell>
        </row>
        <row r="71">
          <cell r="A71">
            <v>70</v>
          </cell>
          <cell r="B71" t="str">
            <v>2024-03-11</v>
          </cell>
        </row>
        <row r="72">
          <cell r="A72">
            <v>71</v>
          </cell>
          <cell r="B72" t="str">
            <v>2024-03-12</v>
          </cell>
        </row>
        <row r="73">
          <cell r="A73">
            <v>72</v>
          </cell>
          <cell r="B73" t="str">
            <v>2024-03-13</v>
          </cell>
        </row>
        <row r="74">
          <cell r="A74">
            <v>73</v>
          </cell>
          <cell r="B74" t="str">
            <v>2024-03-14</v>
          </cell>
        </row>
        <row r="75">
          <cell r="A75">
            <v>74</v>
          </cell>
          <cell r="B75" t="str">
            <v>2024-03-15</v>
          </cell>
        </row>
        <row r="76">
          <cell r="A76">
            <v>75</v>
          </cell>
          <cell r="B76" t="str">
            <v>2024-03-16</v>
          </cell>
        </row>
        <row r="77">
          <cell r="A77">
            <v>76</v>
          </cell>
          <cell r="B77" t="str">
            <v>2024-03-17</v>
          </cell>
        </row>
        <row r="78">
          <cell r="A78">
            <v>77</v>
          </cell>
          <cell r="B78" t="str">
            <v>2024-03-18</v>
          </cell>
        </row>
        <row r="79">
          <cell r="A79">
            <v>78</v>
          </cell>
          <cell r="B79" t="str">
            <v>2024-03-19</v>
          </cell>
        </row>
        <row r="80">
          <cell r="A80">
            <v>79</v>
          </cell>
          <cell r="B80" t="str">
            <v>2024-03-20</v>
          </cell>
        </row>
        <row r="81">
          <cell r="A81">
            <v>80</v>
          </cell>
          <cell r="B81" t="str">
            <v>2024-03-21</v>
          </cell>
        </row>
        <row r="82">
          <cell r="A82">
            <v>81</v>
          </cell>
          <cell r="B82" t="str">
            <v>2024-03-22</v>
          </cell>
        </row>
        <row r="83">
          <cell r="A83">
            <v>82</v>
          </cell>
          <cell r="B83" t="str">
            <v>2024-03-23</v>
          </cell>
        </row>
        <row r="84">
          <cell r="A84">
            <v>83</v>
          </cell>
          <cell r="B84" t="str">
            <v>2024-03-24</v>
          </cell>
        </row>
        <row r="85">
          <cell r="A85">
            <v>84</v>
          </cell>
          <cell r="B85" t="str">
            <v>2024-03-25</v>
          </cell>
        </row>
        <row r="86">
          <cell r="A86">
            <v>85</v>
          </cell>
          <cell r="B86" t="str">
            <v>2024-03-26</v>
          </cell>
        </row>
        <row r="87">
          <cell r="A87">
            <v>86</v>
          </cell>
          <cell r="B87" t="str">
            <v>2024-03-27</v>
          </cell>
        </row>
        <row r="88">
          <cell r="A88">
            <v>87</v>
          </cell>
          <cell r="B88" t="str">
            <v>2024-03-28</v>
          </cell>
        </row>
        <row r="89">
          <cell r="A89">
            <v>88</v>
          </cell>
          <cell r="B89" t="str">
            <v>2024-03-29</v>
          </cell>
        </row>
        <row r="90">
          <cell r="A90">
            <v>89</v>
          </cell>
          <cell r="B90" t="str">
            <v>2024-03-30</v>
          </cell>
        </row>
        <row r="91">
          <cell r="A91">
            <v>90</v>
          </cell>
          <cell r="B91" t="str">
            <v>2024-03-31</v>
          </cell>
        </row>
        <row r="92">
          <cell r="A92">
            <v>91</v>
          </cell>
          <cell r="B92" t="str">
            <v>2024-04-01</v>
          </cell>
        </row>
        <row r="93">
          <cell r="A93">
            <v>92</v>
          </cell>
          <cell r="B93" t="str">
            <v>2024-04-02</v>
          </cell>
        </row>
        <row r="94">
          <cell r="A94">
            <v>93</v>
          </cell>
          <cell r="B94" t="str">
            <v>2024-04-03</v>
          </cell>
        </row>
        <row r="95">
          <cell r="A95">
            <v>94</v>
          </cell>
          <cell r="B95" t="str">
            <v>2024-04-04</v>
          </cell>
        </row>
        <row r="96">
          <cell r="A96">
            <v>95</v>
          </cell>
          <cell r="B96" t="str">
            <v>2024-04-05</v>
          </cell>
        </row>
        <row r="97">
          <cell r="A97">
            <v>96</v>
          </cell>
          <cell r="B97" t="str">
            <v>2024-04-06</v>
          </cell>
        </row>
        <row r="98">
          <cell r="A98">
            <v>97</v>
          </cell>
          <cell r="B98" t="str">
            <v>2024-04-07</v>
          </cell>
        </row>
        <row r="99">
          <cell r="A99">
            <v>98</v>
          </cell>
          <cell r="B99" t="str">
            <v>2024-04-08</v>
          </cell>
        </row>
        <row r="100">
          <cell r="A100">
            <v>99</v>
          </cell>
          <cell r="B100" t="str">
            <v>2024-04-09</v>
          </cell>
        </row>
        <row r="101">
          <cell r="A101">
            <v>100</v>
          </cell>
          <cell r="B101" t="str">
            <v>2024-04-10</v>
          </cell>
        </row>
        <row r="102">
          <cell r="A102">
            <v>101</v>
          </cell>
          <cell r="B102" t="str">
            <v>2024-04-11</v>
          </cell>
        </row>
        <row r="103">
          <cell r="A103">
            <v>102</v>
          </cell>
          <cell r="B103" t="str">
            <v>2024-04-12</v>
          </cell>
        </row>
        <row r="104">
          <cell r="A104">
            <v>103</v>
          </cell>
          <cell r="B104" t="str">
            <v>2024-04-13</v>
          </cell>
        </row>
        <row r="105">
          <cell r="A105">
            <v>104</v>
          </cell>
          <cell r="B105" t="str">
            <v>2024-04-14</v>
          </cell>
        </row>
        <row r="106">
          <cell r="A106">
            <v>105</v>
          </cell>
          <cell r="B106" t="str">
            <v>2024-04-15</v>
          </cell>
        </row>
        <row r="107">
          <cell r="A107">
            <v>106</v>
          </cell>
          <cell r="B107" t="str">
            <v>2024-04-16</v>
          </cell>
        </row>
        <row r="108">
          <cell r="A108">
            <v>107</v>
          </cell>
          <cell r="B108" t="str">
            <v>2024-04-17</v>
          </cell>
        </row>
        <row r="109">
          <cell r="A109">
            <v>108</v>
          </cell>
          <cell r="B109" t="str">
            <v>2024-04-18</v>
          </cell>
        </row>
        <row r="110">
          <cell r="A110">
            <v>109</v>
          </cell>
          <cell r="B110" t="str">
            <v>2024-04-19</v>
          </cell>
        </row>
        <row r="111">
          <cell r="A111">
            <v>110</v>
          </cell>
          <cell r="B111" t="str">
            <v>2024-04-20</v>
          </cell>
        </row>
        <row r="112">
          <cell r="A112">
            <v>111</v>
          </cell>
          <cell r="B112" t="str">
            <v>2024-04-21</v>
          </cell>
        </row>
        <row r="113">
          <cell r="A113">
            <v>112</v>
          </cell>
          <cell r="B113" t="str">
            <v>2024-04-22</v>
          </cell>
        </row>
        <row r="114">
          <cell r="A114">
            <v>113</v>
          </cell>
          <cell r="B114" t="str">
            <v>2024-04-23</v>
          </cell>
        </row>
        <row r="115">
          <cell r="A115">
            <v>114</v>
          </cell>
          <cell r="B115" t="str">
            <v>2024-04-24</v>
          </cell>
        </row>
        <row r="116">
          <cell r="A116">
            <v>115</v>
          </cell>
          <cell r="B116" t="str">
            <v>2024-04-25</v>
          </cell>
        </row>
        <row r="117">
          <cell r="A117">
            <v>116</v>
          </cell>
          <cell r="B117" t="str">
            <v>2024-04-26</v>
          </cell>
        </row>
        <row r="118">
          <cell r="A118">
            <v>117</v>
          </cell>
          <cell r="B118" t="str">
            <v>2024-04-27</v>
          </cell>
        </row>
        <row r="119">
          <cell r="A119">
            <v>118</v>
          </cell>
          <cell r="B119" t="str">
            <v>2024-04-28</v>
          </cell>
        </row>
        <row r="120">
          <cell r="A120">
            <v>119</v>
          </cell>
          <cell r="B120" t="str">
            <v>2024-04-29</v>
          </cell>
        </row>
        <row r="121">
          <cell r="A121">
            <v>120</v>
          </cell>
          <cell r="B121" t="str">
            <v>2024-04-30</v>
          </cell>
        </row>
        <row r="122">
          <cell r="A122">
            <v>121</v>
          </cell>
          <cell r="B122" t="str">
            <v>2024-05-01</v>
          </cell>
        </row>
        <row r="123">
          <cell r="A123">
            <v>122</v>
          </cell>
          <cell r="B123" t="str">
            <v>2024-05-02</v>
          </cell>
        </row>
        <row r="124">
          <cell r="A124">
            <v>123</v>
          </cell>
          <cell r="B124" t="str">
            <v>2024-05-03</v>
          </cell>
        </row>
        <row r="125">
          <cell r="A125">
            <v>124</v>
          </cell>
          <cell r="B125" t="str">
            <v>2024-05-04</v>
          </cell>
        </row>
        <row r="126">
          <cell r="A126">
            <v>125</v>
          </cell>
          <cell r="B126" t="str">
            <v>2024-05-05</v>
          </cell>
        </row>
        <row r="127">
          <cell r="A127">
            <v>126</v>
          </cell>
          <cell r="B127" t="str">
            <v>2024-05-06</v>
          </cell>
        </row>
        <row r="128">
          <cell r="A128">
            <v>127</v>
          </cell>
          <cell r="B128" t="str">
            <v>2024-05-07</v>
          </cell>
        </row>
        <row r="129">
          <cell r="A129">
            <v>128</v>
          </cell>
          <cell r="B129" t="str">
            <v>2024-05-08</v>
          </cell>
        </row>
        <row r="130">
          <cell r="A130">
            <v>129</v>
          </cell>
          <cell r="B130" t="str">
            <v>2024-05-09</v>
          </cell>
        </row>
        <row r="131">
          <cell r="A131">
            <v>130</v>
          </cell>
          <cell r="B131" t="str">
            <v>2024-05-10</v>
          </cell>
        </row>
        <row r="132">
          <cell r="A132">
            <v>131</v>
          </cell>
          <cell r="B132" t="str">
            <v>2024-05-11</v>
          </cell>
        </row>
        <row r="133">
          <cell r="A133">
            <v>132</v>
          </cell>
          <cell r="B133" t="str">
            <v>2024-05-12</v>
          </cell>
        </row>
        <row r="134">
          <cell r="A134">
            <v>133</v>
          </cell>
          <cell r="B134" t="str">
            <v>2024-05-13</v>
          </cell>
        </row>
        <row r="135">
          <cell r="A135">
            <v>134</v>
          </cell>
          <cell r="B135" t="str">
            <v>2024-05-14</v>
          </cell>
        </row>
        <row r="136">
          <cell r="A136">
            <v>135</v>
          </cell>
          <cell r="B136" t="str">
            <v>2024-05-15</v>
          </cell>
        </row>
        <row r="137">
          <cell r="A137">
            <v>136</v>
          </cell>
          <cell r="B137" t="str">
            <v>2024-05-16</v>
          </cell>
        </row>
        <row r="138">
          <cell r="A138">
            <v>137</v>
          </cell>
          <cell r="B138" t="str">
            <v>2024-05-17</v>
          </cell>
        </row>
        <row r="139">
          <cell r="A139">
            <v>138</v>
          </cell>
          <cell r="B139" t="str">
            <v>2024-05-18</v>
          </cell>
        </row>
        <row r="140">
          <cell r="A140">
            <v>139</v>
          </cell>
          <cell r="B140" t="str">
            <v>2024-05-19</v>
          </cell>
        </row>
        <row r="141">
          <cell r="A141">
            <v>140</v>
          </cell>
          <cell r="B141" t="str">
            <v>2024-05-20</v>
          </cell>
        </row>
        <row r="142">
          <cell r="A142">
            <v>141</v>
          </cell>
          <cell r="B142" t="str">
            <v>2024-05-21</v>
          </cell>
        </row>
        <row r="143">
          <cell r="A143">
            <v>142</v>
          </cell>
          <cell r="B143" t="str">
            <v>2024-05-22</v>
          </cell>
        </row>
        <row r="144">
          <cell r="A144">
            <v>143</v>
          </cell>
          <cell r="B144" t="str">
            <v>2024-05-23</v>
          </cell>
        </row>
        <row r="145">
          <cell r="A145">
            <v>144</v>
          </cell>
          <cell r="B145" t="str">
            <v>2024-05-24</v>
          </cell>
        </row>
        <row r="146">
          <cell r="A146">
            <v>145</v>
          </cell>
          <cell r="B146" t="str">
            <v>2024-05-25</v>
          </cell>
        </row>
        <row r="147">
          <cell r="A147">
            <v>146</v>
          </cell>
          <cell r="B147" t="str">
            <v>2024-05-26</v>
          </cell>
        </row>
        <row r="148">
          <cell r="A148">
            <v>147</v>
          </cell>
          <cell r="B148" t="str">
            <v>2024-05-27</v>
          </cell>
        </row>
        <row r="149">
          <cell r="A149">
            <v>148</v>
          </cell>
          <cell r="B149" t="str">
            <v>2024-05-28</v>
          </cell>
        </row>
        <row r="150">
          <cell r="A150">
            <v>149</v>
          </cell>
          <cell r="B150" t="str">
            <v>2024-05-29</v>
          </cell>
        </row>
        <row r="151">
          <cell r="A151">
            <v>150</v>
          </cell>
          <cell r="B151" t="str">
            <v>2024-05-30</v>
          </cell>
        </row>
        <row r="152">
          <cell r="A152">
            <v>151</v>
          </cell>
          <cell r="B152" t="str">
            <v>2024-05-31</v>
          </cell>
        </row>
        <row r="153">
          <cell r="A153">
            <v>152</v>
          </cell>
          <cell r="B153" t="str">
            <v>2024-06-01</v>
          </cell>
        </row>
        <row r="154">
          <cell r="A154">
            <v>153</v>
          </cell>
          <cell r="B154" t="str">
            <v>2024-06-02</v>
          </cell>
        </row>
        <row r="155">
          <cell r="A155">
            <v>154</v>
          </cell>
          <cell r="B155" t="str">
            <v>2024-06-03</v>
          </cell>
        </row>
        <row r="156">
          <cell r="A156">
            <v>155</v>
          </cell>
          <cell r="B156" t="str">
            <v>2024-06-04</v>
          </cell>
        </row>
        <row r="157">
          <cell r="A157">
            <v>156</v>
          </cell>
          <cell r="B157" t="str">
            <v>2024-06-05</v>
          </cell>
        </row>
        <row r="158">
          <cell r="A158">
            <v>157</v>
          </cell>
          <cell r="B158" t="str">
            <v>2024-06-06</v>
          </cell>
        </row>
        <row r="159">
          <cell r="A159">
            <v>158</v>
          </cell>
          <cell r="B159" t="str">
            <v>2024-06-07</v>
          </cell>
        </row>
        <row r="160">
          <cell r="A160">
            <v>159</v>
          </cell>
          <cell r="B160" t="str">
            <v>2024-06-08</v>
          </cell>
        </row>
        <row r="161">
          <cell r="A161">
            <v>160</v>
          </cell>
          <cell r="B161" t="str">
            <v>2024-06-09</v>
          </cell>
        </row>
        <row r="162">
          <cell r="A162">
            <v>161</v>
          </cell>
          <cell r="B162" t="str">
            <v>2024-06-10</v>
          </cell>
        </row>
        <row r="163">
          <cell r="A163">
            <v>162</v>
          </cell>
          <cell r="B163" t="str">
            <v>2024-06-11</v>
          </cell>
        </row>
        <row r="164">
          <cell r="A164">
            <v>163</v>
          </cell>
          <cell r="B164" t="str">
            <v>2024-06-12</v>
          </cell>
        </row>
        <row r="165">
          <cell r="A165">
            <v>164</v>
          </cell>
          <cell r="B165" t="str">
            <v>2024-06-13</v>
          </cell>
        </row>
        <row r="166">
          <cell r="A166">
            <v>165</v>
          </cell>
          <cell r="B166" t="str">
            <v>2024-06-14</v>
          </cell>
        </row>
        <row r="167">
          <cell r="A167">
            <v>166</v>
          </cell>
          <cell r="B167" t="str">
            <v>2024-06-15</v>
          </cell>
        </row>
        <row r="168">
          <cell r="A168">
            <v>167</v>
          </cell>
          <cell r="B168" t="str">
            <v>2024-06-16</v>
          </cell>
        </row>
        <row r="169">
          <cell r="A169">
            <v>168</v>
          </cell>
          <cell r="B169" t="str">
            <v>2024-06-17</v>
          </cell>
        </row>
        <row r="170">
          <cell r="A170">
            <v>169</v>
          </cell>
          <cell r="B170" t="str">
            <v>2024-06-18</v>
          </cell>
        </row>
        <row r="171">
          <cell r="A171">
            <v>170</v>
          </cell>
          <cell r="B171" t="str">
            <v>2024-06-19</v>
          </cell>
        </row>
        <row r="172">
          <cell r="A172">
            <v>171</v>
          </cell>
          <cell r="B172" t="str">
            <v>2024-06-20</v>
          </cell>
        </row>
        <row r="173">
          <cell r="A173">
            <v>172</v>
          </cell>
          <cell r="B173" t="str">
            <v>2024-06-21</v>
          </cell>
        </row>
        <row r="174">
          <cell r="A174">
            <v>173</v>
          </cell>
          <cell r="B174" t="str">
            <v>2024-06-22</v>
          </cell>
        </row>
        <row r="175">
          <cell r="A175">
            <v>174</v>
          </cell>
          <cell r="B175" t="str">
            <v>2024-06-23</v>
          </cell>
        </row>
        <row r="176">
          <cell r="A176">
            <v>175</v>
          </cell>
          <cell r="B176" t="str">
            <v>2024-06-24</v>
          </cell>
        </row>
        <row r="177">
          <cell r="A177">
            <v>176</v>
          </cell>
          <cell r="B177" t="str">
            <v>2024-06-25</v>
          </cell>
        </row>
        <row r="178">
          <cell r="A178">
            <v>177</v>
          </cell>
          <cell r="B178" t="str">
            <v>2024-06-26</v>
          </cell>
        </row>
        <row r="179">
          <cell r="A179">
            <v>178</v>
          </cell>
          <cell r="B179" t="str">
            <v>2024-06-27</v>
          </cell>
        </row>
        <row r="180">
          <cell r="A180">
            <v>179</v>
          </cell>
          <cell r="B180" t="str">
            <v>2024-06-28</v>
          </cell>
        </row>
        <row r="181">
          <cell r="A181">
            <v>180</v>
          </cell>
          <cell r="B181" t="str">
            <v>2024-06-29</v>
          </cell>
        </row>
      </sheetData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B11EA9-9A45-4179-B828-D3C4BB1AD548}" name="Table1" displayName="Table1" ref="A1:N501" totalsRowShown="0">
  <tableColumns count="14">
    <tableColumn id="1" xr3:uid="{EB6C942F-41AF-4998-8245-4F9441E1F47F}" name="CustomerID"/>
    <tableColumn id="2" xr3:uid="{D65365BC-61E0-4894-8AA7-165D5A38647B}" name="CustomerName"/>
    <tableColumn id="3" xr3:uid="{B4756E52-A11E-464A-B1E9-ADC0938D961F}" name="Gender"/>
    <tableColumn id="4" xr3:uid="{ADCDCD25-5CD7-4031-AC4C-6656EF0559BC}" name="Age"/>
    <tableColumn id="5" xr3:uid="{5CCBFEFC-82FF-4DC1-B8EF-EF39E78816EA}" name="CityID"/>
    <tableColumn id="6" xr3:uid="{14680225-5669-4833-8FC4-BB30B1270C83}" name="City"/>
    <tableColumn id="7" xr3:uid="{FA194FBE-187B-495D-A496-1A29934A3D38}" name="State"/>
    <tableColumn id="8" xr3:uid="{B5275732-5071-4C88-8C92-D41C2C7FCB98}" name="Region"/>
    <tableColumn id="9" xr3:uid="{98A4E4C1-0D68-4930-A126-9B0368E31A6F}" name="DateID"/>
    <tableColumn id="10" xr3:uid="{48178E1E-77D9-4600-9F56-B775EDAEDDDD}" name="Order-Date">
      <calculatedColumnFormula>_xlfn.XLOOKUP(I2,[1]Dates!$A$2:$A$181,[1]Dates!$B$2:$B$181)</calculatedColumnFormula>
    </tableColumn>
    <tableColumn id="11" xr3:uid="{B06840ED-AAC3-474D-A4B1-2838FFED61D2}" name="Year">
      <calculatedColumnFormula>YEAR(J2)</calculatedColumnFormula>
    </tableColumn>
    <tableColumn id="12" xr3:uid="{FFEA5FFC-D086-461C-82F9-DA712C5C80F8}" name="Month">
      <calculatedColumnFormula>MONTH(J2)</calculatedColumnFormula>
    </tableColumn>
    <tableColumn id="13" xr3:uid="{34258BF6-C61B-47DA-A626-A29F1A44EF0E}" name="Day">
      <calculatedColumnFormula>DAY(J2)</calculatedColumnFormula>
    </tableColumn>
    <tableColumn id="14" xr3:uid="{0F64C3C6-CE8D-470F-9BE2-3816A26BFF4B}" name="Revenu">
      <calculatedColumnFormula>[1]Transactions!J2*[1]Transactions!K2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FA0D0F-9880-4E2E-B043-5434BA7C1A70}" name="Table2" displayName="Table2" ref="A1:G101" totalsRowShown="0">
  <tableColumns count="7">
    <tableColumn id="1" xr3:uid="{31C67FFD-A2C3-4F63-99C8-9B3D0EC083AB}" name="ProductID"/>
    <tableColumn id="2" xr3:uid="{BE818512-4B6C-45F7-8860-3643620ED0C4}" name="ProductName"/>
    <tableColumn id="3" xr3:uid="{B15338F9-47C7-4227-BB3D-29569127E294}" name="Category"/>
    <tableColumn id="4" xr3:uid="{FCFA11DC-D62C-4DB5-BA01-4F84677313A1}" name="Brand"/>
    <tableColumn id="5" xr3:uid="{9E2AD39B-9A65-4A6B-B21F-93BDDCF72C75}" name="Price"/>
    <tableColumn id="6" xr3:uid="{6798D084-ECE5-4C78-A6C4-22AE62C62686}" name="CityID" dataDxfId="1"/>
    <tableColumn id="7" xr3:uid="{8A233F14-B74D-4EDF-934D-49A533D3565C}" name="Revenu" dataDxfId="0">
      <calculatedColumnFormula>[1]Transactions!C2*[1]Transactions!D2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011333-E299-4895-B571-C61DFD3B6F52}" name="Table3" displayName="Table3" ref="A1:D51" totalsRowShown="0">
  <tableColumns count="4">
    <tableColumn id="1" xr3:uid="{C3B4915B-8F27-4CA3-B988-0277E73D66F8}" name="StoreID"/>
    <tableColumn id="2" xr3:uid="{C31D91E7-951E-44EE-ABE9-960E17F512E3}" name="StoreName"/>
    <tableColumn id="3" xr3:uid="{D5CCCA35-3901-4ED5-BD22-CCBCBCC64653}" name="Brand"/>
    <tableColumn id="4" xr3:uid="{7659D9D4-C577-448F-9DE3-5F159A93965C}" name="CityI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495754-7358-4052-BC18-4D0280060950}" name="Table4" displayName="Table4" ref="A1:D31" totalsRowShown="0">
  <tableColumns count="4">
    <tableColumn id="1" xr3:uid="{69F25E64-4A9D-413B-88A5-EFBB1BCF3DAC}" name="CityID"/>
    <tableColumn id="2" xr3:uid="{7495D1E4-7E6F-427D-B9EB-154C28FA77BF}" name="City"/>
    <tableColumn id="3" xr3:uid="{2D05CE0B-A3EA-4896-9ADD-A291F632E5FA}" name="State"/>
    <tableColumn id="4" xr3:uid="{7A134FA5-702B-4A5F-817D-86A96D46CAF7}" name="Reg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21619F-17C4-45CB-8CDD-36ED0A1FA74E}" name="Table5" displayName="Table5" ref="A1:E501" totalsRowShown="0">
  <tableColumns count="5">
    <tableColumn id="1" xr3:uid="{C06E5E22-72EC-40CC-8EC5-522B2DC08DE9}" name="InventoryID"/>
    <tableColumn id="2" xr3:uid="{A79360DE-41DF-4915-B2E4-A2DA224DB4A6}" name="StoreID"/>
    <tableColumn id="3" xr3:uid="{FA13411B-0742-42E0-AD51-45E0D9986B9D}" name="ProductID"/>
    <tableColumn id="4" xr3:uid="{9FCA61B2-4C98-49F2-95C2-A9B3A9E79A46}" name="StockQuantity"/>
    <tableColumn id="5" xr3:uid="{2172B331-C8AA-41F5-B4CF-D1C140CDFF2D}" name="LastUpdatedDateID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4B27E3-46D4-46D0-8C34-483C4EF876FD}" name="Table6" displayName="Table6" ref="A1:V501" totalsRowShown="0">
  <tableColumns count="22">
    <tableColumn id="1" xr3:uid="{3BE3B853-3348-41EF-A3FD-0B23FB3493A3}" name="TransactionID"/>
    <tableColumn id="2" xr3:uid="{D4ACCBDC-C842-4FCA-ADB4-C7F1D5E34470}" name="DateID"/>
    <tableColumn id="3" xr3:uid="{52BE5841-2E99-48EC-A7F5-A3CA3942ACDA}" name="CustomerID"/>
    <tableColumn id="4" xr3:uid="{9F63A613-727F-4812-AA23-B243ECFF9C84}" name="ProductID"/>
    <tableColumn id="5" xr3:uid="{7DCFC101-C762-42B0-A0A8-4F16D9BD36BF}" name="StoreID"/>
    <tableColumn id="6" xr3:uid="{FB6E6243-A311-4C53-A244-3DBE9B2E76A8}" name="Quantity"/>
    <tableColumn id="7" xr3:uid="{815E2437-55D7-4B83-9453-158BB0BD90C3}" name="UnitPrice"/>
    <tableColumn id="8" xr3:uid="{05DFDC36-C148-493F-BF3A-96DC49CD44C1}" name="TotalAmount"/>
    <tableColumn id="9" xr3:uid="{80A458E0-5000-44FF-9BD8-27BE6D0D7935}" name="DeliveryTime(min)"/>
    <tableColumn id="10" xr3:uid="{105AF3E8-BAB3-4808-80C7-E09D4E2A7F58}" name="Revenu">
      <calculatedColumnFormula>[1]Transactions!F2*[1]Transactions!G2</calculatedColumnFormula>
    </tableColumn>
    <tableColumn id="11" xr3:uid="{D0429596-C89C-4DE8-8FA3-45B1E805B823}" name="Inventory ID">
      <calculatedColumnFormula>_xlfn.XLOOKUP([1]Transactions!D2,[1]Inventory!$C$2:$C$501,[1]Inventory!$A$2:$A$501)</calculatedColumnFormula>
    </tableColumn>
    <tableColumn id="12" xr3:uid="{2D7F73BF-80FE-4F68-8358-99F06D7E894E}" name="Stockquantity">
      <calculatedColumnFormula>_xlfn.XLOOKUP(K2,[1]Inventory!$A$2:$A$501,[1]Inventory!$D$2:$D$501)</calculatedColumnFormula>
    </tableColumn>
    <tableColumn id="13" xr3:uid="{C7957A86-1D30-4B45-9D65-EF25E9ADB1C8}" name="Last update Date ID">
      <calculatedColumnFormula>_xlfn.XLOOKUP(K2,[1]Inventory!$A$2:$A$501,[1]Inventory!$E$2:$E$501)</calculatedColumnFormula>
    </tableColumn>
    <tableColumn id="14" xr3:uid="{FC94B9A4-032E-4B56-8C40-4A72EE9F60FF}" name="State">
      <calculatedColumnFormula>_xlfn.XLOOKUP([1]Transactions!C2,[1]Customers!$A$2:$A$201,[1]Customers!$G$2:$G$201)</calculatedColumnFormula>
    </tableColumn>
    <tableColumn id="15" xr3:uid="{AE2F9AF9-177E-434D-8119-A4F2744B4F6F}" name="Region">
      <calculatedColumnFormula>_xlfn.XLOOKUP(C2,[1]Customers!$A$2:$A$201,[1]Customers!$H$2:$H$201)</calculatedColumnFormula>
    </tableColumn>
    <tableColumn id="16" xr3:uid="{EB8A13DE-F406-44AA-A16B-51A0C24CE5FE}" name="City">
      <calculatedColumnFormula>_xlfn.XLOOKUP(C2,[1]Customers!$A$2:$A$201,[1]Customers!$F$2:$F$201)</calculatedColumnFormula>
    </tableColumn>
    <tableColumn id="17" xr3:uid="{C2AE470B-9642-4543-BFEC-3E7AA3258E9A}" name="customer Age">
      <calculatedColumnFormula>_xlfn.XLOOKUP(C2,[1]Customers!$A$2:$A$201,[1]Customers!$D$2:$D$201)</calculatedColumnFormula>
    </tableColumn>
    <tableColumn id="18" xr3:uid="{784D2FC3-B2B8-4FC4-8B72-164317B90AC3}" name="Gender">
      <calculatedColumnFormula>_xlfn.XLOOKUP([1]Transactions!C2,[1]Customers!$A$2:$A$201,[1]Customers!$C$2:$C$201)</calculatedColumnFormula>
    </tableColumn>
    <tableColumn id="19" xr3:uid="{84640596-E5FC-4763-B10B-45F8658FB8AD}" name="Customer-name">
      <calculatedColumnFormula>_xlfn.XLOOKUP(C2,[1]Customers!$A$2:$A$201,[1]Customers!$B$2:$B$201)</calculatedColumnFormula>
    </tableColumn>
    <tableColumn id="20" xr3:uid="{1E4489D8-297C-4620-8EEF-52312B223128}" name="pro-Category">
      <calculatedColumnFormula>_xlfn.XLOOKUP(D2,[1]Products!$A$2:$A$101,[1]Products!$C$2:$C$101)</calculatedColumnFormula>
    </tableColumn>
    <tableColumn id="21" xr3:uid="{016FD628-EDF0-43F1-9D7F-676A7F8893B7}" name="Pro-price">
      <calculatedColumnFormula>_xlfn.XLOOKUP(D2,[1]Products!$A$2:$A$101,[1]Products!$E$2:$E$101)</calculatedColumnFormula>
    </tableColumn>
    <tableColumn id="22" xr3:uid="{C2AB7B68-D17F-4B81-ADEE-CC2898C21896}" name="pro-revenue">
      <calculatedColumnFormula>[1]Transactions!F2*[1]Transactions!U2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1A1E7A-A9DA-4239-AFB9-866A4D589213}" name="Table7" displayName="Table7" ref="A1:E181" totalsRowShown="0">
  <tableColumns count="5">
    <tableColumn id="1" xr3:uid="{602F69B6-42BF-47A2-A3EF-3F9230FF0972}" name="DateID"/>
    <tableColumn id="2" xr3:uid="{934F935F-6050-4CE6-BABA-2B578F1D1FBC}" name="OrderDate"/>
    <tableColumn id="3" xr3:uid="{FB75029D-9571-4B0E-95A6-30D1DB7D9DB8}" name="Year"/>
    <tableColumn id="4" xr3:uid="{0B2FCC2E-3895-49C3-95DD-6764EE6E0186}" name="Month"/>
    <tableColumn id="5" xr3:uid="{0748F7AA-B1DB-461C-9EA9-653EF336A9A2}" name="Da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BF264-B3C0-45C8-A4B2-6C560F05F538}">
  <dimension ref="A1:N501"/>
  <sheetViews>
    <sheetView tabSelected="1" workbookViewId="0">
      <selection activeCell="Q6" sqref="Q6"/>
    </sheetView>
  </sheetViews>
  <sheetFormatPr defaultRowHeight="14.4" x14ac:dyDescent="0.3"/>
  <cols>
    <col min="1" max="1" width="12.21875" customWidth="1"/>
    <col min="2" max="2" width="14.6640625" customWidth="1"/>
    <col min="3" max="3" width="7.77734375" customWidth="1"/>
    <col min="4" max="4" width="5.77734375" customWidth="1"/>
    <col min="5" max="5" width="8.5546875" customWidth="1"/>
    <col min="6" max="6" width="13.33203125" customWidth="1"/>
    <col min="7" max="7" width="15.5546875" customWidth="1"/>
    <col min="8" max="8" width="13" customWidth="1"/>
    <col min="9" max="9" width="13.44140625" customWidth="1"/>
    <col min="10" max="10" width="14.88671875" customWidth="1"/>
    <col min="11" max="11" width="8.44140625" customWidth="1"/>
    <col min="12" max="12" width="7.6640625" customWidth="1"/>
    <col min="13" max="13" width="7.109375" customWidth="1"/>
    <col min="14" max="14" width="12.441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>
        <v>39</v>
      </c>
      <c r="E2">
        <v>26</v>
      </c>
      <c r="F2" t="str">
        <f>_xlfn.XLOOKUP(E2,[1]Regions!$A$2:$A$31,[1]Regions!$B$2:$B$31)</f>
        <v>Jaipur</v>
      </c>
      <c r="G2" t="str">
        <f>_xlfn.XLOOKUP(E2,[1]Regions!$A$2:$A$31,[1]Regions!$C$2:$C$31)</f>
        <v>Rajasthan</v>
      </c>
      <c r="H2" t="str">
        <f>_xlfn.XLOOKUP(E2,[1]Regions!$A$2:$A$31,[1]Regions!$D$2:$D$31)</f>
        <v>North</v>
      </c>
      <c r="I2">
        <v>101</v>
      </c>
      <c r="J2" t="str">
        <f>_xlfn.XLOOKUP(I2,[1]Dates!$A$2:$A$181,[1]Dates!$B$2:$B$181)</f>
        <v>2024-04-11</v>
      </c>
      <c r="K2">
        <f>YEAR(J2)</f>
        <v>2024</v>
      </c>
      <c r="L2">
        <f>MONTH(J2)</f>
        <v>4</v>
      </c>
      <c r="M2">
        <f>DAY(J2)</f>
        <v>11</v>
      </c>
      <c r="N2">
        <f>[1]Transactions!J2*[1]Transactions!K2</f>
        <v>8100</v>
      </c>
    </row>
    <row r="3" spans="1:14" x14ac:dyDescent="0.3">
      <c r="A3">
        <v>2</v>
      </c>
      <c r="B3" t="s">
        <v>16</v>
      </c>
      <c r="C3" t="s">
        <v>15</v>
      </c>
      <c r="D3">
        <v>26</v>
      </c>
      <c r="E3">
        <v>22</v>
      </c>
      <c r="F3" t="str">
        <f>_xlfn.XLOOKUP(E3,[1]Regions!$A$2:$A$31,[1]Regions!$B$2:$B$31)</f>
        <v>Ahmedabad</v>
      </c>
      <c r="G3" t="str">
        <f>_xlfn.XLOOKUP(E3,[1]Regions!$A$2:$A$31,[1]Regions!$C$2:$C$31)</f>
        <v>Gujarat</v>
      </c>
      <c r="H3" t="str">
        <f>_xlfn.XLOOKUP(E3,[1]Regions!$A$2:$A$31,[1]Regions!$D$2:$D$31)</f>
        <v>West</v>
      </c>
      <c r="I3">
        <v>165</v>
      </c>
      <c r="J3" t="str">
        <f>_xlfn.XLOOKUP(I3,[1]Dates!$A$2:$A$181,[1]Dates!$B$2:$B$181)</f>
        <v>2024-06-14</v>
      </c>
      <c r="K3">
        <f t="shared" ref="K3:K66" si="0">YEAR(J3)</f>
        <v>2024</v>
      </c>
      <c r="L3">
        <f t="shared" ref="L3:L66" si="1">MONTH(J3)</f>
        <v>6</v>
      </c>
      <c r="M3">
        <f t="shared" ref="M3:M66" si="2">DAY(J3)</f>
        <v>14</v>
      </c>
      <c r="N3">
        <f>[1]Transactions!J3*[1]Transactions!K3</f>
        <v>3604</v>
      </c>
    </row>
    <row r="4" spans="1:14" x14ac:dyDescent="0.3">
      <c r="A4">
        <v>3</v>
      </c>
      <c r="B4" t="s">
        <v>17</v>
      </c>
      <c r="C4" t="s">
        <v>18</v>
      </c>
      <c r="D4">
        <v>24</v>
      </c>
      <c r="E4">
        <v>2</v>
      </c>
      <c r="F4" t="str">
        <f>_xlfn.XLOOKUP(E4,[1]Regions!$A$2:$A$31,[1]Regions!$B$2:$B$31)</f>
        <v>Mumbai</v>
      </c>
      <c r="G4" t="str">
        <f>_xlfn.XLOOKUP(E4,[1]Regions!$A$2:$A$31,[1]Regions!$C$2:$C$31)</f>
        <v>Maharashtra</v>
      </c>
      <c r="H4" t="str">
        <f>_xlfn.XLOOKUP(E4,[1]Regions!$A$2:$A$31,[1]Regions!$D$2:$D$31)</f>
        <v>West</v>
      </c>
      <c r="I4">
        <v>8</v>
      </c>
      <c r="J4" t="str">
        <f>_xlfn.XLOOKUP(I4,[1]Dates!$A$2:$A$181,[1]Dates!$B$2:$B$181)</f>
        <v>2024-01-09</v>
      </c>
      <c r="K4">
        <f t="shared" si="0"/>
        <v>2024</v>
      </c>
      <c r="L4">
        <f t="shared" si="1"/>
        <v>1</v>
      </c>
      <c r="M4">
        <f t="shared" si="2"/>
        <v>9</v>
      </c>
      <c r="N4">
        <f>[1]Transactions!J4*[1]Transactions!K4</f>
        <v>6441</v>
      </c>
    </row>
    <row r="5" spans="1:14" x14ac:dyDescent="0.3">
      <c r="A5">
        <v>4</v>
      </c>
      <c r="B5" t="s">
        <v>19</v>
      </c>
      <c r="C5" t="s">
        <v>18</v>
      </c>
      <c r="D5">
        <v>46</v>
      </c>
      <c r="E5">
        <v>26</v>
      </c>
      <c r="F5" t="str">
        <f>_xlfn.XLOOKUP(E5,[1]Regions!$A$2:$A$31,[1]Regions!$B$2:$B$31)</f>
        <v>Jaipur</v>
      </c>
      <c r="G5" t="str">
        <f>_xlfn.XLOOKUP(E5,[1]Regions!$A$2:$A$31,[1]Regions!$C$2:$C$31)</f>
        <v>Rajasthan</v>
      </c>
      <c r="H5" t="str">
        <f>_xlfn.XLOOKUP(E5,[1]Regions!$A$2:$A$31,[1]Regions!$D$2:$D$31)</f>
        <v>North</v>
      </c>
      <c r="I5">
        <v>129</v>
      </c>
      <c r="J5" t="str">
        <f>_xlfn.XLOOKUP(I5,[1]Dates!$A$2:$A$181,[1]Dates!$B$2:$B$181)</f>
        <v>2024-05-09</v>
      </c>
      <c r="K5">
        <f t="shared" si="0"/>
        <v>2024</v>
      </c>
      <c r="L5">
        <f t="shared" si="1"/>
        <v>5</v>
      </c>
      <c r="M5">
        <f t="shared" si="2"/>
        <v>9</v>
      </c>
      <c r="N5">
        <f>[1]Transactions!J5*[1]Transactions!K5</f>
        <v>28956</v>
      </c>
    </row>
    <row r="6" spans="1:14" x14ac:dyDescent="0.3">
      <c r="A6">
        <v>5</v>
      </c>
      <c r="B6" t="s">
        <v>20</v>
      </c>
      <c r="C6" t="s">
        <v>15</v>
      </c>
      <c r="D6">
        <v>18</v>
      </c>
      <c r="E6">
        <v>12</v>
      </c>
      <c r="F6" t="str">
        <f>_xlfn.XLOOKUP(E6,[1]Regions!$A$2:$A$31,[1]Regions!$B$2:$B$31)</f>
        <v>Chennai</v>
      </c>
      <c r="G6" t="str">
        <f>_xlfn.XLOOKUP(E6,[1]Regions!$A$2:$A$31,[1]Regions!$C$2:$C$31)</f>
        <v>Tamil Nadu</v>
      </c>
      <c r="H6" t="str">
        <f>_xlfn.XLOOKUP(E6,[1]Regions!$A$2:$A$31,[1]Regions!$D$2:$D$31)</f>
        <v>South</v>
      </c>
      <c r="I6">
        <v>37</v>
      </c>
      <c r="J6" t="str">
        <f>_xlfn.XLOOKUP(I6,[1]Dates!$A$2:$A$181,[1]Dates!$B$2:$B$181)</f>
        <v>2024-02-07</v>
      </c>
      <c r="K6">
        <f t="shared" si="0"/>
        <v>2024</v>
      </c>
      <c r="L6">
        <f t="shared" si="1"/>
        <v>2</v>
      </c>
      <c r="M6">
        <f t="shared" si="2"/>
        <v>7</v>
      </c>
      <c r="N6">
        <f>[1]Transactions!J6*[1]Transactions!K6</f>
        <v>844</v>
      </c>
    </row>
    <row r="7" spans="1:14" x14ac:dyDescent="0.3">
      <c r="A7">
        <v>6</v>
      </c>
      <c r="B7" t="s">
        <v>21</v>
      </c>
      <c r="C7" t="s">
        <v>15</v>
      </c>
      <c r="D7">
        <v>36</v>
      </c>
      <c r="E7">
        <v>22</v>
      </c>
      <c r="F7" t="str">
        <f>_xlfn.XLOOKUP(E7,[1]Regions!$A$2:$A$31,[1]Regions!$B$2:$B$31)</f>
        <v>Ahmedabad</v>
      </c>
      <c r="G7" t="str">
        <f>_xlfn.XLOOKUP(E7,[1]Regions!$A$2:$A$31,[1]Regions!$C$2:$C$31)</f>
        <v>Gujarat</v>
      </c>
      <c r="H7" t="str">
        <f>_xlfn.XLOOKUP(E7,[1]Regions!$A$2:$A$31,[1]Regions!$D$2:$D$31)</f>
        <v>West</v>
      </c>
      <c r="I7">
        <v>143</v>
      </c>
      <c r="J7" t="str">
        <f>_xlfn.XLOOKUP(I7,[1]Dates!$A$2:$A$181,[1]Dates!$B$2:$B$181)</f>
        <v>2024-05-23</v>
      </c>
      <c r="K7">
        <f t="shared" si="0"/>
        <v>2024</v>
      </c>
      <c r="L7">
        <f t="shared" si="1"/>
        <v>5</v>
      </c>
      <c r="M7">
        <f t="shared" si="2"/>
        <v>23</v>
      </c>
      <c r="N7">
        <f>[1]Transactions!J7*[1]Transactions!K7</f>
        <v>32144</v>
      </c>
    </row>
    <row r="8" spans="1:14" x14ac:dyDescent="0.3">
      <c r="A8">
        <v>7</v>
      </c>
      <c r="B8" t="s">
        <v>22</v>
      </c>
      <c r="C8" t="s">
        <v>18</v>
      </c>
      <c r="D8">
        <v>40</v>
      </c>
      <c r="E8">
        <v>17</v>
      </c>
      <c r="F8" t="str">
        <f>_xlfn.XLOOKUP(E8,[1]Regions!$A$2:$A$31,[1]Regions!$B$2:$B$31)</f>
        <v>Kolkata</v>
      </c>
      <c r="G8" t="str">
        <f>_xlfn.XLOOKUP(E8,[1]Regions!$A$2:$A$31,[1]Regions!$C$2:$C$31)</f>
        <v>West Bengal</v>
      </c>
      <c r="H8" t="str">
        <f>_xlfn.XLOOKUP(E8,[1]Regions!$A$2:$A$31,[1]Regions!$D$2:$D$31)</f>
        <v>East</v>
      </c>
      <c r="I8">
        <v>8</v>
      </c>
      <c r="J8" t="str">
        <f>_xlfn.XLOOKUP(I8,[1]Dates!$A$2:$A$181,[1]Dates!$B$2:$B$181)</f>
        <v>2024-01-09</v>
      </c>
      <c r="K8">
        <f t="shared" si="0"/>
        <v>2024</v>
      </c>
      <c r="L8">
        <f t="shared" si="1"/>
        <v>1</v>
      </c>
      <c r="M8">
        <f t="shared" si="2"/>
        <v>9</v>
      </c>
      <c r="N8">
        <f>[1]Transactions!J8*[1]Transactions!K8</f>
        <v>25480</v>
      </c>
    </row>
    <row r="9" spans="1:14" x14ac:dyDescent="0.3">
      <c r="A9">
        <v>8</v>
      </c>
      <c r="B9" t="s">
        <v>23</v>
      </c>
      <c r="C9" t="s">
        <v>18</v>
      </c>
      <c r="D9">
        <v>57</v>
      </c>
      <c r="E9">
        <v>21</v>
      </c>
      <c r="F9" t="str">
        <f>_xlfn.XLOOKUP(E9,[1]Regions!$A$2:$A$31,[1]Regions!$B$2:$B$31)</f>
        <v>Pune</v>
      </c>
      <c r="G9" t="str">
        <f>_xlfn.XLOOKUP(E9,[1]Regions!$A$2:$A$31,[1]Regions!$C$2:$C$31)</f>
        <v>Maharashtra</v>
      </c>
      <c r="H9" t="str">
        <f>_xlfn.XLOOKUP(E9,[1]Regions!$A$2:$A$31,[1]Regions!$D$2:$D$31)</f>
        <v>West</v>
      </c>
      <c r="I9">
        <v>180</v>
      </c>
      <c r="J9" t="str">
        <f>_xlfn.XLOOKUP(I9,[1]Dates!$A$2:$A$181,[1]Dates!$B$2:$B$181)</f>
        <v>2024-06-29</v>
      </c>
      <c r="K9">
        <f t="shared" si="0"/>
        <v>2024</v>
      </c>
      <c r="L9">
        <f t="shared" si="1"/>
        <v>6</v>
      </c>
      <c r="M9">
        <f t="shared" si="2"/>
        <v>29</v>
      </c>
      <c r="N9">
        <f>[1]Transactions!J9*[1]Transactions!K9</f>
        <v>51732</v>
      </c>
    </row>
    <row r="10" spans="1:14" x14ac:dyDescent="0.3">
      <c r="A10">
        <v>9</v>
      </c>
      <c r="B10" t="s">
        <v>24</v>
      </c>
      <c r="C10" t="s">
        <v>15</v>
      </c>
      <c r="D10">
        <v>31</v>
      </c>
      <c r="E10">
        <v>13</v>
      </c>
      <c r="F10" t="str">
        <f>_xlfn.XLOOKUP(E10,[1]Regions!$A$2:$A$31,[1]Regions!$B$2:$B$31)</f>
        <v>Hyderabad</v>
      </c>
      <c r="G10" t="str">
        <f>_xlfn.XLOOKUP(E10,[1]Regions!$A$2:$A$31,[1]Regions!$C$2:$C$31)</f>
        <v>Telangana</v>
      </c>
      <c r="H10" t="str">
        <f>_xlfn.XLOOKUP(E10,[1]Regions!$A$2:$A$31,[1]Regions!$D$2:$D$31)</f>
        <v>South</v>
      </c>
      <c r="I10">
        <v>30</v>
      </c>
      <c r="J10" t="str">
        <f>_xlfn.XLOOKUP(I10,[1]Dates!$A$2:$A$181,[1]Dates!$B$2:$B$181)</f>
        <v>2024-01-31</v>
      </c>
      <c r="K10">
        <f t="shared" si="0"/>
        <v>2024</v>
      </c>
      <c r="L10">
        <f t="shared" si="1"/>
        <v>1</v>
      </c>
      <c r="M10">
        <f t="shared" si="2"/>
        <v>31</v>
      </c>
      <c r="N10">
        <f>[1]Transactions!J10*[1]Transactions!K10</f>
        <v>180960</v>
      </c>
    </row>
    <row r="11" spans="1:14" x14ac:dyDescent="0.3">
      <c r="A11">
        <v>10</v>
      </c>
      <c r="B11" t="s">
        <v>25</v>
      </c>
      <c r="C11" t="s">
        <v>18</v>
      </c>
      <c r="D11">
        <v>56</v>
      </c>
      <c r="E11">
        <v>3</v>
      </c>
      <c r="F11" t="str">
        <f>_xlfn.XLOOKUP(E11,[1]Regions!$A$2:$A$31,[1]Regions!$B$2:$B$31)</f>
        <v>Mumbai</v>
      </c>
      <c r="G11" t="str">
        <f>_xlfn.XLOOKUP(E11,[1]Regions!$A$2:$A$31,[1]Regions!$C$2:$C$31)</f>
        <v>Maharashtra</v>
      </c>
      <c r="H11" t="str">
        <f>_xlfn.XLOOKUP(E11,[1]Regions!$A$2:$A$31,[1]Regions!$D$2:$D$31)</f>
        <v>West</v>
      </c>
      <c r="I11">
        <v>126</v>
      </c>
      <c r="J11" t="str">
        <f>_xlfn.XLOOKUP(I11,[1]Dates!$A$2:$A$181,[1]Dates!$B$2:$B$181)</f>
        <v>2024-05-06</v>
      </c>
      <c r="K11">
        <f t="shared" si="0"/>
        <v>2024</v>
      </c>
      <c r="L11">
        <f t="shared" si="1"/>
        <v>5</v>
      </c>
      <c r="M11">
        <f t="shared" si="2"/>
        <v>6</v>
      </c>
      <c r="N11">
        <f>[1]Transactions!J11*[1]Transactions!K11</f>
        <v>53784</v>
      </c>
    </row>
    <row r="12" spans="1:14" x14ac:dyDescent="0.3">
      <c r="A12">
        <v>11</v>
      </c>
      <c r="B12" t="s">
        <v>26</v>
      </c>
      <c r="C12" t="s">
        <v>15</v>
      </c>
      <c r="D12">
        <v>46</v>
      </c>
      <c r="E12">
        <v>27</v>
      </c>
      <c r="F12" t="str">
        <f>_xlfn.XLOOKUP(E12,[1]Regions!$A$2:$A$31,[1]Regions!$B$2:$B$31)</f>
        <v>Jaipur</v>
      </c>
      <c r="G12" t="str">
        <f>_xlfn.XLOOKUP(E12,[1]Regions!$A$2:$A$31,[1]Regions!$C$2:$C$31)</f>
        <v>Rajasthan</v>
      </c>
      <c r="H12" t="str">
        <f>_xlfn.XLOOKUP(E12,[1]Regions!$A$2:$A$31,[1]Regions!$D$2:$D$31)</f>
        <v>North</v>
      </c>
      <c r="I12">
        <v>135</v>
      </c>
      <c r="J12" t="str">
        <f>_xlfn.XLOOKUP(I12,[1]Dates!$A$2:$A$181,[1]Dates!$B$2:$B$181)</f>
        <v>2024-05-15</v>
      </c>
      <c r="K12">
        <f t="shared" si="0"/>
        <v>2024</v>
      </c>
      <c r="L12">
        <f t="shared" si="1"/>
        <v>5</v>
      </c>
      <c r="M12">
        <f t="shared" si="2"/>
        <v>15</v>
      </c>
      <c r="N12">
        <f>[1]Transactions!J12*[1]Transactions!K12</f>
        <v>3264</v>
      </c>
    </row>
    <row r="13" spans="1:14" x14ac:dyDescent="0.3">
      <c r="A13">
        <v>12</v>
      </c>
      <c r="B13" t="s">
        <v>27</v>
      </c>
      <c r="C13" t="s">
        <v>15</v>
      </c>
      <c r="D13">
        <v>47</v>
      </c>
      <c r="E13">
        <v>8</v>
      </c>
      <c r="F13" t="str">
        <f>_xlfn.XLOOKUP(E13,[1]Regions!$A$2:$A$31,[1]Regions!$B$2:$B$31)</f>
        <v>Bangalore</v>
      </c>
      <c r="G13" t="str">
        <f>_xlfn.XLOOKUP(E13,[1]Regions!$A$2:$A$31,[1]Regions!$C$2:$C$31)</f>
        <v>Karnataka</v>
      </c>
      <c r="H13" t="str">
        <f>_xlfn.XLOOKUP(E13,[1]Regions!$A$2:$A$31,[1]Regions!$D$2:$D$31)</f>
        <v>South</v>
      </c>
      <c r="I13">
        <v>173</v>
      </c>
      <c r="J13" t="str">
        <f>_xlfn.XLOOKUP(I13,[1]Dates!$A$2:$A$181,[1]Dates!$B$2:$B$181)</f>
        <v>2024-06-22</v>
      </c>
      <c r="K13">
        <f t="shared" si="0"/>
        <v>2024</v>
      </c>
      <c r="L13">
        <f t="shared" si="1"/>
        <v>6</v>
      </c>
      <c r="M13">
        <f t="shared" si="2"/>
        <v>22</v>
      </c>
      <c r="N13">
        <f>[1]Transactions!J13*[1]Transactions!K13</f>
        <v>31020</v>
      </c>
    </row>
    <row r="14" spans="1:14" x14ac:dyDescent="0.3">
      <c r="A14">
        <v>13</v>
      </c>
      <c r="B14" t="s">
        <v>28</v>
      </c>
      <c r="C14" t="s">
        <v>18</v>
      </c>
      <c r="D14">
        <v>38</v>
      </c>
      <c r="E14">
        <v>11</v>
      </c>
      <c r="F14" t="str">
        <f>_xlfn.XLOOKUP(E14,[1]Regions!$A$2:$A$31,[1]Regions!$B$2:$B$31)</f>
        <v>Chennai</v>
      </c>
      <c r="G14" t="str">
        <f>_xlfn.XLOOKUP(E14,[1]Regions!$A$2:$A$31,[1]Regions!$C$2:$C$31)</f>
        <v>Tamil Nadu</v>
      </c>
      <c r="H14" t="str">
        <f>_xlfn.XLOOKUP(E14,[1]Regions!$A$2:$A$31,[1]Regions!$D$2:$D$31)</f>
        <v>South</v>
      </c>
      <c r="I14">
        <v>25</v>
      </c>
      <c r="J14" t="str">
        <f>_xlfn.XLOOKUP(I14,[1]Dates!$A$2:$A$181,[1]Dates!$B$2:$B$181)</f>
        <v>2024-01-26</v>
      </c>
      <c r="K14">
        <f t="shared" si="0"/>
        <v>2024</v>
      </c>
      <c r="L14">
        <f t="shared" si="1"/>
        <v>1</v>
      </c>
      <c r="M14">
        <f t="shared" si="2"/>
        <v>26</v>
      </c>
      <c r="N14">
        <f>[1]Transactions!J14*[1]Transactions!K14</f>
        <v>44890</v>
      </c>
    </row>
    <row r="15" spans="1:14" x14ac:dyDescent="0.3">
      <c r="A15">
        <v>14</v>
      </c>
      <c r="B15" t="s">
        <v>29</v>
      </c>
      <c r="C15" t="s">
        <v>18</v>
      </c>
      <c r="D15">
        <v>41</v>
      </c>
      <c r="E15">
        <v>27</v>
      </c>
      <c r="F15" t="str">
        <f>_xlfn.XLOOKUP(E15,[1]Regions!$A$2:$A$31,[1]Regions!$B$2:$B$31)</f>
        <v>Jaipur</v>
      </c>
      <c r="G15" t="str">
        <f>_xlfn.XLOOKUP(E15,[1]Regions!$A$2:$A$31,[1]Regions!$C$2:$C$31)</f>
        <v>Rajasthan</v>
      </c>
      <c r="H15" t="str">
        <f>_xlfn.XLOOKUP(E15,[1]Regions!$A$2:$A$31,[1]Regions!$D$2:$D$31)</f>
        <v>North</v>
      </c>
      <c r="I15">
        <v>60</v>
      </c>
      <c r="J15" t="str">
        <f>_xlfn.XLOOKUP(I15,[1]Dates!$A$2:$A$181,[1]Dates!$B$2:$B$181)</f>
        <v>2024-03-01</v>
      </c>
      <c r="K15">
        <f t="shared" si="0"/>
        <v>2024</v>
      </c>
      <c r="L15">
        <f t="shared" si="1"/>
        <v>3</v>
      </c>
      <c r="M15">
        <f t="shared" si="2"/>
        <v>1</v>
      </c>
      <c r="N15">
        <f>[1]Transactions!J15*[1]Transactions!K15</f>
        <v>173880</v>
      </c>
    </row>
    <row r="16" spans="1:14" x14ac:dyDescent="0.3">
      <c r="A16">
        <v>15</v>
      </c>
      <c r="B16" t="s">
        <v>30</v>
      </c>
      <c r="C16" t="s">
        <v>15</v>
      </c>
      <c r="D16">
        <v>41</v>
      </c>
      <c r="E16">
        <v>30</v>
      </c>
      <c r="F16" t="str">
        <f>_xlfn.XLOOKUP(E16,[1]Regions!$A$2:$A$31,[1]Regions!$B$2:$B$31)</f>
        <v>Lucknow</v>
      </c>
      <c r="G16" t="str">
        <f>_xlfn.XLOOKUP(E16,[1]Regions!$A$2:$A$31,[1]Regions!$C$2:$C$31)</f>
        <v>UP</v>
      </c>
      <c r="H16" t="str">
        <f>_xlfn.XLOOKUP(E16,[1]Regions!$A$2:$A$31,[1]Regions!$D$2:$D$31)</f>
        <v>North</v>
      </c>
      <c r="I16">
        <v>127</v>
      </c>
      <c r="J16" t="str">
        <f>_xlfn.XLOOKUP(I16,[1]Dates!$A$2:$A$181,[1]Dates!$B$2:$B$181)</f>
        <v>2024-05-07</v>
      </c>
      <c r="K16">
        <f t="shared" si="0"/>
        <v>2024</v>
      </c>
      <c r="L16">
        <f t="shared" si="1"/>
        <v>5</v>
      </c>
      <c r="M16">
        <f t="shared" si="2"/>
        <v>7</v>
      </c>
      <c r="N16">
        <f>[1]Transactions!J16*[1]Transactions!K16</f>
        <v>14520</v>
      </c>
    </row>
    <row r="17" spans="1:14" x14ac:dyDescent="0.3">
      <c r="A17">
        <v>16</v>
      </c>
      <c r="B17" t="s">
        <v>31</v>
      </c>
      <c r="C17" t="s">
        <v>15</v>
      </c>
      <c r="D17">
        <v>24</v>
      </c>
      <c r="E17">
        <v>26</v>
      </c>
      <c r="F17" t="str">
        <f>_xlfn.XLOOKUP(E17,[1]Regions!$A$2:$A$31,[1]Regions!$B$2:$B$31)</f>
        <v>Jaipur</v>
      </c>
      <c r="G17" t="str">
        <f>_xlfn.XLOOKUP(E17,[1]Regions!$A$2:$A$31,[1]Regions!$C$2:$C$31)</f>
        <v>Rajasthan</v>
      </c>
      <c r="H17" t="str">
        <f>_xlfn.XLOOKUP(E17,[1]Regions!$A$2:$A$31,[1]Regions!$D$2:$D$31)</f>
        <v>North</v>
      </c>
      <c r="I17">
        <v>102</v>
      </c>
      <c r="J17" t="str">
        <f>_xlfn.XLOOKUP(I17,[1]Dates!$A$2:$A$181,[1]Dates!$B$2:$B$181)</f>
        <v>2024-04-12</v>
      </c>
      <c r="K17">
        <f t="shared" si="0"/>
        <v>2024</v>
      </c>
      <c r="L17">
        <f t="shared" si="1"/>
        <v>4</v>
      </c>
      <c r="M17">
        <f t="shared" si="2"/>
        <v>12</v>
      </c>
      <c r="N17">
        <f>[1]Transactions!J17*[1]Transactions!K17</f>
        <v>103776</v>
      </c>
    </row>
    <row r="18" spans="1:14" x14ac:dyDescent="0.3">
      <c r="A18">
        <v>17</v>
      </c>
      <c r="B18" t="s">
        <v>32</v>
      </c>
      <c r="C18" t="s">
        <v>18</v>
      </c>
      <c r="D18">
        <v>31</v>
      </c>
      <c r="E18">
        <v>15</v>
      </c>
      <c r="F18" t="str">
        <f>_xlfn.XLOOKUP(E18,[1]Regions!$A$2:$A$31,[1]Regions!$B$2:$B$31)</f>
        <v>Hyderabad</v>
      </c>
      <c r="G18" t="str">
        <f>_xlfn.XLOOKUP(E18,[1]Regions!$A$2:$A$31,[1]Regions!$C$2:$C$31)</f>
        <v>Telangana</v>
      </c>
      <c r="H18" t="str">
        <f>_xlfn.XLOOKUP(E18,[1]Regions!$A$2:$A$31,[1]Regions!$D$2:$D$31)</f>
        <v>South</v>
      </c>
      <c r="I18">
        <v>157</v>
      </c>
      <c r="J18" t="str">
        <f>_xlfn.XLOOKUP(I18,[1]Dates!$A$2:$A$181,[1]Dates!$B$2:$B$181)</f>
        <v>2024-06-06</v>
      </c>
      <c r="K18">
        <f t="shared" si="0"/>
        <v>2024</v>
      </c>
      <c r="L18">
        <f t="shared" si="1"/>
        <v>6</v>
      </c>
      <c r="M18">
        <f t="shared" si="2"/>
        <v>6</v>
      </c>
      <c r="N18">
        <f>[1]Transactions!J18*[1]Transactions!K18</f>
        <v>122820</v>
      </c>
    </row>
    <row r="19" spans="1:14" x14ac:dyDescent="0.3">
      <c r="A19">
        <v>18</v>
      </c>
      <c r="B19" t="s">
        <v>33</v>
      </c>
      <c r="C19" t="s">
        <v>15</v>
      </c>
      <c r="D19">
        <v>20</v>
      </c>
      <c r="E19">
        <v>15</v>
      </c>
      <c r="F19" t="str">
        <f>_xlfn.XLOOKUP(E19,[1]Regions!$A$2:$A$31,[1]Regions!$B$2:$B$31)</f>
        <v>Hyderabad</v>
      </c>
      <c r="G19" t="str">
        <f>_xlfn.XLOOKUP(E19,[1]Regions!$A$2:$A$31,[1]Regions!$C$2:$C$31)</f>
        <v>Telangana</v>
      </c>
      <c r="H19" t="str">
        <f>_xlfn.XLOOKUP(E19,[1]Regions!$A$2:$A$31,[1]Regions!$D$2:$D$31)</f>
        <v>South</v>
      </c>
      <c r="I19">
        <v>40</v>
      </c>
      <c r="J19" t="str">
        <f>_xlfn.XLOOKUP(I19,[1]Dates!$A$2:$A$181,[1]Dates!$B$2:$B$181)</f>
        <v>2024-02-10</v>
      </c>
      <c r="K19">
        <f t="shared" si="0"/>
        <v>2024</v>
      </c>
      <c r="L19">
        <f t="shared" si="1"/>
        <v>2</v>
      </c>
      <c r="M19">
        <f t="shared" si="2"/>
        <v>10</v>
      </c>
      <c r="N19">
        <f>[1]Transactions!J19*[1]Transactions!K19</f>
        <v>55370</v>
      </c>
    </row>
    <row r="20" spans="1:14" x14ac:dyDescent="0.3">
      <c r="A20">
        <v>19</v>
      </c>
      <c r="B20" t="s">
        <v>34</v>
      </c>
      <c r="C20" t="s">
        <v>15</v>
      </c>
      <c r="D20">
        <v>39</v>
      </c>
      <c r="E20">
        <v>20</v>
      </c>
      <c r="F20" t="str">
        <f>_xlfn.XLOOKUP(E20,[1]Regions!$A$2:$A$31,[1]Regions!$B$2:$B$31)</f>
        <v>Pune</v>
      </c>
      <c r="G20" t="str">
        <f>_xlfn.XLOOKUP(E20,[1]Regions!$A$2:$A$31,[1]Regions!$C$2:$C$31)</f>
        <v>Maharashtra</v>
      </c>
      <c r="H20" t="str">
        <f>_xlfn.XLOOKUP(E20,[1]Regions!$A$2:$A$31,[1]Regions!$D$2:$D$31)</f>
        <v>West</v>
      </c>
      <c r="I20">
        <v>18</v>
      </c>
      <c r="J20" t="str">
        <f>_xlfn.XLOOKUP(I20,[1]Dates!$A$2:$A$181,[1]Dates!$B$2:$B$181)</f>
        <v>2024-01-19</v>
      </c>
      <c r="K20">
        <f t="shared" si="0"/>
        <v>2024</v>
      </c>
      <c r="L20">
        <f t="shared" si="1"/>
        <v>1</v>
      </c>
      <c r="M20">
        <f t="shared" si="2"/>
        <v>19</v>
      </c>
      <c r="N20">
        <f>[1]Transactions!J20*[1]Transactions!K20</f>
        <v>6592</v>
      </c>
    </row>
    <row r="21" spans="1:14" x14ac:dyDescent="0.3">
      <c r="A21">
        <v>20</v>
      </c>
      <c r="B21" t="s">
        <v>35</v>
      </c>
      <c r="C21" t="s">
        <v>15</v>
      </c>
      <c r="D21">
        <v>19</v>
      </c>
      <c r="E21">
        <v>27</v>
      </c>
      <c r="F21" t="str">
        <f>_xlfn.XLOOKUP(E21,[1]Regions!$A$2:$A$31,[1]Regions!$B$2:$B$31)</f>
        <v>Jaipur</v>
      </c>
      <c r="G21" t="str">
        <f>_xlfn.XLOOKUP(E21,[1]Regions!$A$2:$A$31,[1]Regions!$C$2:$C$31)</f>
        <v>Rajasthan</v>
      </c>
      <c r="H21" t="str">
        <f>_xlfn.XLOOKUP(E21,[1]Regions!$A$2:$A$31,[1]Regions!$D$2:$D$31)</f>
        <v>North</v>
      </c>
      <c r="I21">
        <v>108</v>
      </c>
      <c r="J21" t="str">
        <f>_xlfn.XLOOKUP(I21,[1]Dates!$A$2:$A$181,[1]Dates!$B$2:$B$181)</f>
        <v>2024-04-18</v>
      </c>
      <c r="K21">
        <f t="shared" si="0"/>
        <v>2024</v>
      </c>
      <c r="L21">
        <f t="shared" si="1"/>
        <v>4</v>
      </c>
      <c r="M21">
        <f t="shared" si="2"/>
        <v>18</v>
      </c>
      <c r="N21">
        <f>[1]Transactions!J21*[1]Transactions!K21</f>
        <v>70808</v>
      </c>
    </row>
    <row r="22" spans="1:14" x14ac:dyDescent="0.3">
      <c r="A22">
        <v>21</v>
      </c>
      <c r="B22" t="s">
        <v>36</v>
      </c>
      <c r="C22" t="s">
        <v>15</v>
      </c>
      <c r="D22">
        <v>33</v>
      </c>
      <c r="E22">
        <v>15</v>
      </c>
      <c r="F22" t="str">
        <f>_xlfn.XLOOKUP(E22,[1]Regions!$A$2:$A$31,[1]Regions!$B$2:$B$31)</f>
        <v>Hyderabad</v>
      </c>
      <c r="G22" t="str">
        <f>_xlfn.XLOOKUP(E22,[1]Regions!$A$2:$A$31,[1]Regions!$C$2:$C$31)</f>
        <v>Telangana</v>
      </c>
      <c r="H22" t="str">
        <f>_xlfn.XLOOKUP(E22,[1]Regions!$A$2:$A$31,[1]Regions!$D$2:$D$31)</f>
        <v>South</v>
      </c>
      <c r="I22">
        <v>131</v>
      </c>
      <c r="J22" t="str">
        <f>_xlfn.XLOOKUP(I22,[1]Dates!$A$2:$A$181,[1]Dates!$B$2:$B$181)</f>
        <v>2024-05-11</v>
      </c>
      <c r="K22">
        <f t="shared" si="0"/>
        <v>2024</v>
      </c>
      <c r="L22">
        <f t="shared" si="1"/>
        <v>5</v>
      </c>
      <c r="M22">
        <f t="shared" si="2"/>
        <v>11</v>
      </c>
      <c r="N22">
        <f>[1]Transactions!J22*[1]Transactions!K22</f>
        <v>704</v>
      </c>
    </row>
    <row r="23" spans="1:14" x14ac:dyDescent="0.3">
      <c r="A23">
        <v>22</v>
      </c>
      <c r="B23" t="s">
        <v>37</v>
      </c>
      <c r="C23" t="s">
        <v>15</v>
      </c>
      <c r="D23">
        <v>44</v>
      </c>
      <c r="E23">
        <v>29</v>
      </c>
      <c r="F23" t="str">
        <f>_xlfn.XLOOKUP(E23,[1]Regions!$A$2:$A$31,[1]Regions!$B$2:$B$31)</f>
        <v>Lucknow</v>
      </c>
      <c r="G23" t="str">
        <f>_xlfn.XLOOKUP(E23,[1]Regions!$A$2:$A$31,[1]Regions!$C$2:$C$31)</f>
        <v>UP</v>
      </c>
      <c r="H23" t="str">
        <f>_xlfn.XLOOKUP(E23,[1]Regions!$A$2:$A$31,[1]Regions!$D$2:$D$31)</f>
        <v>North</v>
      </c>
      <c r="I23">
        <v>134</v>
      </c>
      <c r="J23" t="str">
        <f>_xlfn.XLOOKUP(I23,[1]Dates!$A$2:$A$181,[1]Dates!$B$2:$B$181)</f>
        <v>2024-05-14</v>
      </c>
      <c r="K23">
        <f t="shared" si="0"/>
        <v>2024</v>
      </c>
      <c r="L23">
        <f t="shared" si="1"/>
        <v>5</v>
      </c>
      <c r="M23">
        <f t="shared" si="2"/>
        <v>14</v>
      </c>
      <c r="N23">
        <f>[1]Transactions!J23*[1]Transactions!K23</f>
        <v>2520</v>
      </c>
    </row>
    <row r="24" spans="1:14" x14ac:dyDescent="0.3">
      <c r="A24">
        <v>23</v>
      </c>
      <c r="B24" t="s">
        <v>38</v>
      </c>
      <c r="C24" t="s">
        <v>15</v>
      </c>
      <c r="D24">
        <v>19</v>
      </c>
      <c r="E24">
        <v>4</v>
      </c>
      <c r="F24" t="str">
        <f>_xlfn.XLOOKUP(E24,[1]Regions!$A$2:$A$31,[1]Regions!$B$2:$B$31)</f>
        <v>Delhi</v>
      </c>
      <c r="G24" t="str">
        <f>_xlfn.XLOOKUP(E24,[1]Regions!$A$2:$A$31,[1]Regions!$C$2:$C$31)</f>
        <v>Delhi</v>
      </c>
      <c r="H24" t="str">
        <f>_xlfn.XLOOKUP(E24,[1]Regions!$A$2:$A$31,[1]Regions!$D$2:$D$31)</f>
        <v>North</v>
      </c>
      <c r="I24">
        <v>87</v>
      </c>
      <c r="J24" t="str">
        <f>_xlfn.XLOOKUP(I24,[1]Dates!$A$2:$A$181,[1]Dates!$B$2:$B$181)</f>
        <v>2024-03-28</v>
      </c>
      <c r="K24">
        <f t="shared" si="0"/>
        <v>2024</v>
      </c>
      <c r="L24">
        <f t="shared" si="1"/>
        <v>3</v>
      </c>
      <c r="M24">
        <f t="shared" si="2"/>
        <v>28</v>
      </c>
      <c r="N24">
        <f>[1]Transactions!J24*[1]Transactions!K24</f>
        <v>24320</v>
      </c>
    </row>
    <row r="25" spans="1:14" x14ac:dyDescent="0.3">
      <c r="A25">
        <v>24</v>
      </c>
      <c r="B25" t="s">
        <v>39</v>
      </c>
      <c r="C25" t="s">
        <v>18</v>
      </c>
      <c r="D25">
        <v>58</v>
      </c>
      <c r="E25">
        <v>24</v>
      </c>
      <c r="F25" t="str">
        <f>_xlfn.XLOOKUP(E25,[1]Regions!$A$2:$A$31,[1]Regions!$B$2:$B$31)</f>
        <v>Ahmedabad</v>
      </c>
      <c r="G25" t="str">
        <f>_xlfn.XLOOKUP(E25,[1]Regions!$A$2:$A$31,[1]Regions!$C$2:$C$31)</f>
        <v>Gujarat</v>
      </c>
      <c r="H25" t="str">
        <f>_xlfn.XLOOKUP(E25,[1]Regions!$A$2:$A$31,[1]Regions!$D$2:$D$31)</f>
        <v>West</v>
      </c>
      <c r="I25">
        <v>59</v>
      </c>
      <c r="J25" t="str">
        <f>_xlfn.XLOOKUP(I25,[1]Dates!$A$2:$A$181,[1]Dates!$B$2:$B$181)</f>
        <v>2024-02-29</v>
      </c>
      <c r="K25">
        <f t="shared" si="0"/>
        <v>2024</v>
      </c>
      <c r="L25">
        <f t="shared" si="1"/>
        <v>2</v>
      </c>
      <c r="M25">
        <f t="shared" si="2"/>
        <v>29</v>
      </c>
      <c r="N25">
        <f>[1]Transactions!J25*[1]Transactions!K25</f>
        <v>8490</v>
      </c>
    </row>
    <row r="26" spans="1:14" x14ac:dyDescent="0.3">
      <c r="A26">
        <v>25</v>
      </c>
      <c r="B26" t="s">
        <v>40</v>
      </c>
      <c r="C26" t="s">
        <v>15</v>
      </c>
      <c r="D26">
        <v>58</v>
      </c>
      <c r="E26">
        <v>3</v>
      </c>
      <c r="F26" t="str">
        <f>_xlfn.XLOOKUP(E26,[1]Regions!$A$2:$A$31,[1]Regions!$B$2:$B$31)</f>
        <v>Mumbai</v>
      </c>
      <c r="G26" t="str">
        <f>_xlfn.XLOOKUP(E26,[1]Regions!$A$2:$A$31,[1]Regions!$C$2:$C$31)</f>
        <v>Maharashtra</v>
      </c>
      <c r="H26" t="str">
        <f>_xlfn.XLOOKUP(E26,[1]Regions!$A$2:$A$31,[1]Regions!$D$2:$D$31)</f>
        <v>West</v>
      </c>
      <c r="I26">
        <v>59</v>
      </c>
      <c r="J26" t="str">
        <f>_xlfn.XLOOKUP(I26,[1]Dates!$A$2:$A$181,[1]Dates!$B$2:$B$181)</f>
        <v>2024-02-29</v>
      </c>
      <c r="K26">
        <f t="shared" si="0"/>
        <v>2024</v>
      </c>
      <c r="L26">
        <f t="shared" si="1"/>
        <v>2</v>
      </c>
      <c r="M26">
        <f t="shared" si="2"/>
        <v>29</v>
      </c>
      <c r="N26">
        <f>[1]Transactions!J26*[1]Transactions!K26</f>
        <v>8690</v>
      </c>
    </row>
    <row r="27" spans="1:14" x14ac:dyDescent="0.3">
      <c r="A27">
        <v>26</v>
      </c>
      <c r="B27" t="s">
        <v>41</v>
      </c>
      <c r="C27" t="s">
        <v>18</v>
      </c>
      <c r="D27">
        <v>38</v>
      </c>
      <c r="E27">
        <v>10</v>
      </c>
      <c r="F27" t="str">
        <f>_xlfn.XLOOKUP(E27,[1]Regions!$A$2:$A$31,[1]Regions!$B$2:$B$31)</f>
        <v>Chennai</v>
      </c>
      <c r="G27" t="str">
        <f>_xlfn.XLOOKUP(E27,[1]Regions!$A$2:$A$31,[1]Regions!$C$2:$C$31)</f>
        <v>Tamil Nadu</v>
      </c>
      <c r="H27" t="str">
        <f>_xlfn.XLOOKUP(E27,[1]Regions!$A$2:$A$31,[1]Regions!$D$2:$D$31)</f>
        <v>South</v>
      </c>
      <c r="I27">
        <v>45</v>
      </c>
      <c r="J27" t="str">
        <f>_xlfn.XLOOKUP(I27,[1]Dates!$A$2:$A$181,[1]Dates!$B$2:$B$181)</f>
        <v>2024-02-15</v>
      </c>
      <c r="K27">
        <f t="shared" si="0"/>
        <v>2024</v>
      </c>
      <c r="L27">
        <f t="shared" si="1"/>
        <v>2</v>
      </c>
      <c r="M27">
        <f t="shared" si="2"/>
        <v>15</v>
      </c>
      <c r="N27">
        <f>[1]Transactions!J27*[1]Transactions!K27</f>
        <v>2470</v>
      </c>
    </row>
    <row r="28" spans="1:14" x14ac:dyDescent="0.3">
      <c r="A28">
        <v>27</v>
      </c>
      <c r="B28" t="s">
        <v>42</v>
      </c>
      <c r="C28" t="s">
        <v>18</v>
      </c>
      <c r="D28">
        <v>50</v>
      </c>
      <c r="E28">
        <v>19</v>
      </c>
      <c r="F28" t="str">
        <f>_xlfn.XLOOKUP(E28,[1]Regions!$A$2:$A$31,[1]Regions!$B$2:$B$31)</f>
        <v>Pune</v>
      </c>
      <c r="G28" t="str">
        <f>_xlfn.XLOOKUP(E28,[1]Regions!$A$2:$A$31,[1]Regions!$C$2:$C$31)</f>
        <v>Maharashtra</v>
      </c>
      <c r="H28" t="str">
        <f>_xlfn.XLOOKUP(E28,[1]Regions!$A$2:$A$31,[1]Regions!$D$2:$D$31)</f>
        <v>West</v>
      </c>
      <c r="I28">
        <v>169</v>
      </c>
      <c r="J28" t="str">
        <f>_xlfn.XLOOKUP(I28,[1]Dates!$A$2:$A$181,[1]Dates!$B$2:$B$181)</f>
        <v>2024-06-18</v>
      </c>
      <c r="K28">
        <f t="shared" si="0"/>
        <v>2024</v>
      </c>
      <c r="L28">
        <f t="shared" si="1"/>
        <v>6</v>
      </c>
      <c r="M28">
        <f t="shared" si="2"/>
        <v>18</v>
      </c>
      <c r="N28">
        <f>[1]Transactions!J28*[1]Transactions!K28</f>
        <v>16206</v>
      </c>
    </row>
    <row r="29" spans="1:14" x14ac:dyDescent="0.3">
      <c r="A29">
        <v>28</v>
      </c>
      <c r="B29" t="s">
        <v>43</v>
      </c>
      <c r="C29" t="s">
        <v>15</v>
      </c>
      <c r="D29">
        <v>31</v>
      </c>
      <c r="E29">
        <v>6</v>
      </c>
      <c r="F29" t="str">
        <f>_xlfn.XLOOKUP(E29,[1]Regions!$A$2:$A$31,[1]Regions!$B$2:$B$31)</f>
        <v>Delhi</v>
      </c>
      <c r="G29" t="str">
        <f>_xlfn.XLOOKUP(E29,[1]Regions!$A$2:$A$31,[1]Regions!$C$2:$C$31)</f>
        <v>Delhi</v>
      </c>
      <c r="H29" t="str">
        <f>_xlfn.XLOOKUP(E29,[1]Regions!$A$2:$A$31,[1]Regions!$D$2:$D$31)</f>
        <v>North</v>
      </c>
      <c r="I29">
        <v>171</v>
      </c>
      <c r="J29" t="str">
        <f>_xlfn.XLOOKUP(I29,[1]Dates!$A$2:$A$181,[1]Dates!$B$2:$B$181)</f>
        <v>2024-06-20</v>
      </c>
      <c r="K29">
        <f t="shared" si="0"/>
        <v>2024</v>
      </c>
      <c r="L29">
        <f t="shared" si="1"/>
        <v>6</v>
      </c>
      <c r="M29">
        <f t="shared" si="2"/>
        <v>20</v>
      </c>
      <c r="N29">
        <f>[1]Transactions!J29*[1]Transactions!K29</f>
        <v>86328</v>
      </c>
    </row>
    <row r="30" spans="1:14" x14ac:dyDescent="0.3">
      <c r="A30">
        <v>29</v>
      </c>
      <c r="B30" t="s">
        <v>44</v>
      </c>
      <c r="C30" t="s">
        <v>18</v>
      </c>
      <c r="D30">
        <v>23</v>
      </c>
      <c r="E30">
        <v>15</v>
      </c>
      <c r="F30" t="str">
        <f>_xlfn.XLOOKUP(E30,[1]Regions!$A$2:$A$31,[1]Regions!$B$2:$B$31)</f>
        <v>Hyderabad</v>
      </c>
      <c r="G30" t="str">
        <f>_xlfn.XLOOKUP(E30,[1]Regions!$A$2:$A$31,[1]Regions!$C$2:$C$31)</f>
        <v>Telangana</v>
      </c>
      <c r="H30" t="str">
        <f>_xlfn.XLOOKUP(E30,[1]Regions!$A$2:$A$31,[1]Regions!$D$2:$D$31)</f>
        <v>South</v>
      </c>
      <c r="I30">
        <v>103</v>
      </c>
      <c r="J30" t="str">
        <f>_xlfn.XLOOKUP(I30,[1]Dates!$A$2:$A$181,[1]Dates!$B$2:$B$181)</f>
        <v>2024-04-13</v>
      </c>
      <c r="K30">
        <f t="shared" si="0"/>
        <v>2024</v>
      </c>
      <c r="L30">
        <f t="shared" si="1"/>
        <v>4</v>
      </c>
      <c r="M30">
        <f t="shared" si="2"/>
        <v>13</v>
      </c>
      <c r="N30">
        <f>[1]Transactions!J30*[1]Transactions!K30</f>
        <v>142460</v>
      </c>
    </row>
    <row r="31" spans="1:14" x14ac:dyDescent="0.3">
      <c r="A31">
        <v>30</v>
      </c>
      <c r="B31" t="s">
        <v>45</v>
      </c>
      <c r="C31" t="s">
        <v>18</v>
      </c>
      <c r="D31">
        <v>59</v>
      </c>
      <c r="E31">
        <v>30</v>
      </c>
      <c r="F31" t="str">
        <f>_xlfn.XLOOKUP(E31,[1]Regions!$A$2:$A$31,[1]Regions!$B$2:$B$31)</f>
        <v>Lucknow</v>
      </c>
      <c r="G31" t="str">
        <f>_xlfn.XLOOKUP(E31,[1]Regions!$A$2:$A$31,[1]Regions!$C$2:$C$31)</f>
        <v>UP</v>
      </c>
      <c r="H31" t="str">
        <f>_xlfn.XLOOKUP(E31,[1]Regions!$A$2:$A$31,[1]Regions!$D$2:$D$31)</f>
        <v>North</v>
      </c>
      <c r="I31">
        <v>30</v>
      </c>
      <c r="J31" t="str">
        <f>_xlfn.XLOOKUP(I31,[1]Dates!$A$2:$A$181,[1]Dates!$B$2:$B$181)</f>
        <v>2024-01-31</v>
      </c>
      <c r="K31">
        <f t="shared" si="0"/>
        <v>2024</v>
      </c>
      <c r="L31">
        <f t="shared" si="1"/>
        <v>1</v>
      </c>
      <c r="M31">
        <f t="shared" si="2"/>
        <v>31</v>
      </c>
      <c r="N31">
        <f>[1]Transactions!J31*[1]Transactions!K31</f>
        <v>5750</v>
      </c>
    </row>
    <row r="32" spans="1:14" x14ac:dyDescent="0.3">
      <c r="A32">
        <v>31</v>
      </c>
      <c r="B32" t="s">
        <v>46</v>
      </c>
      <c r="C32" t="s">
        <v>18</v>
      </c>
      <c r="D32">
        <v>45</v>
      </c>
      <c r="E32">
        <v>20</v>
      </c>
      <c r="F32" t="str">
        <f>_xlfn.XLOOKUP(E32,[1]Regions!$A$2:$A$31,[1]Regions!$B$2:$B$31)</f>
        <v>Pune</v>
      </c>
      <c r="G32" t="str">
        <f>_xlfn.XLOOKUP(E32,[1]Regions!$A$2:$A$31,[1]Regions!$C$2:$C$31)</f>
        <v>Maharashtra</v>
      </c>
      <c r="H32" t="str">
        <f>_xlfn.XLOOKUP(E32,[1]Regions!$A$2:$A$31,[1]Regions!$D$2:$D$31)</f>
        <v>West</v>
      </c>
      <c r="I32">
        <v>102</v>
      </c>
      <c r="J32" t="str">
        <f>_xlfn.XLOOKUP(I32,[1]Dates!$A$2:$A$181,[1]Dates!$B$2:$B$181)</f>
        <v>2024-04-12</v>
      </c>
      <c r="K32">
        <f t="shared" si="0"/>
        <v>2024</v>
      </c>
      <c r="L32">
        <f t="shared" si="1"/>
        <v>4</v>
      </c>
      <c r="M32">
        <f t="shared" si="2"/>
        <v>12</v>
      </c>
      <c r="N32">
        <f>[1]Transactions!J32*[1]Transactions!K32</f>
        <v>32960</v>
      </c>
    </row>
    <row r="33" spans="1:14" x14ac:dyDescent="0.3">
      <c r="A33">
        <v>32</v>
      </c>
      <c r="B33" t="s">
        <v>47</v>
      </c>
      <c r="C33" t="s">
        <v>18</v>
      </c>
      <c r="D33">
        <v>46</v>
      </c>
      <c r="E33">
        <v>24</v>
      </c>
      <c r="F33" t="str">
        <f>_xlfn.XLOOKUP(E33,[1]Regions!$A$2:$A$31,[1]Regions!$B$2:$B$31)</f>
        <v>Ahmedabad</v>
      </c>
      <c r="G33" t="str">
        <f>_xlfn.XLOOKUP(E33,[1]Regions!$A$2:$A$31,[1]Regions!$C$2:$C$31)</f>
        <v>Gujarat</v>
      </c>
      <c r="H33" t="str">
        <f>_xlfn.XLOOKUP(E33,[1]Regions!$A$2:$A$31,[1]Regions!$D$2:$D$31)</f>
        <v>West</v>
      </c>
      <c r="I33">
        <v>82</v>
      </c>
      <c r="J33" t="str">
        <f>_xlfn.XLOOKUP(I33,[1]Dates!$A$2:$A$181,[1]Dates!$B$2:$B$181)</f>
        <v>2024-03-23</v>
      </c>
      <c r="K33">
        <f t="shared" si="0"/>
        <v>2024</v>
      </c>
      <c r="L33">
        <f t="shared" si="1"/>
        <v>3</v>
      </c>
      <c r="M33">
        <f t="shared" si="2"/>
        <v>23</v>
      </c>
      <c r="N33">
        <f>[1]Transactions!J33*[1]Transactions!K33</f>
        <v>123480</v>
      </c>
    </row>
    <row r="34" spans="1:14" x14ac:dyDescent="0.3">
      <c r="A34">
        <v>33</v>
      </c>
      <c r="B34" t="s">
        <v>48</v>
      </c>
      <c r="C34" t="s">
        <v>15</v>
      </c>
      <c r="D34">
        <v>20</v>
      </c>
      <c r="E34">
        <v>18</v>
      </c>
      <c r="F34" t="str">
        <f>_xlfn.XLOOKUP(E34,[1]Regions!$A$2:$A$31,[1]Regions!$B$2:$B$31)</f>
        <v>Kolkata</v>
      </c>
      <c r="G34" t="str">
        <f>_xlfn.XLOOKUP(E34,[1]Regions!$A$2:$A$31,[1]Regions!$C$2:$C$31)</f>
        <v>West Bengal</v>
      </c>
      <c r="H34" t="str">
        <f>_xlfn.XLOOKUP(E34,[1]Regions!$A$2:$A$31,[1]Regions!$D$2:$D$31)</f>
        <v>East</v>
      </c>
      <c r="I34">
        <v>61</v>
      </c>
      <c r="J34" t="str">
        <f>_xlfn.XLOOKUP(I34,[1]Dates!$A$2:$A$181,[1]Dates!$B$2:$B$181)</f>
        <v>2024-03-02</v>
      </c>
      <c r="K34">
        <f t="shared" si="0"/>
        <v>2024</v>
      </c>
      <c r="L34">
        <f t="shared" si="1"/>
        <v>3</v>
      </c>
      <c r="M34">
        <f t="shared" si="2"/>
        <v>2</v>
      </c>
      <c r="N34">
        <f>[1]Transactions!J34*[1]Transactions!K34</f>
        <v>4550</v>
      </c>
    </row>
    <row r="35" spans="1:14" x14ac:dyDescent="0.3">
      <c r="A35">
        <v>34</v>
      </c>
      <c r="B35" t="s">
        <v>49</v>
      </c>
      <c r="C35" t="s">
        <v>15</v>
      </c>
      <c r="D35">
        <v>43</v>
      </c>
      <c r="E35">
        <v>4</v>
      </c>
      <c r="F35" t="str">
        <f>_xlfn.XLOOKUP(E35,[1]Regions!$A$2:$A$31,[1]Regions!$B$2:$B$31)</f>
        <v>Delhi</v>
      </c>
      <c r="G35" t="str">
        <f>_xlfn.XLOOKUP(E35,[1]Regions!$A$2:$A$31,[1]Regions!$C$2:$C$31)</f>
        <v>Delhi</v>
      </c>
      <c r="H35" t="str">
        <f>_xlfn.XLOOKUP(E35,[1]Regions!$A$2:$A$31,[1]Regions!$D$2:$D$31)</f>
        <v>North</v>
      </c>
      <c r="I35">
        <v>94</v>
      </c>
      <c r="J35" t="str">
        <f>_xlfn.XLOOKUP(I35,[1]Dates!$A$2:$A$181,[1]Dates!$B$2:$B$181)</f>
        <v>2024-04-04</v>
      </c>
      <c r="K35">
        <f t="shared" si="0"/>
        <v>2024</v>
      </c>
      <c r="L35">
        <f t="shared" si="1"/>
        <v>4</v>
      </c>
      <c r="M35">
        <f t="shared" si="2"/>
        <v>4</v>
      </c>
      <c r="N35">
        <f>[1]Transactions!J35*[1]Transactions!K35</f>
        <v>336592</v>
      </c>
    </row>
    <row r="36" spans="1:14" x14ac:dyDescent="0.3">
      <c r="A36">
        <v>35</v>
      </c>
      <c r="B36" t="s">
        <v>50</v>
      </c>
      <c r="C36" t="s">
        <v>18</v>
      </c>
      <c r="D36">
        <v>35</v>
      </c>
      <c r="E36">
        <v>20</v>
      </c>
      <c r="F36" t="str">
        <f>_xlfn.XLOOKUP(E36,[1]Regions!$A$2:$A$31,[1]Regions!$B$2:$B$31)</f>
        <v>Pune</v>
      </c>
      <c r="G36" t="str">
        <f>_xlfn.XLOOKUP(E36,[1]Regions!$A$2:$A$31,[1]Regions!$C$2:$C$31)</f>
        <v>Maharashtra</v>
      </c>
      <c r="H36" t="str">
        <f>_xlfn.XLOOKUP(E36,[1]Regions!$A$2:$A$31,[1]Regions!$D$2:$D$31)</f>
        <v>West</v>
      </c>
      <c r="I36">
        <v>107</v>
      </c>
      <c r="J36" t="str">
        <f>_xlfn.XLOOKUP(I36,[1]Dates!$A$2:$A$181,[1]Dates!$B$2:$B$181)</f>
        <v>2024-04-17</v>
      </c>
      <c r="K36">
        <f t="shared" si="0"/>
        <v>2024</v>
      </c>
      <c r="L36">
        <f t="shared" si="1"/>
        <v>4</v>
      </c>
      <c r="M36">
        <f t="shared" si="2"/>
        <v>17</v>
      </c>
      <c r="N36">
        <f>[1]Transactions!J36*[1]Transactions!K36</f>
        <v>704</v>
      </c>
    </row>
    <row r="37" spans="1:14" x14ac:dyDescent="0.3">
      <c r="A37">
        <v>36</v>
      </c>
      <c r="B37" t="s">
        <v>51</v>
      </c>
      <c r="C37" t="s">
        <v>18</v>
      </c>
      <c r="D37">
        <v>45</v>
      </c>
      <c r="E37">
        <v>10</v>
      </c>
      <c r="F37" t="str">
        <f>_xlfn.XLOOKUP(E37,[1]Regions!$A$2:$A$31,[1]Regions!$B$2:$B$31)</f>
        <v>Chennai</v>
      </c>
      <c r="G37" t="str">
        <f>_xlfn.XLOOKUP(E37,[1]Regions!$A$2:$A$31,[1]Regions!$C$2:$C$31)</f>
        <v>Tamil Nadu</v>
      </c>
      <c r="H37" t="str">
        <f>_xlfn.XLOOKUP(E37,[1]Regions!$A$2:$A$31,[1]Regions!$D$2:$D$31)</f>
        <v>South</v>
      </c>
      <c r="I37">
        <v>34</v>
      </c>
      <c r="J37" t="str">
        <f>_xlfn.XLOOKUP(I37,[1]Dates!$A$2:$A$181,[1]Dates!$B$2:$B$181)</f>
        <v>2024-02-04</v>
      </c>
      <c r="K37">
        <f t="shared" si="0"/>
        <v>2024</v>
      </c>
      <c r="L37">
        <f t="shared" si="1"/>
        <v>2</v>
      </c>
      <c r="M37">
        <f t="shared" si="2"/>
        <v>4</v>
      </c>
      <c r="N37">
        <f>[1]Transactions!J37*[1]Transactions!K37</f>
        <v>46609</v>
      </c>
    </row>
    <row r="38" spans="1:14" x14ac:dyDescent="0.3">
      <c r="A38">
        <v>37</v>
      </c>
      <c r="B38" t="s">
        <v>52</v>
      </c>
      <c r="C38" t="s">
        <v>18</v>
      </c>
      <c r="D38">
        <v>43</v>
      </c>
      <c r="E38">
        <v>8</v>
      </c>
      <c r="F38" t="str">
        <f>_xlfn.XLOOKUP(E38,[1]Regions!$A$2:$A$31,[1]Regions!$B$2:$B$31)</f>
        <v>Bangalore</v>
      </c>
      <c r="G38" t="str">
        <f>_xlfn.XLOOKUP(E38,[1]Regions!$A$2:$A$31,[1]Regions!$C$2:$C$31)</f>
        <v>Karnataka</v>
      </c>
      <c r="H38" t="str">
        <f>_xlfn.XLOOKUP(E38,[1]Regions!$A$2:$A$31,[1]Regions!$D$2:$D$31)</f>
        <v>South</v>
      </c>
      <c r="I38">
        <v>44</v>
      </c>
      <c r="J38" t="str">
        <f>_xlfn.XLOOKUP(I38,[1]Dates!$A$2:$A$181,[1]Dates!$B$2:$B$181)</f>
        <v>2024-02-14</v>
      </c>
      <c r="K38">
        <f t="shared" si="0"/>
        <v>2024</v>
      </c>
      <c r="L38">
        <f t="shared" si="1"/>
        <v>2</v>
      </c>
      <c r="M38">
        <f t="shared" si="2"/>
        <v>14</v>
      </c>
      <c r="N38">
        <f>[1]Transactions!J38*[1]Transactions!K38</f>
        <v>9432</v>
      </c>
    </row>
    <row r="39" spans="1:14" x14ac:dyDescent="0.3">
      <c r="A39">
        <v>38</v>
      </c>
      <c r="B39" t="s">
        <v>53</v>
      </c>
      <c r="C39" t="s">
        <v>18</v>
      </c>
      <c r="D39">
        <v>36</v>
      </c>
      <c r="E39">
        <v>29</v>
      </c>
      <c r="F39" t="str">
        <f>_xlfn.XLOOKUP(E39,[1]Regions!$A$2:$A$31,[1]Regions!$B$2:$B$31)</f>
        <v>Lucknow</v>
      </c>
      <c r="G39" t="str">
        <f>_xlfn.XLOOKUP(E39,[1]Regions!$A$2:$A$31,[1]Regions!$C$2:$C$31)</f>
        <v>UP</v>
      </c>
      <c r="H39" t="str">
        <f>_xlfn.XLOOKUP(E39,[1]Regions!$A$2:$A$31,[1]Regions!$D$2:$D$31)</f>
        <v>North</v>
      </c>
      <c r="I39">
        <v>114</v>
      </c>
      <c r="J39" t="str">
        <f>_xlfn.XLOOKUP(I39,[1]Dates!$A$2:$A$181,[1]Dates!$B$2:$B$181)</f>
        <v>2024-04-24</v>
      </c>
      <c r="K39">
        <f t="shared" si="0"/>
        <v>2024</v>
      </c>
      <c r="L39">
        <f t="shared" si="1"/>
        <v>4</v>
      </c>
      <c r="M39">
        <f t="shared" si="2"/>
        <v>24</v>
      </c>
      <c r="N39">
        <f>[1]Transactions!J39*[1]Transactions!K39</f>
        <v>189090</v>
      </c>
    </row>
    <row r="40" spans="1:14" x14ac:dyDescent="0.3">
      <c r="A40">
        <v>39</v>
      </c>
      <c r="B40" t="s">
        <v>54</v>
      </c>
      <c r="C40" t="s">
        <v>18</v>
      </c>
      <c r="D40">
        <v>36</v>
      </c>
      <c r="E40">
        <v>24</v>
      </c>
      <c r="F40" t="str">
        <f>_xlfn.XLOOKUP(E40,[1]Regions!$A$2:$A$31,[1]Regions!$B$2:$B$31)</f>
        <v>Ahmedabad</v>
      </c>
      <c r="G40" t="str">
        <f>_xlfn.XLOOKUP(E40,[1]Regions!$A$2:$A$31,[1]Regions!$C$2:$C$31)</f>
        <v>Gujarat</v>
      </c>
      <c r="H40" t="str">
        <f>_xlfn.XLOOKUP(E40,[1]Regions!$A$2:$A$31,[1]Regions!$D$2:$D$31)</f>
        <v>West</v>
      </c>
      <c r="I40">
        <v>88</v>
      </c>
      <c r="J40" t="str">
        <f>_xlfn.XLOOKUP(I40,[1]Dates!$A$2:$A$181,[1]Dates!$B$2:$B$181)</f>
        <v>2024-03-29</v>
      </c>
      <c r="K40">
        <f t="shared" si="0"/>
        <v>2024</v>
      </c>
      <c r="L40">
        <f t="shared" si="1"/>
        <v>3</v>
      </c>
      <c r="M40">
        <f t="shared" si="2"/>
        <v>29</v>
      </c>
      <c r="N40">
        <f>[1]Transactions!J40*[1]Transactions!K40</f>
        <v>98778</v>
      </c>
    </row>
    <row r="41" spans="1:14" x14ac:dyDescent="0.3">
      <c r="A41">
        <v>40</v>
      </c>
      <c r="B41" t="s">
        <v>55</v>
      </c>
      <c r="C41" t="s">
        <v>18</v>
      </c>
      <c r="D41">
        <v>51</v>
      </c>
      <c r="E41">
        <v>1</v>
      </c>
      <c r="F41" t="str">
        <f>_xlfn.XLOOKUP(E41,[1]Regions!$A$2:$A$31,[1]Regions!$B$2:$B$31)</f>
        <v>Mumbai</v>
      </c>
      <c r="G41" t="str">
        <f>_xlfn.XLOOKUP(E41,[1]Regions!$A$2:$A$31,[1]Regions!$C$2:$C$31)</f>
        <v>Maharashtra</v>
      </c>
      <c r="H41" t="str">
        <f>_xlfn.XLOOKUP(E41,[1]Regions!$A$2:$A$31,[1]Regions!$D$2:$D$31)</f>
        <v>West</v>
      </c>
      <c r="I41">
        <v>8</v>
      </c>
      <c r="J41" t="str">
        <f>_xlfn.XLOOKUP(I41,[1]Dates!$A$2:$A$181,[1]Dates!$B$2:$B$181)</f>
        <v>2024-01-09</v>
      </c>
      <c r="K41">
        <f t="shared" si="0"/>
        <v>2024</v>
      </c>
      <c r="L41">
        <f t="shared" si="1"/>
        <v>1</v>
      </c>
      <c r="M41">
        <f t="shared" si="2"/>
        <v>9</v>
      </c>
      <c r="N41">
        <f>[1]Transactions!J41*[1]Transactions!K41</f>
        <v>105225</v>
      </c>
    </row>
    <row r="42" spans="1:14" x14ac:dyDescent="0.3">
      <c r="A42">
        <v>41</v>
      </c>
      <c r="B42" t="s">
        <v>56</v>
      </c>
      <c r="C42" t="s">
        <v>15</v>
      </c>
      <c r="D42">
        <v>57</v>
      </c>
      <c r="E42">
        <v>9</v>
      </c>
      <c r="F42" t="str">
        <f>_xlfn.XLOOKUP(E42,[1]Regions!$A$2:$A$31,[1]Regions!$B$2:$B$31)</f>
        <v>Bangalore</v>
      </c>
      <c r="G42" t="str">
        <f>_xlfn.XLOOKUP(E42,[1]Regions!$A$2:$A$31,[1]Regions!$C$2:$C$31)</f>
        <v>Karnataka</v>
      </c>
      <c r="H42" t="str">
        <f>_xlfn.XLOOKUP(E42,[1]Regions!$A$2:$A$31,[1]Regions!$D$2:$D$31)</f>
        <v>South</v>
      </c>
      <c r="I42">
        <v>177</v>
      </c>
      <c r="J42" t="str">
        <f>_xlfn.XLOOKUP(I42,[1]Dates!$A$2:$A$181,[1]Dates!$B$2:$B$181)</f>
        <v>2024-06-26</v>
      </c>
      <c r="K42">
        <f t="shared" si="0"/>
        <v>2024</v>
      </c>
      <c r="L42">
        <f t="shared" si="1"/>
        <v>6</v>
      </c>
      <c r="M42">
        <f t="shared" si="2"/>
        <v>26</v>
      </c>
      <c r="N42">
        <f>[1]Transactions!J42*[1]Transactions!K42</f>
        <v>71208</v>
      </c>
    </row>
    <row r="43" spans="1:14" x14ac:dyDescent="0.3">
      <c r="A43">
        <v>42</v>
      </c>
      <c r="B43" t="s">
        <v>57</v>
      </c>
      <c r="C43" t="s">
        <v>18</v>
      </c>
      <c r="D43">
        <v>23</v>
      </c>
      <c r="E43">
        <v>1</v>
      </c>
      <c r="F43" t="str">
        <f>_xlfn.XLOOKUP(E43,[1]Regions!$A$2:$A$31,[1]Regions!$B$2:$B$31)</f>
        <v>Mumbai</v>
      </c>
      <c r="G43" t="str">
        <f>_xlfn.XLOOKUP(E43,[1]Regions!$A$2:$A$31,[1]Regions!$C$2:$C$31)</f>
        <v>Maharashtra</v>
      </c>
      <c r="H43" t="str">
        <f>_xlfn.XLOOKUP(E43,[1]Regions!$A$2:$A$31,[1]Regions!$D$2:$D$31)</f>
        <v>West</v>
      </c>
      <c r="I43">
        <v>154</v>
      </c>
      <c r="J43" t="str">
        <f>_xlfn.XLOOKUP(I43,[1]Dates!$A$2:$A$181,[1]Dates!$B$2:$B$181)</f>
        <v>2024-06-03</v>
      </c>
      <c r="K43">
        <f t="shared" si="0"/>
        <v>2024</v>
      </c>
      <c r="L43">
        <f t="shared" si="1"/>
        <v>6</v>
      </c>
      <c r="M43">
        <f t="shared" si="2"/>
        <v>3</v>
      </c>
      <c r="N43">
        <f>[1]Transactions!J43*[1]Transactions!K43</f>
        <v>7590</v>
      </c>
    </row>
    <row r="44" spans="1:14" x14ac:dyDescent="0.3">
      <c r="A44">
        <v>43</v>
      </c>
      <c r="B44" t="s">
        <v>58</v>
      </c>
      <c r="C44" t="s">
        <v>15</v>
      </c>
      <c r="D44">
        <v>22</v>
      </c>
      <c r="E44">
        <v>25</v>
      </c>
      <c r="F44" t="str">
        <f>_xlfn.XLOOKUP(E44,[1]Regions!$A$2:$A$31,[1]Regions!$B$2:$B$31)</f>
        <v>Jaipur</v>
      </c>
      <c r="G44" t="str">
        <f>_xlfn.XLOOKUP(E44,[1]Regions!$A$2:$A$31,[1]Regions!$C$2:$C$31)</f>
        <v>Rajasthan</v>
      </c>
      <c r="H44" t="str">
        <f>_xlfn.XLOOKUP(E44,[1]Regions!$A$2:$A$31,[1]Regions!$D$2:$D$31)</f>
        <v>North</v>
      </c>
      <c r="I44">
        <v>79</v>
      </c>
      <c r="J44" t="str">
        <f>_xlfn.XLOOKUP(I44,[1]Dates!$A$2:$A$181,[1]Dates!$B$2:$B$181)</f>
        <v>2024-03-20</v>
      </c>
      <c r="K44">
        <f t="shared" si="0"/>
        <v>2024</v>
      </c>
      <c r="L44">
        <f t="shared" si="1"/>
        <v>3</v>
      </c>
      <c r="M44">
        <f t="shared" si="2"/>
        <v>20</v>
      </c>
      <c r="N44">
        <f>[1]Transactions!J44*[1]Transactions!K44</f>
        <v>558</v>
      </c>
    </row>
    <row r="45" spans="1:14" x14ac:dyDescent="0.3">
      <c r="A45">
        <v>44</v>
      </c>
      <c r="B45" t="s">
        <v>59</v>
      </c>
      <c r="C45" t="s">
        <v>18</v>
      </c>
      <c r="D45">
        <v>47</v>
      </c>
      <c r="E45">
        <v>25</v>
      </c>
      <c r="F45" t="str">
        <f>_xlfn.XLOOKUP(E45,[1]Regions!$A$2:$A$31,[1]Regions!$B$2:$B$31)</f>
        <v>Jaipur</v>
      </c>
      <c r="G45" t="str">
        <f>_xlfn.XLOOKUP(E45,[1]Regions!$A$2:$A$31,[1]Regions!$C$2:$C$31)</f>
        <v>Rajasthan</v>
      </c>
      <c r="H45" t="str">
        <f>_xlfn.XLOOKUP(E45,[1]Regions!$A$2:$A$31,[1]Regions!$D$2:$D$31)</f>
        <v>North</v>
      </c>
      <c r="I45">
        <v>114</v>
      </c>
      <c r="J45" t="str">
        <f>_xlfn.XLOOKUP(I45,[1]Dates!$A$2:$A$181,[1]Dates!$B$2:$B$181)</f>
        <v>2024-04-24</v>
      </c>
      <c r="K45">
        <f t="shared" si="0"/>
        <v>2024</v>
      </c>
      <c r="L45">
        <f t="shared" si="1"/>
        <v>4</v>
      </c>
      <c r="M45">
        <f t="shared" si="2"/>
        <v>24</v>
      </c>
      <c r="N45">
        <f>[1]Transactions!J45*[1]Transactions!K45</f>
        <v>15480</v>
      </c>
    </row>
    <row r="46" spans="1:14" x14ac:dyDescent="0.3">
      <c r="A46">
        <v>45</v>
      </c>
      <c r="B46" t="s">
        <v>60</v>
      </c>
      <c r="C46" t="s">
        <v>15</v>
      </c>
      <c r="D46">
        <v>51</v>
      </c>
      <c r="E46">
        <v>24</v>
      </c>
      <c r="F46" t="str">
        <f>_xlfn.XLOOKUP(E46,[1]Regions!$A$2:$A$31,[1]Regions!$B$2:$B$31)</f>
        <v>Ahmedabad</v>
      </c>
      <c r="G46" t="str">
        <f>_xlfn.XLOOKUP(E46,[1]Regions!$A$2:$A$31,[1]Regions!$C$2:$C$31)</f>
        <v>Gujarat</v>
      </c>
      <c r="H46" t="str">
        <f>_xlfn.XLOOKUP(E46,[1]Regions!$A$2:$A$31,[1]Regions!$D$2:$D$31)</f>
        <v>West</v>
      </c>
      <c r="I46">
        <v>19</v>
      </c>
      <c r="J46" t="str">
        <f>_xlfn.XLOOKUP(I46,[1]Dates!$A$2:$A$181,[1]Dates!$B$2:$B$181)</f>
        <v>2024-01-20</v>
      </c>
      <c r="K46">
        <f t="shared" si="0"/>
        <v>2024</v>
      </c>
      <c r="L46">
        <f t="shared" si="1"/>
        <v>1</v>
      </c>
      <c r="M46">
        <f t="shared" si="2"/>
        <v>20</v>
      </c>
      <c r="N46">
        <f>[1]Transactions!J46*[1]Transactions!K46</f>
        <v>105000</v>
      </c>
    </row>
    <row r="47" spans="1:14" x14ac:dyDescent="0.3">
      <c r="A47">
        <v>46</v>
      </c>
      <c r="B47" t="s">
        <v>61</v>
      </c>
      <c r="C47" t="s">
        <v>18</v>
      </c>
      <c r="D47">
        <v>42</v>
      </c>
      <c r="E47">
        <v>21</v>
      </c>
      <c r="F47" t="str">
        <f>_xlfn.XLOOKUP(E47,[1]Regions!$A$2:$A$31,[1]Regions!$B$2:$B$31)</f>
        <v>Pune</v>
      </c>
      <c r="G47" t="str">
        <f>_xlfn.XLOOKUP(E47,[1]Regions!$A$2:$A$31,[1]Regions!$C$2:$C$31)</f>
        <v>Maharashtra</v>
      </c>
      <c r="H47" t="str">
        <f>_xlfn.XLOOKUP(E47,[1]Regions!$A$2:$A$31,[1]Regions!$D$2:$D$31)</f>
        <v>West</v>
      </c>
      <c r="I47">
        <v>1</v>
      </c>
      <c r="J47" t="str">
        <f>_xlfn.XLOOKUP(I47,[1]Dates!$A$2:$A$181,[1]Dates!$B$2:$B$181)</f>
        <v>2024-01-02</v>
      </c>
      <c r="K47">
        <f t="shared" si="0"/>
        <v>2024</v>
      </c>
      <c r="L47">
        <f t="shared" si="1"/>
        <v>1</v>
      </c>
      <c r="M47">
        <f t="shared" si="2"/>
        <v>2</v>
      </c>
      <c r="N47">
        <f>[1]Transactions!J47*[1]Transactions!K47</f>
        <v>217128</v>
      </c>
    </row>
    <row r="48" spans="1:14" x14ac:dyDescent="0.3">
      <c r="A48">
        <v>47</v>
      </c>
      <c r="B48" t="s">
        <v>62</v>
      </c>
      <c r="C48" t="s">
        <v>18</v>
      </c>
      <c r="D48">
        <v>33</v>
      </c>
      <c r="E48">
        <v>18</v>
      </c>
      <c r="F48" t="str">
        <f>_xlfn.XLOOKUP(E48,[1]Regions!$A$2:$A$31,[1]Regions!$B$2:$B$31)</f>
        <v>Kolkata</v>
      </c>
      <c r="G48" t="str">
        <f>_xlfn.XLOOKUP(E48,[1]Regions!$A$2:$A$31,[1]Regions!$C$2:$C$31)</f>
        <v>West Bengal</v>
      </c>
      <c r="H48" t="str">
        <f>_xlfn.XLOOKUP(E48,[1]Regions!$A$2:$A$31,[1]Regions!$D$2:$D$31)</f>
        <v>East</v>
      </c>
      <c r="I48">
        <v>162</v>
      </c>
      <c r="J48" t="str">
        <f>_xlfn.XLOOKUP(I48,[1]Dates!$A$2:$A$181,[1]Dates!$B$2:$B$181)</f>
        <v>2024-06-11</v>
      </c>
      <c r="K48">
        <f t="shared" si="0"/>
        <v>2024</v>
      </c>
      <c r="L48">
        <f t="shared" si="1"/>
        <v>6</v>
      </c>
      <c r="M48">
        <f t="shared" si="2"/>
        <v>11</v>
      </c>
      <c r="N48">
        <f>[1]Transactions!J48*[1]Transactions!K48</f>
        <v>237688</v>
      </c>
    </row>
    <row r="49" spans="1:14" x14ac:dyDescent="0.3">
      <c r="A49">
        <v>48</v>
      </c>
      <c r="B49" t="s">
        <v>63</v>
      </c>
      <c r="C49" t="s">
        <v>18</v>
      </c>
      <c r="D49">
        <v>30</v>
      </c>
      <c r="E49">
        <v>22</v>
      </c>
      <c r="F49" t="str">
        <f>_xlfn.XLOOKUP(E49,[1]Regions!$A$2:$A$31,[1]Regions!$B$2:$B$31)</f>
        <v>Ahmedabad</v>
      </c>
      <c r="G49" t="str">
        <f>_xlfn.XLOOKUP(E49,[1]Regions!$A$2:$A$31,[1]Regions!$C$2:$C$31)</f>
        <v>Gujarat</v>
      </c>
      <c r="H49" t="str">
        <f>_xlfn.XLOOKUP(E49,[1]Regions!$A$2:$A$31,[1]Regions!$D$2:$D$31)</f>
        <v>West</v>
      </c>
      <c r="I49">
        <v>147</v>
      </c>
      <c r="J49" t="str">
        <f>_xlfn.XLOOKUP(I49,[1]Dates!$A$2:$A$181,[1]Dates!$B$2:$B$181)</f>
        <v>2024-05-27</v>
      </c>
      <c r="K49">
        <f t="shared" si="0"/>
        <v>2024</v>
      </c>
      <c r="L49">
        <f t="shared" si="1"/>
        <v>5</v>
      </c>
      <c r="M49">
        <f t="shared" si="2"/>
        <v>27</v>
      </c>
      <c r="N49">
        <f>[1]Transactions!J49*[1]Transactions!K49</f>
        <v>35904</v>
      </c>
    </row>
    <row r="50" spans="1:14" x14ac:dyDescent="0.3">
      <c r="A50">
        <v>49</v>
      </c>
      <c r="B50" t="s">
        <v>64</v>
      </c>
      <c r="C50" t="s">
        <v>18</v>
      </c>
      <c r="D50">
        <v>40</v>
      </c>
      <c r="E50">
        <v>29</v>
      </c>
      <c r="F50" t="str">
        <f>_xlfn.XLOOKUP(E50,[1]Regions!$A$2:$A$31,[1]Regions!$B$2:$B$31)</f>
        <v>Lucknow</v>
      </c>
      <c r="G50" t="str">
        <f>_xlfn.XLOOKUP(E50,[1]Regions!$A$2:$A$31,[1]Regions!$C$2:$C$31)</f>
        <v>UP</v>
      </c>
      <c r="H50" t="str">
        <f>_xlfn.XLOOKUP(E50,[1]Regions!$A$2:$A$31,[1]Regions!$D$2:$D$31)</f>
        <v>North</v>
      </c>
      <c r="I50">
        <v>122</v>
      </c>
      <c r="J50" t="str">
        <f>_xlfn.XLOOKUP(I50,[1]Dates!$A$2:$A$181,[1]Dates!$B$2:$B$181)</f>
        <v>2024-05-02</v>
      </c>
      <c r="K50">
        <f t="shared" si="0"/>
        <v>2024</v>
      </c>
      <c r="L50">
        <f t="shared" si="1"/>
        <v>5</v>
      </c>
      <c r="M50">
        <f t="shared" si="2"/>
        <v>2</v>
      </c>
      <c r="N50">
        <f>[1]Transactions!J50*[1]Transactions!K50</f>
        <v>16510</v>
      </c>
    </row>
    <row r="51" spans="1:14" x14ac:dyDescent="0.3">
      <c r="A51">
        <v>50</v>
      </c>
      <c r="B51" t="s">
        <v>65</v>
      </c>
      <c r="C51" t="s">
        <v>15</v>
      </c>
      <c r="D51">
        <v>40</v>
      </c>
      <c r="E51">
        <v>18</v>
      </c>
      <c r="F51" t="str">
        <f>_xlfn.XLOOKUP(E51,[1]Regions!$A$2:$A$31,[1]Regions!$B$2:$B$31)</f>
        <v>Kolkata</v>
      </c>
      <c r="G51" t="str">
        <f>_xlfn.XLOOKUP(E51,[1]Regions!$A$2:$A$31,[1]Regions!$C$2:$C$31)</f>
        <v>West Bengal</v>
      </c>
      <c r="H51" t="str">
        <f>_xlfn.XLOOKUP(E51,[1]Regions!$A$2:$A$31,[1]Regions!$D$2:$D$31)</f>
        <v>East</v>
      </c>
      <c r="I51">
        <v>124</v>
      </c>
      <c r="J51" t="str">
        <f>_xlfn.XLOOKUP(I51,[1]Dates!$A$2:$A$181,[1]Dates!$B$2:$B$181)</f>
        <v>2024-05-04</v>
      </c>
      <c r="K51">
        <f t="shared" si="0"/>
        <v>2024</v>
      </c>
      <c r="L51">
        <f t="shared" si="1"/>
        <v>5</v>
      </c>
      <c r="M51">
        <f t="shared" si="2"/>
        <v>4</v>
      </c>
      <c r="N51">
        <f>[1]Transactions!J51*[1]Transactions!K51</f>
        <v>206568</v>
      </c>
    </row>
    <row r="52" spans="1:14" x14ac:dyDescent="0.3">
      <c r="A52">
        <v>51</v>
      </c>
      <c r="B52" t="s">
        <v>66</v>
      </c>
      <c r="C52" t="s">
        <v>15</v>
      </c>
      <c r="D52">
        <v>20</v>
      </c>
      <c r="E52">
        <v>28</v>
      </c>
      <c r="F52" t="str">
        <f>_xlfn.XLOOKUP(E52,[1]Regions!$A$2:$A$31,[1]Regions!$B$2:$B$31)</f>
        <v>Lucknow</v>
      </c>
      <c r="G52" t="str">
        <f>_xlfn.XLOOKUP(E52,[1]Regions!$A$2:$A$31,[1]Regions!$C$2:$C$31)</f>
        <v>UP</v>
      </c>
      <c r="H52" t="str">
        <f>_xlfn.XLOOKUP(E52,[1]Regions!$A$2:$A$31,[1]Regions!$D$2:$D$31)</f>
        <v>North</v>
      </c>
      <c r="I52">
        <v>22</v>
      </c>
      <c r="J52" t="str">
        <f>_xlfn.XLOOKUP(I52,[1]Dates!$A$2:$A$181,[1]Dates!$B$2:$B$181)</f>
        <v>2024-01-23</v>
      </c>
      <c r="K52">
        <f t="shared" si="0"/>
        <v>2024</v>
      </c>
      <c r="L52">
        <f t="shared" si="1"/>
        <v>1</v>
      </c>
      <c r="M52">
        <f t="shared" si="2"/>
        <v>23</v>
      </c>
      <c r="N52">
        <f>[1]Transactions!J52*[1]Transactions!K52</f>
        <v>238252</v>
      </c>
    </row>
    <row r="53" spans="1:14" x14ac:dyDescent="0.3">
      <c r="A53">
        <v>52</v>
      </c>
      <c r="B53" t="s">
        <v>67</v>
      </c>
      <c r="C53" t="s">
        <v>18</v>
      </c>
      <c r="D53">
        <v>31</v>
      </c>
      <c r="E53">
        <v>20</v>
      </c>
      <c r="F53" t="str">
        <f>_xlfn.XLOOKUP(E53,[1]Regions!$A$2:$A$31,[1]Regions!$B$2:$B$31)</f>
        <v>Pune</v>
      </c>
      <c r="G53" t="str">
        <f>_xlfn.XLOOKUP(E53,[1]Regions!$A$2:$A$31,[1]Regions!$C$2:$C$31)</f>
        <v>Maharashtra</v>
      </c>
      <c r="H53" t="str">
        <f>_xlfn.XLOOKUP(E53,[1]Regions!$A$2:$A$31,[1]Regions!$D$2:$D$31)</f>
        <v>West</v>
      </c>
      <c r="I53">
        <v>143</v>
      </c>
      <c r="J53" t="str">
        <f>_xlfn.XLOOKUP(I53,[1]Dates!$A$2:$A$181,[1]Dates!$B$2:$B$181)</f>
        <v>2024-05-23</v>
      </c>
      <c r="K53">
        <f t="shared" si="0"/>
        <v>2024</v>
      </c>
      <c r="L53">
        <f t="shared" si="1"/>
        <v>5</v>
      </c>
      <c r="M53">
        <f t="shared" si="2"/>
        <v>23</v>
      </c>
      <c r="N53">
        <f>[1]Transactions!J53*[1]Transactions!K53</f>
        <v>16275</v>
      </c>
    </row>
    <row r="54" spans="1:14" x14ac:dyDescent="0.3">
      <c r="A54">
        <v>53</v>
      </c>
      <c r="B54" t="s">
        <v>68</v>
      </c>
      <c r="C54" t="s">
        <v>18</v>
      </c>
      <c r="D54">
        <v>35</v>
      </c>
      <c r="E54">
        <v>19</v>
      </c>
      <c r="F54" t="str">
        <f>_xlfn.XLOOKUP(E54,[1]Regions!$A$2:$A$31,[1]Regions!$B$2:$B$31)</f>
        <v>Pune</v>
      </c>
      <c r="G54" t="str">
        <f>_xlfn.XLOOKUP(E54,[1]Regions!$A$2:$A$31,[1]Regions!$C$2:$C$31)</f>
        <v>Maharashtra</v>
      </c>
      <c r="H54" t="str">
        <f>_xlfn.XLOOKUP(E54,[1]Regions!$A$2:$A$31,[1]Regions!$D$2:$D$31)</f>
        <v>West</v>
      </c>
      <c r="I54">
        <v>131</v>
      </c>
      <c r="J54" t="str">
        <f>_xlfn.XLOOKUP(I54,[1]Dates!$A$2:$A$181,[1]Dates!$B$2:$B$181)</f>
        <v>2024-05-11</v>
      </c>
      <c r="K54">
        <f t="shared" si="0"/>
        <v>2024</v>
      </c>
      <c r="L54">
        <f t="shared" si="1"/>
        <v>5</v>
      </c>
      <c r="M54">
        <f t="shared" si="2"/>
        <v>11</v>
      </c>
      <c r="N54">
        <f>[1]Transactions!J54*[1]Transactions!K54</f>
        <v>9900</v>
      </c>
    </row>
    <row r="55" spans="1:14" x14ac:dyDescent="0.3">
      <c r="A55">
        <v>54</v>
      </c>
      <c r="B55" t="s">
        <v>69</v>
      </c>
      <c r="C55" t="s">
        <v>18</v>
      </c>
      <c r="D55">
        <v>23</v>
      </c>
      <c r="E55">
        <v>2</v>
      </c>
      <c r="F55" t="str">
        <f>_xlfn.XLOOKUP(E55,[1]Regions!$A$2:$A$31,[1]Regions!$B$2:$B$31)</f>
        <v>Mumbai</v>
      </c>
      <c r="G55" t="str">
        <f>_xlfn.XLOOKUP(E55,[1]Regions!$A$2:$A$31,[1]Regions!$C$2:$C$31)</f>
        <v>Maharashtra</v>
      </c>
      <c r="H55" t="str">
        <f>_xlfn.XLOOKUP(E55,[1]Regions!$A$2:$A$31,[1]Regions!$D$2:$D$31)</f>
        <v>West</v>
      </c>
      <c r="I55">
        <v>43</v>
      </c>
      <c r="J55" t="str">
        <f>_xlfn.XLOOKUP(I55,[1]Dates!$A$2:$A$181,[1]Dates!$B$2:$B$181)</f>
        <v>2024-02-13</v>
      </c>
      <c r="K55">
        <f t="shared" si="0"/>
        <v>2024</v>
      </c>
      <c r="L55">
        <f t="shared" si="1"/>
        <v>2</v>
      </c>
      <c r="M55">
        <f t="shared" si="2"/>
        <v>13</v>
      </c>
      <c r="N55">
        <f>[1]Transactions!J55*[1]Transactions!K55</f>
        <v>49060</v>
      </c>
    </row>
    <row r="56" spans="1:14" x14ac:dyDescent="0.3">
      <c r="A56">
        <v>55</v>
      </c>
      <c r="B56" t="s">
        <v>70</v>
      </c>
      <c r="C56" t="s">
        <v>15</v>
      </c>
      <c r="D56">
        <v>24</v>
      </c>
      <c r="E56">
        <v>12</v>
      </c>
      <c r="F56" t="str">
        <f>_xlfn.XLOOKUP(E56,[1]Regions!$A$2:$A$31,[1]Regions!$B$2:$B$31)</f>
        <v>Chennai</v>
      </c>
      <c r="G56" t="str">
        <f>_xlfn.XLOOKUP(E56,[1]Regions!$A$2:$A$31,[1]Regions!$C$2:$C$31)</f>
        <v>Tamil Nadu</v>
      </c>
      <c r="H56" t="str">
        <f>_xlfn.XLOOKUP(E56,[1]Regions!$A$2:$A$31,[1]Regions!$D$2:$D$31)</f>
        <v>South</v>
      </c>
      <c r="I56">
        <v>106</v>
      </c>
      <c r="J56" t="str">
        <f>_xlfn.XLOOKUP(I56,[1]Dates!$A$2:$A$181,[1]Dates!$B$2:$B$181)</f>
        <v>2024-04-16</v>
      </c>
      <c r="K56">
        <f t="shared" si="0"/>
        <v>2024</v>
      </c>
      <c r="L56">
        <f t="shared" si="1"/>
        <v>4</v>
      </c>
      <c r="M56">
        <f t="shared" si="2"/>
        <v>16</v>
      </c>
      <c r="N56">
        <f>[1]Transactions!J56*[1]Transactions!K56</f>
        <v>374205</v>
      </c>
    </row>
    <row r="57" spans="1:14" x14ac:dyDescent="0.3">
      <c r="A57">
        <v>56</v>
      </c>
      <c r="B57" t="s">
        <v>71</v>
      </c>
      <c r="C57" t="s">
        <v>18</v>
      </c>
      <c r="D57">
        <v>40</v>
      </c>
      <c r="E57">
        <v>23</v>
      </c>
      <c r="F57" t="str">
        <f>_xlfn.XLOOKUP(E57,[1]Regions!$A$2:$A$31,[1]Regions!$B$2:$B$31)</f>
        <v>Ahmedabad</v>
      </c>
      <c r="G57" t="str">
        <f>_xlfn.XLOOKUP(E57,[1]Regions!$A$2:$A$31,[1]Regions!$C$2:$C$31)</f>
        <v>Gujarat</v>
      </c>
      <c r="H57" t="str">
        <f>_xlfn.XLOOKUP(E57,[1]Regions!$A$2:$A$31,[1]Regions!$D$2:$D$31)</f>
        <v>West</v>
      </c>
      <c r="I57">
        <v>138</v>
      </c>
      <c r="J57" t="str">
        <f>_xlfn.XLOOKUP(I57,[1]Dates!$A$2:$A$181,[1]Dates!$B$2:$B$181)</f>
        <v>2024-05-18</v>
      </c>
      <c r="K57">
        <f t="shared" si="0"/>
        <v>2024</v>
      </c>
      <c r="L57">
        <f t="shared" si="1"/>
        <v>5</v>
      </c>
      <c r="M57">
        <f t="shared" si="2"/>
        <v>18</v>
      </c>
      <c r="N57">
        <f>[1]Transactions!J57*[1]Transactions!K57</f>
        <v>12160</v>
      </c>
    </row>
    <row r="58" spans="1:14" x14ac:dyDescent="0.3">
      <c r="A58">
        <v>57</v>
      </c>
      <c r="B58" t="s">
        <v>72</v>
      </c>
      <c r="C58" t="s">
        <v>18</v>
      </c>
      <c r="D58">
        <v>24</v>
      </c>
      <c r="E58">
        <v>14</v>
      </c>
      <c r="F58" t="str">
        <f>_xlfn.XLOOKUP(E58,[1]Regions!$A$2:$A$31,[1]Regions!$B$2:$B$31)</f>
        <v>Hyderabad</v>
      </c>
      <c r="G58" t="str">
        <f>_xlfn.XLOOKUP(E58,[1]Regions!$A$2:$A$31,[1]Regions!$C$2:$C$31)</f>
        <v>Telangana</v>
      </c>
      <c r="H58" t="str">
        <f>_xlfn.XLOOKUP(E58,[1]Regions!$A$2:$A$31,[1]Regions!$D$2:$D$31)</f>
        <v>South</v>
      </c>
      <c r="I58">
        <v>90</v>
      </c>
      <c r="J58" t="str">
        <f>_xlfn.XLOOKUP(I58,[1]Dates!$A$2:$A$181,[1]Dates!$B$2:$B$181)</f>
        <v>2024-03-31</v>
      </c>
      <c r="K58">
        <f t="shared" si="0"/>
        <v>2024</v>
      </c>
      <c r="L58">
        <f t="shared" si="1"/>
        <v>3</v>
      </c>
      <c r="M58">
        <f t="shared" si="2"/>
        <v>31</v>
      </c>
      <c r="N58">
        <f>[1]Transactions!J58*[1]Transactions!K58</f>
        <v>74992</v>
      </c>
    </row>
    <row r="59" spans="1:14" x14ac:dyDescent="0.3">
      <c r="A59">
        <v>58</v>
      </c>
      <c r="B59" t="s">
        <v>73</v>
      </c>
      <c r="C59" t="s">
        <v>18</v>
      </c>
      <c r="D59">
        <v>34</v>
      </c>
      <c r="E59">
        <v>23</v>
      </c>
      <c r="F59" t="str">
        <f>_xlfn.XLOOKUP(E59,[1]Regions!$A$2:$A$31,[1]Regions!$B$2:$B$31)</f>
        <v>Ahmedabad</v>
      </c>
      <c r="G59" t="str">
        <f>_xlfn.XLOOKUP(E59,[1]Regions!$A$2:$A$31,[1]Regions!$C$2:$C$31)</f>
        <v>Gujarat</v>
      </c>
      <c r="H59" t="str">
        <f>_xlfn.XLOOKUP(E59,[1]Regions!$A$2:$A$31,[1]Regions!$D$2:$D$31)</f>
        <v>West</v>
      </c>
      <c r="I59">
        <v>97</v>
      </c>
      <c r="J59" t="str">
        <f>_xlfn.XLOOKUP(I59,[1]Dates!$A$2:$A$181,[1]Dates!$B$2:$B$181)</f>
        <v>2024-04-07</v>
      </c>
      <c r="K59">
        <f t="shared" si="0"/>
        <v>2024</v>
      </c>
      <c r="L59">
        <f t="shared" si="1"/>
        <v>4</v>
      </c>
      <c r="M59">
        <f t="shared" si="2"/>
        <v>7</v>
      </c>
      <c r="N59">
        <f>[1]Transactions!J59*[1]Transactions!K59</f>
        <v>124200</v>
      </c>
    </row>
    <row r="60" spans="1:14" x14ac:dyDescent="0.3">
      <c r="A60">
        <v>59</v>
      </c>
      <c r="B60" t="s">
        <v>74</v>
      </c>
      <c r="C60" t="s">
        <v>18</v>
      </c>
      <c r="D60">
        <v>25</v>
      </c>
      <c r="E60">
        <v>11</v>
      </c>
      <c r="F60" t="str">
        <f>_xlfn.XLOOKUP(E60,[1]Regions!$A$2:$A$31,[1]Regions!$B$2:$B$31)</f>
        <v>Chennai</v>
      </c>
      <c r="G60" t="str">
        <f>_xlfn.XLOOKUP(E60,[1]Regions!$A$2:$A$31,[1]Regions!$C$2:$C$31)</f>
        <v>Tamil Nadu</v>
      </c>
      <c r="H60" t="str">
        <f>_xlfn.XLOOKUP(E60,[1]Regions!$A$2:$A$31,[1]Regions!$D$2:$D$31)</f>
        <v>South</v>
      </c>
      <c r="I60">
        <v>136</v>
      </c>
      <c r="J60" t="str">
        <f>_xlfn.XLOOKUP(I60,[1]Dates!$A$2:$A$181,[1]Dates!$B$2:$B$181)</f>
        <v>2024-05-16</v>
      </c>
      <c r="K60">
        <f t="shared" si="0"/>
        <v>2024</v>
      </c>
      <c r="L60">
        <f t="shared" si="1"/>
        <v>5</v>
      </c>
      <c r="M60">
        <f t="shared" si="2"/>
        <v>16</v>
      </c>
      <c r="N60">
        <f>[1]Transactions!J60*[1]Transactions!K60</f>
        <v>133755</v>
      </c>
    </row>
    <row r="61" spans="1:14" x14ac:dyDescent="0.3">
      <c r="A61">
        <v>60</v>
      </c>
      <c r="B61" t="s">
        <v>75</v>
      </c>
      <c r="C61" t="s">
        <v>18</v>
      </c>
      <c r="D61">
        <v>54</v>
      </c>
      <c r="E61">
        <v>26</v>
      </c>
      <c r="F61" t="str">
        <f>_xlfn.XLOOKUP(E61,[1]Regions!$A$2:$A$31,[1]Regions!$B$2:$B$31)</f>
        <v>Jaipur</v>
      </c>
      <c r="G61" t="str">
        <f>_xlfn.XLOOKUP(E61,[1]Regions!$A$2:$A$31,[1]Regions!$C$2:$C$31)</f>
        <v>Rajasthan</v>
      </c>
      <c r="H61" t="str">
        <f>_xlfn.XLOOKUP(E61,[1]Regions!$A$2:$A$31,[1]Regions!$D$2:$D$31)</f>
        <v>North</v>
      </c>
      <c r="I61">
        <v>38</v>
      </c>
      <c r="J61" t="str">
        <f>_xlfn.XLOOKUP(I61,[1]Dates!$A$2:$A$181,[1]Dates!$B$2:$B$181)</f>
        <v>2024-02-08</v>
      </c>
      <c r="K61">
        <f t="shared" si="0"/>
        <v>2024</v>
      </c>
      <c r="L61">
        <f t="shared" si="1"/>
        <v>2</v>
      </c>
      <c r="M61">
        <f t="shared" si="2"/>
        <v>8</v>
      </c>
      <c r="N61">
        <f>[1]Transactions!J61*[1]Transactions!K61</f>
        <v>7758</v>
      </c>
    </row>
    <row r="62" spans="1:14" x14ac:dyDescent="0.3">
      <c r="A62">
        <v>61</v>
      </c>
      <c r="B62" t="s">
        <v>76</v>
      </c>
      <c r="C62" t="s">
        <v>18</v>
      </c>
      <c r="D62">
        <v>27</v>
      </c>
      <c r="E62">
        <v>19</v>
      </c>
      <c r="F62" t="str">
        <f>_xlfn.XLOOKUP(E62,[1]Regions!$A$2:$A$31,[1]Regions!$B$2:$B$31)</f>
        <v>Pune</v>
      </c>
      <c r="G62" t="str">
        <f>_xlfn.XLOOKUP(E62,[1]Regions!$A$2:$A$31,[1]Regions!$C$2:$C$31)</f>
        <v>Maharashtra</v>
      </c>
      <c r="H62" t="str">
        <f>_xlfn.XLOOKUP(E62,[1]Regions!$A$2:$A$31,[1]Regions!$D$2:$D$31)</f>
        <v>West</v>
      </c>
      <c r="I62">
        <v>112</v>
      </c>
      <c r="J62" t="str">
        <f>_xlfn.XLOOKUP(I62,[1]Dates!$A$2:$A$181,[1]Dates!$B$2:$B$181)</f>
        <v>2024-04-22</v>
      </c>
      <c r="K62">
        <f t="shared" si="0"/>
        <v>2024</v>
      </c>
      <c r="L62">
        <f t="shared" si="1"/>
        <v>4</v>
      </c>
      <c r="M62">
        <f t="shared" si="2"/>
        <v>22</v>
      </c>
      <c r="N62">
        <f>[1]Transactions!J62*[1]Transactions!K62</f>
        <v>2904</v>
      </c>
    </row>
    <row r="63" spans="1:14" x14ac:dyDescent="0.3">
      <c r="A63">
        <v>62</v>
      </c>
      <c r="B63" t="s">
        <v>77</v>
      </c>
      <c r="C63" t="s">
        <v>18</v>
      </c>
      <c r="D63">
        <v>30</v>
      </c>
      <c r="E63">
        <v>14</v>
      </c>
      <c r="F63" t="str">
        <f>_xlfn.XLOOKUP(E63,[1]Regions!$A$2:$A$31,[1]Regions!$B$2:$B$31)</f>
        <v>Hyderabad</v>
      </c>
      <c r="G63" t="str">
        <f>_xlfn.XLOOKUP(E63,[1]Regions!$A$2:$A$31,[1]Regions!$C$2:$C$31)</f>
        <v>Telangana</v>
      </c>
      <c r="H63" t="str">
        <f>_xlfn.XLOOKUP(E63,[1]Regions!$A$2:$A$31,[1]Regions!$D$2:$D$31)</f>
        <v>South</v>
      </c>
      <c r="I63">
        <v>84</v>
      </c>
      <c r="J63" t="str">
        <f>_xlfn.XLOOKUP(I63,[1]Dates!$A$2:$A$181,[1]Dates!$B$2:$B$181)</f>
        <v>2024-03-25</v>
      </c>
      <c r="K63">
        <f t="shared" si="0"/>
        <v>2024</v>
      </c>
      <c r="L63">
        <f t="shared" si="1"/>
        <v>3</v>
      </c>
      <c r="M63">
        <f t="shared" si="2"/>
        <v>25</v>
      </c>
      <c r="N63">
        <f>[1]Transactions!J63*[1]Transactions!K63</f>
        <v>7420</v>
      </c>
    </row>
    <row r="64" spans="1:14" x14ac:dyDescent="0.3">
      <c r="A64">
        <v>63</v>
      </c>
      <c r="B64" t="s">
        <v>78</v>
      </c>
      <c r="C64" t="s">
        <v>18</v>
      </c>
      <c r="D64">
        <v>19</v>
      </c>
      <c r="E64">
        <v>27</v>
      </c>
      <c r="F64" t="str">
        <f>_xlfn.XLOOKUP(E64,[1]Regions!$A$2:$A$31,[1]Regions!$B$2:$B$31)</f>
        <v>Jaipur</v>
      </c>
      <c r="G64" t="str">
        <f>_xlfn.XLOOKUP(E64,[1]Regions!$A$2:$A$31,[1]Regions!$C$2:$C$31)</f>
        <v>Rajasthan</v>
      </c>
      <c r="H64" t="str">
        <f>_xlfn.XLOOKUP(E64,[1]Regions!$A$2:$A$31,[1]Regions!$D$2:$D$31)</f>
        <v>North</v>
      </c>
      <c r="I64">
        <v>122</v>
      </c>
      <c r="J64" t="str">
        <f>_xlfn.XLOOKUP(I64,[1]Dates!$A$2:$A$181,[1]Dates!$B$2:$B$181)</f>
        <v>2024-05-02</v>
      </c>
      <c r="K64">
        <f t="shared" si="0"/>
        <v>2024</v>
      </c>
      <c r="L64">
        <f t="shared" si="1"/>
        <v>5</v>
      </c>
      <c r="M64">
        <f t="shared" si="2"/>
        <v>2</v>
      </c>
      <c r="N64">
        <f>[1]Transactions!J64*[1]Transactions!K64</f>
        <v>270864</v>
      </c>
    </row>
    <row r="65" spans="1:14" x14ac:dyDescent="0.3">
      <c r="A65">
        <v>64</v>
      </c>
      <c r="B65" t="s">
        <v>79</v>
      </c>
      <c r="C65" t="s">
        <v>15</v>
      </c>
      <c r="D65">
        <v>22</v>
      </c>
      <c r="E65">
        <v>5</v>
      </c>
      <c r="F65" t="str">
        <f>_xlfn.XLOOKUP(E65,[1]Regions!$A$2:$A$31,[1]Regions!$B$2:$B$31)</f>
        <v>Delhi</v>
      </c>
      <c r="G65" t="str">
        <f>_xlfn.XLOOKUP(E65,[1]Regions!$A$2:$A$31,[1]Regions!$C$2:$C$31)</f>
        <v>Delhi</v>
      </c>
      <c r="H65" t="str">
        <f>_xlfn.XLOOKUP(E65,[1]Regions!$A$2:$A$31,[1]Regions!$D$2:$D$31)</f>
        <v>North</v>
      </c>
      <c r="I65">
        <v>69</v>
      </c>
      <c r="J65" t="str">
        <f>_xlfn.XLOOKUP(I65,[1]Dates!$A$2:$A$181,[1]Dates!$B$2:$B$181)</f>
        <v>2024-03-10</v>
      </c>
      <c r="K65">
        <f t="shared" si="0"/>
        <v>2024</v>
      </c>
      <c r="L65">
        <f t="shared" si="1"/>
        <v>3</v>
      </c>
      <c r="M65">
        <f t="shared" si="2"/>
        <v>10</v>
      </c>
      <c r="N65">
        <f>[1]Transactions!J65*[1]Transactions!K65</f>
        <v>7020</v>
      </c>
    </row>
    <row r="66" spans="1:14" x14ac:dyDescent="0.3">
      <c r="A66">
        <v>65</v>
      </c>
      <c r="B66" t="s">
        <v>80</v>
      </c>
      <c r="C66" t="s">
        <v>15</v>
      </c>
      <c r="D66">
        <v>38</v>
      </c>
      <c r="E66">
        <v>3</v>
      </c>
      <c r="F66" t="str">
        <f>_xlfn.XLOOKUP(E66,[1]Regions!$A$2:$A$31,[1]Regions!$B$2:$B$31)</f>
        <v>Mumbai</v>
      </c>
      <c r="G66" t="str">
        <f>_xlfn.XLOOKUP(E66,[1]Regions!$A$2:$A$31,[1]Regions!$C$2:$C$31)</f>
        <v>Maharashtra</v>
      </c>
      <c r="H66" t="str">
        <f>_xlfn.XLOOKUP(E66,[1]Regions!$A$2:$A$31,[1]Regions!$D$2:$D$31)</f>
        <v>West</v>
      </c>
      <c r="I66">
        <v>55</v>
      </c>
      <c r="J66" t="str">
        <f>_xlfn.XLOOKUP(I66,[1]Dates!$A$2:$A$181,[1]Dates!$B$2:$B$181)</f>
        <v>2024-02-25</v>
      </c>
      <c r="K66">
        <f t="shared" si="0"/>
        <v>2024</v>
      </c>
      <c r="L66">
        <f t="shared" si="1"/>
        <v>2</v>
      </c>
      <c r="M66">
        <f t="shared" si="2"/>
        <v>25</v>
      </c>
      <c r="N66">
        <f>[1]Transactions!J66*[1]Transactions!K66</f>
        <v>159840</v>
      </c>
    </row>
    <row r="67" spans="1:14" x14ac:dyDescent="0.3">
      <c r="A67">
        <v>66</v>
      </c>
      <c r="B67" t="s">
        <v>81</v>
      </c>
      <c r="C67" t="s">
        <v>15</v>
      </c>
      <c r="D67">
        <v>38</v>
      </c>
      <c r="E67">
        <v>6</v>
      </c>
      <c r="F67" t="str">
        <f>_xlfn.XLOOKUP(E67,[1]Regions!$A$2:$A$31,[1]Regions!$B$2:$B$31)</f>
        <v>Delhi</v>
      </c>
      <c r="G67" t="str">
        <f>_xlfn.XLOOKUP(E67,[1]Regions!$A$2:$A$31,[1]Regions!$C$2:$C$31)</f>
        <v>Delhi</v>
      </c>
      <c r="H67" t="str">
        <f>_xlfn.XLOOKUP(E67,[1]Regions!$A$2:$A$31,[1]Regions!$D$2:$D$31)</f>
        <v>North</v>
      </c>
      <c r="I67">
        <v>119</v>
      </c>
      <c r="J67" t="str">
        <f>_xlfn.XLOOKUP(I67,[1]Dates!$A$2:$A$181,[1]Dates!$B$2:$B$181)</f>
        <v>2024-04-29</v>
      </c>
      <c r="K67">
        <f t="shared" ref="K67:K130" si="3">YEAR(J67)</f>
        <v>2024</v>
      </c>
      <c r="L67">
        <f t="shared" ref="L67:L130" si="4">MONTH(J67)</f>
        <v>4</v>
      </c>
      <c r="M67">
        <f t="shared" ref="M67:M130" si="5">DAY(J67)</f>
        <v>29</v>
      </c>
      <c r="N67">
        <f>[1]Transactions!J67*[1]Transactions!K67</f>
        <v>99846</v>
      </c>
    </row>
    <row r="68" spans="1:14" x14ac:dyDescent="0.3">
      <c r="A68">
        <v>67</v>
      </c>
      <c r="B68" t="s">
        <v>82</v>
      </c>
      <c r="C68" t="s">
        <v>18</v>
      </c>
      <c r="D68">
        <v>40</v>
      </c>
      <c r="E68">
        <v>26</v>
      </c>
      <c r="F68" t="str">
        <f>_xlfn.XLOOKUP(E68,[1]Regions!$A$2:$A$31,[1]Regions!$B$2:$B$31)</f>
        <v>Jaipur</v>
      </c>
      <c r="G68" t="str">
        <f>_xlfn.XLOOKUP(E68,[1]Regions!$A$2:$A$31,[1]Regions!$C$2:$C$31)</f>
        <v>Rajasthan</v>
      </c>
      <c r="H68" t="str">
        <f>_xlfn.XLOOKUP(E68,[1]Regions!$A$2:$A$31,[1]Regions!$D$2:$D$31)</f>
        <v>North</v>
      </c>
      <c r="I68">
        <v>88</v>
      </c>
      <c r="J68" t="str">
        <f>_xlfn.XLOOKUP(I68,[1]Dates!$A$2:$A$181,[1]Dates!$B$2:$B$181)</f>
        <v>2024-03-29</v>
      </c>
      <c r="K68">
        <f t="shared" si="3"/>
        <v>2024</v>
      </c>
      <c r="L68">
        <f t="shared" si="4"/>
        <v>3</v>
      </c>
      <c r="M68">
        <f t="shared" si="5"/>
        <v>29</v>
      </c>
      <c r="N68">
        <f>[1]Transactions!J68*[1]Transactions!K68</f>
        <v>6000</v>
      </c>
    </row>
    <row r="69" spans="1:14" x14ac:dyDescent="0.3">
      <c r="A69">
        <v>68</v>
      </c>
      <c r="B69" t="s">
        <v>83</v>
      </c>
      <c r="C69" t="s">
        <v>15</v>
      </c>
      <c r="D69">
        <v>40</v>
      </c>
      <c r="E69">
        <v>9</v>
      </c>
      <c r="F69" t="str">
        <f>_xlfn.XLOOKUP(E69,[1]Regions!$A$2:$A$31,[1]Regions!$B$2:$B$31)</f>
        <v>Bangalore</v>
      </c>
      <c r="G69" t="str">
        <f>_xlfn.XLOOKUP(E69,[1]Regions!$A$2:$A$31,[1]Regions!$C$2:$C$31)</f>
        <v>Karnataka</v>
      </c>
      <c r="H69" t="str">
        <f>_xlfn.XLOOKUP(E69,[1]Regions!$A$2:$A$31,[1]Regions!$D$2:$D$31)</f>
        <v>South</v>
      </c>
      <c r="I69">
        <v>89</v>
      </c>
      <c r="J69" t="str">
        <f>_xlfn.XLOOKUP(I69,[1]Dates!$A$2:$A$181,[1]Dates!$B$2:$B$181)</f>
        <v>2024-03-30</v>
      </c>
      <c r="K69">
        <f t="shared" si="3"/>
        <v>2024</v>
      </c>
      <c r="L69">
        <f t="shared" si="4"/>
        <v>3</v>
      </c>
      <c r="M69">
        <f t="shared" si="5"/>
        <v>30</v>
      </c>
      <c r="N69">
        <f>[1]Transactions!J69*[1]Transactions!K69</f>
        <v>265500</v>
      </c>
    </row>
    <row r="70" spans="1:14" x14ac:dyDescent="0.3">
      <c r="A70">
        <v>69</v>
      </c>
      <c r="B70" t="s">
        <v>84</v>
      </c>
      <c r="C70" t="s">
        <v>15</v>
      </c>
      <c r="D70">
        <v>27</v>
      </c>
      <c r="E70">
        <v>25</v>
      </c>
      <c r="F70" t="str">
        <f>_xlfn.XLOOKUP(E70,[1]Regions!$A$2:$A$31,[1]Regions!$B$2:$B$31)</f>
        <v>Jaipur</v>
      </c>
      <c r="G70" t="str">
        <f>_xlfn.XLOOKUP(E70,[1]Regions!$A$2:$A$31,[1]Regions!$C$2:$C$31)</f>
        <v>Rajasthan</v>
      </c>
      <c r="H70" t="str">
        <f>_xlfn.XLOOKUP(E70,[1]Regions!$A$2:$A$31,[1]Regions!$D$2:$D$31)</f>
        <v>North</v>
      </c>
      <c r="I70">
        <v>138</v>
      </c>
      <c r="J70" t="str">
        <f>_xlfn.XLOOKUP(I70,[1]Dates!$A$2:$A$181,[1]Dates!$B$2:$B$181)</f>
        <v>2024-05-18</v>
      </c>
      <c r="K70">
        <f t="shared" si="3"/>
        <v>2024</v>
      </c>
      <c r="L70">
        <f t="shared" si="4"/>
        <v>5</v>
      </c>
      <c r="M70">
        <f t="shared" si="5"/>
        <v>18</v>
      </c>
      <c r="N70">
        <f>[1]Transactions!J70*[1]Transactions!K70</f>
        <v>12768</v>
      </c>
    </row>
    <row r="71" spans="1:14" x14ac:dyDescent="0.3">
      <c r="A71">
        <v>70</v>
      </c>
      <c r="B71" t="s">
        <v>85</v>
      </c>
      <c r="C71" t="s">
        <v>18</v>
      </c>
      <c r="D71">
        <v>40</v>
      </c>
      <c r="E71">
        <v>2</v>
      </c>
      <c r="F71" t="str">
        <f>_xlfn.XLOOKUP(E71,[1]Regions!$A$2:$A$31,[1]Regions!$B$2:$B$31)</f>
        <v>Mumbai</v>
      </c>
      <c r="G71" t="str">
        <f>_xlfn.XLOOKUP(E71,[1]Regions!$A$2:$A$31,[1]Regions!$C$2:$C$31)</f>
        <v>Maharashtra</v>
      </c>
      <c r="H71" t="str">
        <f>_xlfn.XLOOKUP(E71,[1]Regions!$A$2:$A$31,[1]Regions!$D$2:$D$31)</f>
        <v>West</v>
      </c>
      <c r="I71">
        <v>51</v>
      </c>
      <c r="J71" t="str">
        <f>_xlfn.XLOOKUP(I71,[1]Dates!$A$2:$A$181,[1]Dates!$B$2:$B$181)</f>
        <v>2024-02-21</v>
      </c>
      <c r="K71">
        <f t="shared" si="3"/>
        <v>2024</v>
      </c>
      <c r="L71">
        <f t="shared" si="4"/>
        <v>2</v>
      </c>
      <c r="M71">
        <f t="shared" si="5"/>
        <v>21</v>
      </c>
      <c r="N71">
        <f>[1]Transactions!J71*[1]Transactions!K71</f>
        <v>6762</v>
      </c>
    </row>
    <row r="72" spans="1:14" x14ac:dyDescent="0.3">
      <c r="A72">
        <v>71</v>
      </c>
      <c r="B72" t="s">
        <v>86</v>
      </c>
      <c r="C72" t="s">
        <v>18</v>
      </c>
      <c r="D72">
        <v>40</v>
      </c>
      <c r="E72">
        <v>17</v>
      </c>
      <c r="F72" t="str">
        <f>_xlfn.XLOOKUP(E72,[1]Regions!$A$2:$A$31,[1]Regions!$B$2:$B$31)</f>
        <v>Kolkata</v>
      </c>
      <c r="G72" t="str">
        <f>_xlfn.XLOOKUP(E72,[1]Regions!$A$2:$A$31,[1]Regions!$C$2:$C$31)</f>
        <v>West Bengal</v>
      </c>
      <c r="H72" t="str">
        <f>_xlfn.XLOOKUP(E72,[1]Regions!$A$2:$A$31,[1]Regions!$D$2:$D$31)</f>
        <v>East</v>
      </c>
      <c r="I72">
        <v>95</v>
      </c>
      <c r="J72" t="str">
        <f>_xlfn.XLOOKUP(I72,[1]Dates!$A$2:$A$181,[1]Dates!$B$2:$B$181)</f>
        <v>2024-04-05</v>
      </c>
      <c r="K72">
        <f t="shared" si="3"/>
        <v>2024</v>
      </c>
      <c r="L72">
        <f t="shared" si="4"/>
        <v>4</v>
      </c>
      <c r="M72">
        <f t="shared" si="5"/>
        <v>5</v>
      </c>
      <c r="N72">
        <f>[1]Transactions!J72*[1]Transactions!K72</f>
        <v>24960</v>
      </c>
    </row>
    <row r="73" spans="1:14" x14ac:dyDescent="0.3">
      <c r="A73">
        <v>72</v>
      </c>
      <c r="B73" t="s">
        <v>87</v>
      </c>
      <c r="C73" t="s">
        <v>15</v>
      </c>
      <c r="D73">
        <v>46</v>
      </c>
      <c r="E73">
        <v>12</v>
      </c>
      <c r="F73" t="str">
        <f>_xlfn.XLOOKUP(E73,[1]Regions!$A$2:$A$31,[1]Regions!$B$2:$B$31)</f>
        <v>Chennai</v>
      </c>
      <c r="G73" t="str">
        <f>_xlfn.XLOOKUP(E73,[1]Regions!$A$2:$A$31,[1]Regions!$C$2:$C$31)</f>
        <v>Tamil Nadu</v>
      </c>
      <c r="H73" t="str">
        <f>_xlfn.XLOOKUP(E73,[1]Regions!$A$2:$A$31,[1]Regions!$D$2:$D$31)</f>
        <v>South</v>
      </c>
      <c r="I73">
        <v>160</v>
      </c>
      <c r="J73" t="str">
        <f>_xlfn.XLOOKUP(I73,[1]Dates!$A$2:$A$181,[1]Dates!$B$2:$B$181)</f>
        <v>2024-06-09</v>
      </c>
      <c r="K73">
        <f t="shared" si="3"/>
        <v>2024</v>
      </c>
      <c r="L73">
        <f t="shared" si="4"/>
        <v>6</v>
      </c>
      <c r="M73">
        <f t="shared" si="5"/>
        <v>9</v>
      </c>
      <c r="N73">
        <f>[1]Transactions!J73*[1]Transactions!K73</f>
        <v>412680</v>
      </c>
    </row>
    <row r="74" spans="1:14" x14ac:dyDescent="0.3">
      <c r="A74">
        <v>73</v>
      </c>
      <c r="B74" t="s">
        <v>88</v>
      </c>
      <c r="C74" t="s">
        <v>18</v>
      </c>
      <c r="D74">
        <v>24</v>
      </c>
      <c r="E74">
        <v>28</v>
      </c>
      <c r="F74" t="str">
        <f>_xlfn.XLOOKUP(E74,[1]Regions!$A$2:$A$31,[1]Regions!$B$2:$B$31)</f>
        <v>Lucknow</v>
      </c>
      <c r="G74" t="str">
        <f>_xlfn.XLOOKUP(E74,[1]Regions!$A$2:$A$31,[1]Regions!$C$2:$C$31)</f>
        <v>UP</v>
      </c>
      <c r="H74" t="str">
        <f>_xlfn.XLOOKUP(E74,[1]Regions!$A$2:$A$31,[1]Regions!$D$2:$D$31)</f>
        <v>North</v>
      </c>
      <c r="I74">
        <v>39</v>
      </c>
      <c r="J74" t="str">
        <f>_xlfn.XLOOKUP(I74,[1]Dates!$A$2:$A$181,[1]Dates!$B$2:$B$181)</f>
        <v>2024-02-09</v>
      </c>
      <c r="K74">
        <f t="shared" si="3"/>
        <v>2024</v>
      </c>
      <c r="L74">
        <f t="shared" si="4"/>
        <v>2</v>
      </c>
      <c r="M74">
        <f t="shared" si="5"/>
        <v>9</v>
      </c>
      <c r="N74">
        <f>[1]Transactions!J74*[1]Transactions!K74</f>
        <v>565323</v>
      </c>
    </row>
    <row r="75" spans="1:14" x14ac:dyDescent="0.3">
      <c r="A75">
        <v>74</v>
      </c>
      <c r="B75" t="s">
        <v>89</v>
      </c>
      <c r="C75" t="s">
        <v>18</v>
      </c>
      <c r="D75">
        <v>22</v>
      </c>
      <c r="E75">
        <v>9</v>
      </c>
      <c r="F75" t="str">
        <f>_xlfn.XLOOKUP(E75,[1]Regions!$A$2:$A$31,[1]Regions!$B$2:$B$31)</f>
        <v>Bangalore</v>
      </c>
      <c r="G75" t="str">
        <f>_xlfn.XLOOKUP(E75,[1]Regions!$A$2:$A$31,[1]Regions!$C$2:$C$31)</f>
        <v>Karnataka</v>
      </c>
      <c r="H75" t="str">
        <f>_xlfn.XLOOKUP(E75,[1]Regions!$A$2:$A$31,[1]Regions!$D$2:$D$31)</f>
        <v>South</v>
      </c>
      <c r="I75">
        <v>16</v>
      </c>
      <c r="J75" t="str">
        <f>_xlfn.XLOOKUP(I75,[1]Dates!$A$2:$A$181,[1]Dates!$B$2:$B$181)</f>
        <v>2024-01-17</v>
      </c>
      <c r="K75">
        <f t="shared" si="3"/>
        <v>2024</v>
      </c>
      <c r="L75">
        <f t="shared" si="4"/>
        <v>1</v>
      </c>
      <c r="M75">
        <f t="shared" si="5"/>
        <v>17</v>
      </c>
      <c r="N75">
        <f>[1]Transactions!J75*[1]Transactions!K75</f>
        <v>106050</v>
      </c>
    </row>
    <row r="76" spans="1:14" x14ac:dyDescent="0.3">
      <c r="A76">
        <v>75</v>
      </c>
      <c r="B76" t="s">
        <v>90</v>
      </c>
      <c r="C76" t="s">
        <v>18</v>
      </c>
      <c r="D76">
        <v>35</v>
      </c>
      <c r="E76">
        <v>26</v>
      </c>
      <c r="F76" t="str">
        <f>_xlfn.XLOOKUP(E76,[1]Regions!$A$2:$A$31,[1]Regions!$B$2:$B$31)</f>
        <v>Jaipur</v>
      </c>
      <c r="G76" t="str">
        <f>_xlfn.XLOOKUP(E76,[1]Regions!$A$2:$A$31,[1]Regions!$C$2:$C$31)</f>
        <v>Rajasthan</v>
      </c>
      <c r="H76" t="str">
        <f>_xlfn.XLOOKUP(E76,[1]Regions!$A$2:$A$31,[1]Regions!$D$2:$D$31)</f>
        <v>North</v>
      </c>
      <c r="I76">
        <v>167</v>
      </c>
      <c r="J76" t="str">
        <f>_xlfn.XLOOKUP(I76,[1]Dates!$A$2:$A$181,[1]Dates!$B$2:$B$181)</f>
        <v>2024-06-16</v>
      </c>
      <c r="K76">
        <f t="shared" si="3"/>
        <v>2024</v>
      </c>
      <c r="L76">
        <f t="shared" si="4"/>
        <v>6</v>
      </c>
      <c r="M76">
        <f t="shared" si="5"/>
        <v>16</v>
      </c>
      <c r="N76">
        <f>[1]Transactions!J76*[1]Transactions!K76</f>
        <v>5240</v>
      </c>
    </row>
    <row r="77" spans="1:14" x14ac:dyDescent="0.3">
      <c r="A77">
        <v>76</v>
      </c>
      <c r="B77" t="s">
        <v>91</v>
      </c>
      <c r="C77" t="s">
        <v>18</v>
      </c>
      <c r="D77">
        <v>50</v>
      </c>
      <c r="E77">
        <v>29</v>
      </c>
      <c r="F77" t="str">
        <f>_xlfn.XLOOKUP(E77,[1]Regions!$A$2:$A$31,[1]Regions!$B$2:$B$31)</f>
        <v>Lucknow</v>
      </c>
      <c r="G77" t="str">
        <f>_xlfn.XLOOKUP(E77,[1]Regions!$A$2:$A$31,[1]Regions!$C$2:$C$31)</f>
        <v>UP</v>
      </c>
      <c r="H77" t="str">
        <f>_xlfn.XLOOKUP(E77,[1]Regions!$A$2:$A$31,[1]Regions!$D$2:$D$31)</f>
        <v>North</v>
      </c>
      <c r="I77">
        <v>176</v>
      </c>
      <c r="J77" t="str">
        <f>_xlfn.XLOOKUP(I77,[1]Dates!$A$2:$A$181,[1]Dates!$B$2:$B$181)</f>
        <v>2024-06-25</v>
      </c>
      <c r="K77">
        <f t="shared" si="3"/>
        <v>2024</v>
      </c>
      <c r="L77">
        <f t="shared" si="4"/>
        <v>6</v>
      </c>
      <c r="M77">
        <f t="shared" si="5"/>
        <v>25</v>
      </c>
      <c r="N77">
        <f>[1]Transactions!J77*[1]Transactions!K77</f>
        <v>719800</v>
      </c>
    </row>
    <row r="78" spans="1:14" x14ac:dyDescent="0.3">
      <c r="A78">
        <v>77</v>
      </c>
      <c r="B78" t="s">
        <v>92</v>
      </c>
      <c r="C78" t="s">
        <v>15</v>
      </c>
      <c r="D78">
        <v>25</v>
      </c>
      <c r="E78">
        <v>2</v>
      </c>
      <c r="F78" t="str">
        <f>_xlfn.XLOOKUP(E78,[1]Regions!$A$2:$A$31,[1]Regions!$B$2:$B$31)</f>
        <v>Mumbai</v>
      </c>
      <c r="G78" t="str">
        <f>_xlfn.XLOOKUP(E78,[1]Regions!$A$2:$A$31,[1]Regions!$C$2:$C$31)</f>
        <v>Maharashtra</v>
      </c>
      <c r="H78" t="str">
        <f>_xlfn.XLOOKUP(E78,[1]Regions!$A$2:$A$31,[1]Regions!$D$2:$D$31)</f>
        <v>West</v>
      </c>
      <c r="I78">
        <v>121</v>
      </c>
      <c r="J78" t="str">
        <f>_xlfn.XLOOKUP(I78,[1]Dates!$A$2:$A$181,[1]Dates!$B$2:$B$181)</f>
        <v>2024-05-01</v>
      </c>
      <c r="K78">
        <f t="shared" si="3"/>
        <v>2024</v>
      </c>
      <c r="L78">
        <f t="shared" si="4"/>
        <v>5</v>
      </c>
      <c r="M78">
        <f t="shared" si="5"/>
        <v>1</v>
      </c>
      <c r="N78">
        <f>[1]Transactions!J78*[1]Transactions!K78</f>
        <v>293544</v>
      </c>
    </row>
    <row r="79" spans="1:14" x14ac:dyDescent="0.3">
      <c r="A79">
        <v>78</v>
      </c>
      <c r="B79" t="s">
        <v>93</v>
      </c>
      <c r="C79" t="s">
        <v>15</v>
      </c>
      <c r="D79">
        <v>55</v>
      </c>
      <c r="E79">
        <v>16</v>
      </c>
      <c r="F79" t="str">
        <f>_xlfn.XLOOKUP(E79,[1]Regions!$A$2:$A$31,[1]Regions!$B$2:$B$31)</f>
        <v>Kolkata</v>
      </c>
      <c r="G79" t="str">
        <f>_xlfn.XLOOKUP(E79,[1]Regions!$A$2:$A$31,[1]Regions!$C$2:$C$31)</f>
        <v>West Bengal</v>
      </c>
      <c r="H79" t="str">
        <f>_xlfn.XLOOKUP(E79,[1]Regions!$A$2:$A$31,[1]Regions!$D$2:$D$31)</f>
        <v>East</v>
      </c>
      <c r="I79">
        <v>158</v>
      </c>
      <c r="J79" t="str">
        <f>_xlfn.XLOOKUP(I79,[1]Dates!$A$2:$A$181,[1]Dates!$B$2:$B$181)</f>
        <v>2024-06-07</v>
      </c>
      <c r="K79">
        <f t="shared" si="3"/>
        <v>2024</v>
      </c>
      <c r="L79">
        <f t="shared" si="4"/>
        <v>6</v>
      </c>
      <c r="M79">
        <f t="shared" si="5"/>
        <v>7</v>
      </c>
      <c r="N79">
        <f>[1]Transactions!J79*[1]Transactions!K79</f>
        <v>75036</v>
      </c>
    </row>
    <row r="80" spans="1:14" x14ac:dyDescent="0.3">
      <c r="A80">
        <v>79</v>
      </c>
      <c r="B80" t="s">
        <v>94</v>
      </c>
      <c r="C80" t="s">
        <v>18</v>
      </c>
      <c r="D80">
        <v>19</v>
      </c>
      <c r="E80">
        <v>22</v>
      </c>
      <c r="F80" t="str">
        <f>_xlfn.XLOOKUP(E80,[1]Regions!$A$2:$A$31,[1]Regions!$B$2:$B$31)</f>
        <v>Ahmedabad</v>
      </c>
      <c r="G80" t="str">
        <f>_xlfn.XLOOKUP(E80,[1]Regions!$A$2:$A$31,[1]Regions!$C$2:$C$31)</f>
        <v>Gujarat</v>
      </c>
      <c r="H80" t="str">
        <f>_xlfn.XLOOKUP(E80,[1]Regions!$A$2:$A$31,[1]Regions!$D$2:$D$31)</f>
        <v>West</v>
      </c>
      <c r="I80">
        <v>57</v>
      </c>
      <c r="J80" t="str">
        <f>_xlfn.XLOOKUP(I80,[1]Dates!$A$2:$A$181,[1]Dates!$B$2:$B$181)</f>
        <v>2024-02-27</v>
      </c>
      <c r="K80">
        <f t="shared" si="3"/>
        <v>2024</v>
      </c>
      <c r="L80">
        <f t="shared" si="4"/>
        <v>2</v>
      </c>
      <c r="M80">
        <f t="shared" si="5"/>
        <v>27</v>
      </c>
      <c r="N80">
        <f>[1]Transactions!J80*[1]Transactions!K80</f>
        <v>191840</v>
      </c>
    </row>
    <row r="81" spans="1:14" x14ac:dyDescent="0.3">
      <c r="A81">
        <v>80</v>
      </c>
      <c r="B81" t="s">
        <v>95</v>
      </c>
      <c r="C81" t="s">
        <v>18</v>
      </c>
      <c r="D81">
        <v>28</v>
      </c>
      <c r="E81">
        <v>4</v>
      </c>
      <c r="F81" t="str">
        <f>_xlfn.XLOOKUP(E81,[1]Regions!$A$2:$A$31,[1]Regions!$B$2:$B$31)</f>
        <v>Delhi</v>
      </c>
      <c r="G81" t="str">
        <f>_xlfn.XLOOKUP(E81,[1]Regions!$A$2:$A$31,[1]Regions!$C$2:$C$31)</f>
        <v>Delhi</v>
      </c>
      <c r="H81" t="str">
        <f>_xlfn.XLOOKUP(E81,[1]Regions!$A$2:$A$31,[1]Regions!$D$2:$D$31)</f>
        <v>North</v>
      </c>
      <c r="I81">
        <v>1</v>
      </c>
      <c r="J81" t="str">
        <f>_xlfn.XLOOKUP(I81,[1]Dates!$A$2:$A$181,[1]Dates!$B$2:$B$181)</f>
        <v>2024-01-02</v>
      </c>
      <c r="K81">
        <f t="shared" si="3"/>
        <v>2024</v>
      </c>
      <c r="L81">
        <f t="shared" si="4"/>
        <v>1</v>
      </c>
      <c r="M81">
        <f t="shared" si="5"/>
        <v>2</v>
      </c>
      <c r="N81">
        <f>[1]Transactions!J81*[1]Transactions!K81</f>
        <v>15552</v>
      </c>
    </row>
    <row r="82" spans="1:14" x14ac:dyDescent="0.3">
      <c r="A82">
        <v>81</v>
      </c>
      <c r="B82" t="s">
        <v>96</v>
      </c>
      <c r="C82" t="s">
        <v>15</v>
      </c>
      <c r="D82">
        <v>56</v>
      </c>
      <c r="E82">
        <v>18</v>
      </c>
      <c r="F82" t="str">
        <f>_xlfn.XLOOKUP(E82,[1]Regions!$A$2:$A$31,[1]Regions!$B$2:$B$31)</f>
        <v>Kolkata</v>
      </c>
      <c r="G82" t="str">
        <f>_xlfn.XLOOKUP(E82,[1]Regions!$A$2:$A$31,[1]Regions!$C$2:$C$31)</f>
        <v>West Bengal</v>
      </c>
      <c r="H82" t="str">
        <f>_xlfn.XLOOKUP(E82,[1]Regions!$A$2:$A$31,[1]Regions!$D$2:$D$31)</f>
        <v>East</v>
      </c>
      <c r="I82">
        <v>58</v>
      </c>
      <c r="J82" t="str">
        <f>_xlfn.XLOOKUP(I82,[1]Dates!$A$2:$A$181,[1]Dates!$B$2:$B$181)</f>
        <v>2024-02-28</v>
      </c>
      <c r="K82">
        <f t="shared" si="3"/>
        <v>2024</v>
      </c>
      <c r="L82">
        <f t="shared" si="4"/>
        <v>2</v>
      </c>
      <c r="M82">
        <f t="shared" si="5"/>
        <v>28</v>
      </c>
      <c r="N82">
        <f>[1]Transactions!J82*[1]Transactions!K82</f>
        <v>79120</v>
      </c>
    </row>
    <row r="83" spans="1:14" x14ac:dyDescent="0.3">
      <c r="A83">
        <v>82</v>
      </c>
      <c r="B83" t="s">
        <v>97</v>
      </c>
      <c r="C83" t="s">
        <v>15</v>
      </c>
      <c r="D83">
        <v>40</v>
      </c>
      <c r="E83">
        <v>12</v>
      </c>
      <c r="F83" t="str">
        <f>_xlfn.XLOOKUP(E83,[1]Regions!$A$2:$A$31,[1]Regions!$B$2:$B$31)</f>
        <v>Chennai</v>
      </c>
      <c r="G83" t="str">
        <f>_xlfn.XLOOKUP(E83,[1]Regions!$A$2:$A$31,[1]Regions!$C$2:$C$31)</f>
        <v>Tamil Nadu</v>
      </c>
      <c r="H83" t="str">
        <f>_xlfn.XLOOKUP(E83,[1]Regions!$A$2:$A$31,[1]Regions!$D$2:$D$31)</f>
        <v>South</v>
      </c>
      <c r="I83">
        <v>91</v>
      </c>
      <c r="J83" t="str">
        <f>_xlfn.XLOOKUP(I83,[1]Dates!$A$2:$A$181,[1]Dates!$B$2:$B$181)</f>
        <v>2024-04-01</v>
      </c>
      <c r="K83">
        <f t="shared" si="3"/>
        <v>2024</v>
      </c>
      <c r="L83">
        <f t="shared" si="4"/>
        <v>4</v>
      </c>
      <c r="M83">
        <f t="shared" si="5"/>
        <v>1</v>
      </c>
      <c r="N83">
        <f>[1]Transactions!J83*[1]Transactions!K83</f>
        <v>105780</v>
      </c>
    </row>
    <row r="84" spans="1:14" x14ac:dyDescent="0.3">
      <c r="A84">
        <v>83</v>
      </c>
      <c r="B84" t="s">
        <v>98</v>
      </c>
      <c r="C84" t="s">
        <v>15</v>
      </c>
      <c r="D84">
        <v>48</v>
      </c>
      <c r="E84">
        <v>1</v>
      </c>
      <c r="F84" t="str">
        <f>_xlfn.XLOOKUP(E84,[1]Regions!$A$2:$A$31,[1]Regions!$B$2:$B$31)</f>
        <v>Mumbai</v>
      </c>
      <c r="G84" t="str">
        <f>_xlfn.XLOOKUP(E84,[1]Regions!$A$2:$A$31,[1]Regions!$C$2:$C$31)</f>
        <v>Maharashtra</v>
      </c>
      <c r="H84" t="str">
        <f>_xlfn.XLOOKUP(E84,[1]Regions!$A$2:$A$31,[1]Regions!$D$2:$D$31)</f>
        <v>West</v>
      </c>
      <c r="I84">
        <v>54</v>
      </c>
      <c r="J84" t="str">
        <f>_xlfn.XLOOKUP(I84,[1]Dates!$A$2:$A$181,[1]Dates!$B$2:$B$181)</f>
        <v>2024-02-24</v>
      </c>
      <c r="K84">
        <f t="shared" si="3"/>
        <v>2024</v>
      </c>
      <c r="L84">
        <f t="shared" si="4"/>
        <v>2</v>
      </c>
      <c r="M84">
        <f t="shared" si="5"/>
        <v>24</v>
      </c>
      <c r="N84">
        <f>[1]Transactions!J84*[1]Transactions!K84</f>
        <v>5008</v>
      </c>
    </row>
    <row r="85" spans="1:14" x14ac:dyDescent="0.3">
      <c r="A85">
        <v>84</v>
      </c>
      <c r="B85" t="s">
        <v>99</v>
      </c>
      <c r="C85" t="s">
        <v>15</v>
      </c>
      <c r="D85">
        <v>33</v>
      </c>
      <c r="E85">
        <v>21</v>
      </c>
      <c r="F85" t="str">
        <f>_xlfn.XLOOKUP(E85,[1]Regions!$A$2:$A$31,[1]Regions!$B$2:$B$31)</f>
        <v>Pune</v>
      </c>
      <c r="G85" t="str">
        <f>_xlfn.XLOOKUP(E85,[1]Regions!$A$2:$A$31,[1]Regions!$C$2:$C$31)</f>
        <v>Maharashtra</v>
      </c>
      <c r="H85" t="str">
        <f>_xlfn.XLOOKUP(E85,[1]Regions!$A$2:$A$31,[1]Regions!$D$2:$D$31)</f>
        <v>West</v>
      </c>
      <c r="I85">
        <v>168</v>
      </c>
      <c r="J85" t="str">
        <f>_xlfn.XLOOKUP(I85,[1]Dates!$A$2:$A$181,[1]Dates!$B$2:$B$181)</f>
        <v>2024-06-17</v>
      </c>
      <c r="K85">
        <f t="shared" si="3"/>
        <v>2024</v>
      </c>
      <c r="L85">
        <f t="shared" si="4"/>
        <v>6</v>
      </c>
      <c r="M85">
        <f t="shared" si="5"/>
        <v>17</v>
      </c>
      <c r="N85">
        <f>[1]Transactions!J85*[1]Transactions!K85</f>
        <v>30324</v>
      </c>
    </row>
    <row r="86" spans="1:14" x14ac:dyDescent="0.3">
      <c r="A86">
        <v>85</v>
      </c>
      <c r="B86" t="s">
        <v>100</v>
      </c>
      <c r="C86" t="s">
        <v>18</v>
      </c>
      <c r="D86">
        <v>19</v>
      </c>
      <c r="E86">
        <v>30</v>
      </c>
      <c r="F86" t="str">
        <f>_xlfn.XLOOKUP(E86,[1]Regions!$A$2:$A$31,[1]Regions!$B$2:$B$31)</f>
        <v>Lucknow</v>
      </c>
      <c r="G86" t="str">
        <f>_xlfn.XLOOKUP(E86,[1]Regions!$A$2:$A$31,[1]Regions!$C$2:$C$31)</f>
        <v>UP</v>
      </c>
      <c r="H86" t="str">
        <f>_xlfn.XLOOKUP(E86,[1]Regions!$A$2:$A$31,[1]Regions!$D$2:$D$31)</f>
        <v>North</v>
      </c>
      <c r="I86">
        <v>179</v>
      </c>
      <c r="J86" t="str">
        <f>_xlfn.XLOOKUP(I86,[1]Dates!$A$2:$A$181,[1]Dates!$B$2:$B$181)</f>
        <v>2024-06-28</v>
      </c>
      <c r="K86">
        <f t="shared" si="3"/>
        <v>2024</v>
      </c>
      <c r="L86">
        <f t="shared" si="4"/>
        <v>6</v>
      </c>
      <c r="M86">
        <f t="shared" si="5"/>
        <v>28</v>
      </c>
      <c r="N86">
        <f>[1]Transactions!J86*[1]Transactions!K86</f>
        <v>86765</v>
      </c>
    </row>
    <row r="87" spans="1:14" x14ac:dyDescent="0.3">
      <c r="A87">
        <v>86</v>
      </c>
      <c r="B87" t="s">
        <v>101</v>
      </c>
      <c r="C87" t="s">
        <v>15</v>
      </c>
      <c r="D87">
        <v>50</v>
      </c>
      <c r="E87">
        <v>27</v>
      </c>
      <c r="F87" t="str">
        <f>_xlfn.XLOOKUP(E87,[1]Regions!$A$2:$A$31,[1]Regions!$B$2:$B$31)</f>
        <v>Jaipur</v>
      </c>
      <c r="G87" t="str">
        <f>_xlfn.XLOOKUP(E87,[1]Regions!$A$2:$A$31,[1]Regions!$C$2:$C$31)</f>
        <v>Rajasthan</v>
      </c>
      <c r="H87" t="str">
        <f>_xlfn.XLOOKUP(E87,[1]Regions!$A$2:$A$31,[1]Regions!$D$2:$D$31)</f>
        <v>North</v>
      </c>
      <c r="I87">
        <v>126</v>
      </c>
      <c r="J87" t="str">
        <f>_xlfn.XLOOKUP(I87,[1]Dates!$A$2:$A$181,[1]Dates!$B$2:$B$181)</f>
        <v>2024-05-06</v>
      </c>
      <c r="K87">
        <f t="shared" si="3"/>
        <v>2024</v>
      </c>
      <c r="L87">
        <f t="shared" si="4"/>
        <v>5</v>
      </c>
      <c r="M87">
        <f t="shared" si="5"/>
        <v>6</v>
      </c>
      <c r="N87">
        <f>[1]Transactions!J87*[1]Transactions!K87</f>
        <v>36630</v>
      </c>
    </row>
    <row r="88" spans="1:14" x14ac:dyDescent="0.3">
      <c r="A88">
        <v>87</v>
      </c>
      <c r="B88" t="s">
        <v>102</v>
      </c>
      <c r="C88" t="s">
        <v>15</v>
      </c>
      <c r="D88">
        <v>34</v>
      </c>
      <c r="E88">
        <v>14</v>
      </c>
      <c r="F88" t="str">
        <f>_xlfn.XLOOKUP(E88,[1]Regions!$A$2:$A$31,[1]Regions!$B$2:$B$31)</f>
        <v>Hyderabad</v>
      </c>
      <c r="G88" t="str">
        <f>_xlfn.XLOOKUP(E88,[1]Regions!$A$2:$A$31,[1]Regions!$C$2:$C$31)</f>
        <v>Telangana</v>
      </c>
      <c r="H88" t="str">
        <f>_xlfn.XLOOKUP(E88,[1]Regions!$A$2:$A$31,[1]Regions!$D$2:$D$31)</f>
        <v>South</v>
      </c>
      <c r="I88">
        <v>102</v>
      </c>
      <c r="J88" t="str">
        <f>_xlfn.XLOOKUP(I88,[1]Dates!$A$2:$A$181,[1]Dates!$B$2:$B$181)</f>
        <v>2024-04-12</v>
      </c>
      <c r="K88">
        <f t="shared" si="3"/>
        <v>2024</v>
      </c>
      <c r="L88">
        <f t="shared" si="4"/>
        <v>4</v>
      </c>
      <c r="M88">
        <f t="shared" si="5"/>
        <v>12</v>
      </c>
      <c r="N88">
        <f>[1]Transactions!J88*[1]Transactions!K88</f>
        <v>46116</v>
      </c>
    </row>
    <row r="89" spans="1:14" x14ac:dyDescent="0.3">
      <c r="A89">
        <v>88</v>
      </c>
      <c r="B89" t="s">
        <v>103</v>
      </c>
      <c r="C89" t="s">
        <v>15</v>
      </c>
      <c r="D89">
        <v>36</v>
      </c>
      <c r="E89">
        <v>16</v>
      </c>
      <c r="F89" t="str">
        <f>_xlfn.XLOOKUP(E89,[1]Regions!$A$2:$A$31,[1]Regions!$B$2:$B$31)</f>
        <v>Kolkata</v>
      </c>
      <c r="G89" t="str">
        <f>_xlfn.XLOOKUP(E89,[1]Regions!$A$2:$A$31,[1]Regions!$C$2:$C$31)</f>
        <v>West Bengal</v>
      </c>
      <c r="H89" t="str">
        <f>_xlfn.XLOOKUP(E89,[1]Regions!$A$2:$A$31,[1]Regions!$D$2:$D$31)</f>
        <v>East</v>
      </c>
      <c r="I89">
        <v>66</v>
      </c>
      <c r="J89" t="str">
        <f>_xlfn.XLOOKUP(I89,[1]Dates!$A$2:$A$181,[1]Dates!$B$2:$B$181)</f>
        <v>2024-03-07</v>
      </c>
      <c r="K89">
        <f t="shared" si="3"/>
        <v>2024</v>
      </c>
      <c r="L89">
        <f t="shared" si="4"/>
        <v>3</v>
      </c>
      <c r="M89">
        <f t="shared" si="5"/>
        <v>7</v>
      </c>
      <c r="N89">
        <f>[1]Transactions!J89*[1]Transactions!K89</f>
        <v>17802</v>
      </c>
    </row>
    <row r="90" spans="1:14" x14ac:dyDescent="0.3">
      <c r="A90">
        <v>89</v>
      </c>
      <c r="B90" t="s">
        <v>104</v>
      </c>
      <c r="C90" t="s">
        <v>18</v>
      </c>
      <c r="D90">
        <v>44</v>
      </c>
      <c r="E90">
        <v>10</v>
      </c>
      <c r="F90" t="str">
        <f>_xlfn.XLOOKUP(E90,[1]Regions!$A$2:$A$31,[1]Regions!$B$2:$B$31)</f>
        <v>Chennai</v>
      </c>
      <c r="G90" t="str">
        <f>_xlfn.XLOOKUP(E90,[1]Regions!$A$2:$A$31,[1]Regions!$C$2:$C$31)</f>
        <v>Tamil Nadu</v>
      </c>
      <c r="H90" t="str">
        <f>_xlfn.XLOOKUP(E90,[1]Regions!$A$2:$A$31,[1]Regions!$D$2:$D$31)</f>
        <v>South</v>
      </c>
      <c r="I90">
        <v>61</v>
      </c>
      <c r="J90" t="str">
        <f>_xlfn.XLOOKUP(I90,[1]Dates!$A$2:$A$181,[1]Dates!$B$2:$B$181)</f>
        <v>2024-03-02</v>
      </c>
      <c r="K90">
        <f t="shared" si="3"/>
        <v>2024</v>
      </c>
      <c r="L90">
        <f t="shared" si="4"/>
        <v>3</v>
      </c>
      <c r="M90">
        <f t="shared" si="5"/>
        <v>2</v>
      </c>
      <c r="N90">
        <f>[1]Transactions!J90*[1]Transactions!K90</f>
        <v>26928</v>
      </c>
    </row>
    <row r="91" spans="1:14" x14ac:dyDescent="0.3">
      <c r="A91">
        <v>90</v>
      </c>
      <c r="B91" t="s">
        <v>105</v>
      </c>
      <c r="C91" t="s">
        <v>18</v>
      </c>
      <c r="D91">
        <v>20</v>
      </c>
      <c r="E91">
        <v>18</v>
      </c>
      <c r="F91" t="str">
        <f>_xlfn.XLOOKUP(E91,[1]Regions!$A$2:$A$31,[1]Regions!$B$2:$B$31)</f>
        <v>Kolkata</v>
      </c>
      <c r="G91" t="str">
        <f>_xlfn.XLOOKUP(E91,[1]Regions!$A$2:$A$31,[1]Regions!$C$2:$C$31)</f>
        <v>West Bengal</v>
      </c>
      <c r="H91" t="str">
        <f>_xlfn.XLOOKUP(E91,[1]Regions!$A$2:$A$31,[1]Regions!$D$2:$D$31)</f>
        <v>East</v>
      </c>
      <c r="I91">
        <v>106</v>
      </c>
      <c r="J91" t="str">
        <f>_xlfn.XLOOKUP(I91,[1]Dates!$A$2:$A$181,[1]Dates!$B$2:$B$181)</f>
        <v>2024-04-16</v>
      </c>
      <c r="K91">
        <f t="shared" si="3"/>
        <v>2024</v>
      </c>
      <c r="L91">
        <f t="shared" si="4"/>
        <v>4</v>
      </c>
      <c r="M91">
        <f t="shared" si="5"/>
        <v>16</v>
      </c>
      <c r="N91">
        <f>[1]Transactions!J91*[1]Transactions!K91</f>
        <v>12512</v>
      </c>
    </row>
    <row r="92" spans="1:14" x14ac:dyDescent="0.3">
      <c r="A92">
        <v>91</v>
      </c>
      <c r="B92" t="s">
        <v>106</v>
      </c>
      <c r="C92" t="s">
        <v>18</v>
      </c>
      <c r="D92">
        <v>60</v>
      </c>
      <c r="E92">
        <v>2</v>
      </c>
      <c r="F92" t="str">
        <f>_xlfn.XLOOKUP(E92,[1]Regions!$A$2:$A$31,[1]Regions!$B$2:$B$31)</f>
        <v>Mumbai</v>
      </c>
      <c r="G92" t="str">
        <f>_xlfn.XLOOKUP(E92,[1]Regions!$A$2:$A$31,[1]Regions!$C$2:$C$31)</f>
        <v>Maharashtra</v>
      </c>
      <c r="H92" t="str">
        <f>_xlfn.XLOOKUP(E92,[1]Regions!$A$2:$A$31,[1]Regions!$D$2:$D$31)</f>
        <v>West</v>
      </c>
      <c r="I92">
        <v>21</v>
      </c>
      <c r="J92" t="str">
        <f>_xlfn.XLOOKUP(I92,[1]Dates!$A$2:$A$181,[1]Dates!$B$2:$B$181)</f>
        <v>2024-01-22</v>
      </c>
      <c r="K92">
        <f t="shared" si="3"/>
        <v>2024</v>
      </c>
      <c r="L92">
        <f t="shared" si="4"/>
        <v>1</v>
      </c>
      <c r="M92">
        <f t="shared" si="5"/>
        <v>22</v>
      </c>
      <c r="N92">
        <f>[1]Transactions!J92*[1]Transactions!K92</f>
        <v>152220</v>
      </c>
    </row>
    <row r="93" spans="1:14" x14ac:dyDescent="0.3">
      <c r="A93">
        <v>92</v>
      </c>
      <c r="B93" t="s">
        <v>107</v>
      </c>
      <c r="C93" t="s">
        <v>15</v>
      </c>
      <c r="D93">
        <v>47</v>
      </c>
      <c r="E93">
        <v>2</v>
      </c>
      <c r="F93" t="str">
        <f>_xlfn.XLOOKUP(E93,[1]Regions!$A$2:$A$31,[1]Regions!$B$2:$B$31)</f>
        <v>Mumbai</v>
      </c>
      <c r="G93" t="str">
        <f>_xlfn.XLOOKUP(E93,[1]Regions!$A$2:$A$31,[1]Regions!$C$2:$C$31)</f>
        <v>Maharashtra</v>
      </c>
      <c r="H93" t="str">
        <f>_xlfn.XLOOKUP(E93,[1]Regions!$A$2:$A$31,[1]Regions!$D$2:$D$31)</f>
        <v>West</v>
      </c>
      <c r="I93">
        <v>110</v>
      </c>
      <c r="J93" t="str">
        <f>_xlfn.XLOOKUP(I93,[1]Dates!$A$2:$A$181,[1]Dates!$B$2:$B$181)</f>
        <v>2024-04-20</v>
      </c>
      <c r="K93">
        <f t="shared" si="3"/>
        <v>2024</v>
      </c>
      <c r="L93">
        <f t="shared" si="4"/>
        <v>4</v>
      </c>
      <c r="M93">
        <f t="shared" si="5"/>
        <v>20</v>
      </c>
      <c r="N93">
        <f>[1]Transactions!J93*[1]Transactions!K93</f>
        <v>190120</v>
      </c>
    </row>
    <row r="94" spans="1:14" x14ac:dyDescent="0.3">
      <c r="A94">
        <v>93</v>
      </c>
      <c r="B94" t="s">
        <v>108</v>
      </c>
      <c r="C94" t="s">
        <v>15</v>
      </c>
      <c r="D94">
        <v>39</v>
      </c>
      <c r="E94">
        <v>4</v>
      </c>
      <c r="F94" t="str">
        <f>_xlfn.XLOOKUP(E94,[1]Regions!$A$2:$A$31,[1]Regions!$B$2:$B$31)</f>
        <v>Delhi</v>
      </c>
      <c r="G94" t="str">
        <f>_xlfn.XLOOKUP(E94,[1]Regions!$A$2:$A$31,[1]Regions!$C$2:$C$31)</f>
        <v>Delhi</v>
      </c>
      <c r="H94" t="str">
        <f>_xlfn.XLOOKUP(E94,[1]Regions!$A$2:$A$31,[1]Regions!$D$2:$D$31)</f>
        <v>North</v>
      </c>
      <c r="I94">
        <v>170</v>
      </c>
      <c r="J94" t="str">
        <f>_xlfn.XLOOKUP(I94,[1]Dates!$A$2:$A$181,[1]Dates!$B$2:$B$181)</f>
        <v>2024-06-19</v>
      </c>
      <c r="K94">
        <f t="shared" si="3"/>
        <v>2024</v>
      </c>
      <c r="L94">
        <f t="shared" si="4"/>
        <v>6</v>
      </c>
      <c r="M94">
        <f t="shared" si="5"/>
        <v>19</v>
      </c>
      <c r="N94">
        <f>[1]Transactions!J94*[1]Transactions!K94</f>
        <v>7525</v>
      </c>
    </row>
    <row r="95" spans="1:14" x14ac:dyDescent="0.3">
      <c r="A95">
        <v>94</v>
      </c>
      <c r="B95" t="s">
        <v>109</v>
      </c>
      <c r="C95" t="s">
        <v>15</v>
      </c>
      <c r="D95">
        <v>45</v>
      </c>
      <c r="E95">
        <v>28</v>
      </c>
      <c r="F95" t="str">
        <f>_xlfn.XLOOKUP(E95,[1]Regions!$A$2:$A$31,[1]Regions!$B$2:$B$31)</f>
        <v>Lucknow</v>
      </c>
      <c r="G95" t="str">
        <f>_xlfn.XLOOKUP(E95,[1]Regions!$A$2:$A$31,[1]Regions!$C$2:$C$31)</f>
        <v>UP</v>
      </c>
      <c r="H95" t="str">
        <f>_xlfn.XLOOKUP(E95,[1]Regions!$A$2:$A$31,[1]Regions!$D$2:$D$31)</f>
        <v>North</v>
      </c>
      <c r="I95">
        <v>45</v>
      </c>
      <c r="J95" t="str">
        <f>_xlfn.XLOOKUP(I95,[1]Dates!$A$2:$A$181,[1]Dates!$B$2:$B$181)</f>
        <v>2024-02-15</v>
      </c>
      <c r="K95">
        <f t="shared" si="3"/>
        <v>2024</v>
      </c>
      <c r="L95">
        <f t="shared" si="4"/>
        <v>2</v>
      </c>
      <c r="M95">
        <f t="shared" si="5"/>
        <v>15</v>
      </c>
      <c r="N95">
        <f>[1]Transactions!J95*[1]Transactions!K95</f>
        <v>3224</v>
      </c>
    </row>
    <row r="96" spans="1:14" x14ac:dyDescent="0.3">
      <c r="A96">
        <v>95</v>
      </c>
      <c r="B96" t="s">
        <v>110</v>
      </c>
      <c r="C96" t="s">
        <v>15</v>
      </c>
      <c r="D96">
        <v>41</v>
      </c>
      <c r="E96">
        <v>23</v>
      </c>
      <c r="F96" t="str">
        <f>_xlfn.XLOOKUP(E96,[1]Regions!$A$2:$A$31,[1]Regions!$B$2:$B$31)</f>
        <v>Ahmedabad</v>
      </c>
      <c r="G96" t="str">
        <f>_xlfn.XLOOKUP(E96,[1]Regions!$A$2:$A$31,[1]Regions!$C$2:$C$31)</f>
        <v>Gujarat</v>
      </c>
      <c r="H96" t="str">
        <f>_xlfn.XLOOKUP(E96,[1]Regions!$A$2:$A$31,[1]Regions!$D$2:$D$31)</f>
        <v>West</v>
      </c>
      <c r="I96">
        <v>171</v>
      </c>
      <c r="J96" t="str">
        <f>_xlfn.XLOOKUP(I96,[1]Dates!$A$2:$A$181,[1]Dates!$B$2:$B$181)</f>
        <v>2024-06-20</v>
      </c>
      <c r="K96">
        <f t="shared" si="3"/>
        <v>2024</v>
      </c>
      <c r="L96">
        <f t="shared" si="4"/>
        <v>6</v>
      </c>
      <c r="M96">
        <f t="shared" si="5"/>
        <v>20</v>
      </c>
      <c r="N96">
        <f>[1]Transactions!J96*[1]Transactions!K96</f>
        <v>24300</v>
      </c>
    </row>
    <row r="97" spans="1:14" x14ac:dyDescent="0.3">
      <c r="A97">
        <v>96</v>
      </c>
      <c r="B97" t="s">
        <v>111</v>
      </c>
      <c r="C97" t="s">
        <v>18</v>
      </c>
      <c r="D97">
        <v>33</v>
      </c>
      <c r="E97">
        <v>21</v>
      </c>
      <c r="F97" t="str">
        <f>_xlfn.XLOOKUP(E97,[1]Regions!$A$2:$A$31,[1]Regions!$B$2:$B$31)</f>
        <v>Pune</v>
      </c>
      <c r="G97" t="str">
        <f>_xlfn.XLOOKUP(E97,[1]Regions!$A$2:$A$31,[1]Regions!$C$2:$C$31)</f>
        <v>Maharashtra</v>
      </c>
      <c r="H97" t="str">
        <f>_xlfn.XLOOKUP(E97,[1]Regions!$A$2:$A$31,[1]Regions!$D$2:$D$31)</f>
        <v>West</v>
      </c>
      <c r="I97">
        <v>162</v>
      </c>
      <c r="J97" t="str">
        <f>_xlfn.XLOOKUP(I97,[1]Dates!$A$2:$A$181,[1]Dates!$B$2:$B$181)</f>
        <v>2024-06-11</v>
      </c>
      <c r="K97">
        <f t="shared" si="3"/>
        <v>2024</v>
      </c>
      <c r="L97">
        <f t="shared" si="4"/>
        <v>6</v>
      </c>
      <c r="M97">
        <f t="shared" si="5"/>
        <v>11</v>
      </c>
      <c r="N97">
        <f>[1]Transactions!J97*[1]Transactions!K97</f>
        <v>22900</v>
      </c>
    </row>
    <row r="98" spans="1:14" x14ac:dyDescent="0.3">
      <c r="A98">
        <v>97</v>
      </c>
      <c r="B98" t="s">
        <v>112</v>
      </c>
      <c r="C98" t="s">
        <v>18</v>
      </c>
      <c r="D98">
        <v>19</v>
      </c>
      <c r="E98">
        <v>17</v>
      </c>
      <c r="F98" t="str">
        <f>_xlfn.XLOOKUP(E98,[1]Regions!$A$2:$A$31,[1]Regions!$B$2:$B$31)</f>
        <v>Kolkata</v>
      </c>
      <c r="G98" t="str">
        <f>_xlfn.XLOOKUP(E98,[1]Regions!$A$2:$A$31,[1]Regions!$C$2:$C$31)</f>
        <v>West Bengal</v>
      </c>
      <c r="H98" t="str">
        <f>_xlfn.XLOOKUP(E98,[1]Regions!$A$2:$A$31,[1]Regions!$D$2:$D$31)</f>
        <v>East</v>
      </c>
      <c r="I98">
        <v>58</v>
      </c>
      <c r="J98" t="str">
        <f>_xlfn.XLOOKUP(I98,[1]Dates!$A$2:$A$181,[1]Dates!$B$2:$B$181)</f>
        <v>2024-02-28</v>
      </c>
      <c r="K98">
        <f t="shared" si="3"/>
        <v>2024</v>
      </c>
      <c r="L98">
        <f t="shared" si="4"/>
        <v>2</v>
      </c>
      <c r="M98">
        <f t="shared" si="5"/>
        <v>28</v>
      </c>
      <c r="N98">
        <f>[1]Transactions!J98*[1]Transactions!K98</f>
        <v>253428</v>
      </c>
    </row>
    <row r="99" spans="1:14" x14ac:dyDescent="0.3">
      <c r="A99">
        <v>98</v>
      </c>
      <c r="B99" t="s">
        <v>113</v>
      </c>
      <c r="C99" t="s">
        <v>18</v>
      </c>
      <c r="D99">
        <v>33</v>
      </c>
      <c r="E99">
        <v>24</v>
      </c>
      <c r="F99" t="str">
        <f>_xlfn.XLOOKUP(E99,[1]Regions!$A$2:$A$31,[1]Regions!$B$2:$B$31)</f>
        <v>Ahmedabad</v>
      </c>
      <c r="G99" t="str">
        <f>_xlfn.XLOOKUP(E99,[1]Regions!$A$2:$A$31,[1]Regions!$C$2:$C$31)</f>
        <v>Gujarat</v>
      </c>
      <c r="H99" t="str">
        <f>_xlfn.XLOOKUP(E99,[1]Regions!$A$2:$A$31,[1]Regions!$D$2:$D$31)</f>
        <v>West</v>
      </c>
      <c r="I99">
        <v>80</v>
      </c>
      <c r="J99" t="str">
        <f>_xlfn.XLOOKUP(I99,[1]Dates!$A$2:$A$181,[1]Dates!$B$2:$B$181)</f>
        <v>2024-03-21</v>
      </c>
      <c r="K99">
        <f t="shared" si="3"/>
        <v>2024</v>
      </c>
      <c r="L99">
        <f t="shared" si="4"/>
        <v>3</v>
      </c>
      <c r="M99">
        <f t="shared" si="5"/>
        <v>21</v>
      </c>
      <c r="N99">
        <f>[1]Transactions!J99*[1]Transactions!K99</f>
        <v>251425</v>
      </c>
    </row>
    <row r="100" spans="1:14" x14ac:dyDescent="0.3">
      <c r="A100">
        <v>99</v>
      </c>
      <c r="B100" t="s">
        <v>114</v>
      </c>
      <c r="C100" t="s">
        <v>18</v>
      </c>
      <c r="D100">
        <v>49</v>
      </c>
      <c r="E100">
        <v>9</v>
      </c>
      <c r="F100" t="str">
        <f>_xlfn.XLOOKUP(E100,[1]Regions!$A$2:$A$31,[1]Regions!$B$2:$B$31)</f>
        <v>Bangalore</v>
      </c>
      <c r="G100" t="str">
        <f>_xlfn.XLOOKUP(E100,[1]Regions!$A$2:$A$31,[1]Regions!$C$2:$C$31)</f>
        <v>Karnataka</v>
      </c>
      <c r="H100" t="str">
        <f>_xlfn.XLOOKUP(E100,[1]Regions!$A$2:$A$31,[1]Regions!$D$2:$D$31)</f>
        <v>South</v>
      </c>
      <c r="I100">
        <v>132</v>
      </c>
      <c r="J100" t="str">
        <f>_xlfn.XLOOKUP(I100,[1]Dates!$A$2:$A$181,[1]Dates!$B$2:$B$181)</f>
        <v>2024-05-12</v>
      </c>
      <c r="K100">
        <f t="shared" si="3"/>
        <v>2024</v>
      </c>
      <c r="L100">
        <f t="shared" si="4"/>
        <v>5</v>
      </c>
      <c r="M100">
        <f t="shared" si="5"/>
        <v>12</v>
      </c>
      <c r="N100">
        <f>[1]Transactions!J100*[1]Transactions!K100</f>
        <v>62034</v>
      </c>
    </row>
    <row r="101" spans="1:14" x14ac:dyDescent="0.3">
      <c r="A101">
        <v>100</v>
      </c>
      <c r="B101" t="s">
        <v>115</v>
      </c>
      <c r="C101" t="s">
        <v>18</v>
      </c>
      <c r="D101">
        <v>46</v>
      </c>
      <c r="E101">
        <v>5</v>
      </c>
      <c r="F101" t="str">
        <f>_xlfn.XLOOKUP(E101,[1]Regions!$A$2:$A$31,[1]Regions!$B$2:$B$31)</f>
        <v>Delhi</v>
      </c>
      <c r="G101" t="str">
        <f>_xlfn.XLOOKUP(E101,[1]Regions!$A$2:$A$31,[1]Regions!$C$2:$C$31)</f>
        <v>Delhi</v>
      </c>
      <c r="H101" t="str">
        <f>_xlfn.XLOOKUP(E101,[1]Regions!$A$2:$A$31,[1]Regions!$D$2:$D$31)</f>
        <v>North</v>
      </c>
      <c r="I101">
        <v>120</v>
      </c>
      <c r="J101" t="str">
        <f>_xlfn.XLOOKUP(I101,[1]Dates!$A$2:$A$181,[1]Dates!$B$2:$B$181)</f>
        <v>2024-04-30</v>
      </c>
      <c r="K101">
        <f t="shared" si="3"/>
        <v>2024</v>
      </c>
      <c r="L101">
        <f t="shared" si="4"/>
        <v>4</v>
      </c>
      <c r="M101">
        <f t="shared" si="5"/>
        <v>30</v>
      </c>
      <c r="N101">
        <f>[1]Transactions!J101*[1]Transactions!K101</f>
        <v>137200</v>
      </c>
    </row>
    <row r="102" spans="1:14" x14ac:dyDescent="0.3">
      <c r="A102">
        <v>101</v>
      </c>
      <c r="B102" t="s">
        <v>116</v>
      </c>
      <c r="C102" t="s">
        <v>15</v>
      </c>
      <c r="D102">
        <v>53</v>
      </c>
      <c r="E102">
        <v>20</v>
      </c>
      <c r="F102" t="str">
        <f>_xlfn.XLOOKUP(E102,[1]Regions!$A$2:$A$31,[1]Regions!$B$2:$B$31)</f>
        <v>Pune</v>
      </c>
      <c r="G102" t="str">
        <f>_xlfn.XLOOKUP(E102,[1]Regions!$A$2:$A$31,[1]Regions!$C$2:$C$31)</f>
        <v>Maharashtra</v>
      </c>
      <c r="H102" t="str">
        <f>_xlfn.XLOOKUP(E102,[1]Regions!$A$2:$A$31,[1]Regions!$D$2:$D$31)</f>
        <v>West</v>
      </c>
      <c r="I102">
        <v>136</v>
      </c>
      <c r="J102" t="str">
        <f>_xlfn.XLOOKUP(I102,[1]Dates!$A$2:$A$181,[1]Dates!$B$2:$B$181)</f>
        <v>2024-05-16</v>
      </c>
      <c r="K102">
        <f t="shared" si="3"/>
        <v>2024</v>
      </c>
      <c r="L102">
        <f t="shared" si="4"/>
        <v>5</v>
      </c>
      <c r="M102">
        <f t="shared" si="5"/>
        <v>16</v>
      </c>
      <c r="N102">
        <f>[1]Transactions!J102*[1]Transactions!K102</f>
        <v>215525</v>
      </c>
    </row>
    <row r="103" spans="1:14" x14ac:dyDescent="0.3">
      <c r="A103">
        <v>102</v>
      </c>
      <c r="B103" t="s">
        <v>117</v>
      </c>
      <c r="C103" t="s">
        <v>15</v>
      </c>
      <c r="D103">
        <v>50</v>
      </c>
      <c r="E103">
        <v>11</v>
      </c>
      <c r="F103" t="str">
        <f>_xlfn.XLOOKUP(E103,[1]Regions!$A$2:$A$31,[1]Regions!$B$2:$B$31)</f>
        <v>Chennai</v>
      </c>
      <c r="G103" t="str">
        <f>_xlfn.XLOOKUP(E103,[1]Regions!$A$2:$A$31,[1]Regions!$C$2:$C$31)</f>
        <v>Tamil Nadu</v>
      </c>
      <c r="H103" t="str">
        <f>_xlfn.XLOOKUP(E103,[1]Regions!$A$2:$A$31,[1]Regions!$D$2:$D$31)</f>
        <v>South</v>
      </c>
      <c r="I103">
        <v>26</v>
      </c>
      <c r="J103" t="str">
        <f>_xlfn.XLOOKUP(I103,[1]Dates!$A$2:$A$181,[1]Dates!$B$2:$B$181)</f>
        <v>2024-01-27</v>
      </c>
      <c r="K103">
        <f t="shared" si="3"/>
        <v>2024</v>
      </c>
      <c r="L103">
        <f t="shared" si="4"/>
        <v>1</v>
      </c>
      <c r="M103">
        <f t="shared" si="5"/>
        <v>27</v>
      </c>
      <c r="N103">
        <f>[1]Transactions!J103*[1]Transactions!K103</f>
        <v>135975</v>
      </c>
    </row>
    <row r="104" spans="1:14" x14ac:dyDescent="0.3">
      <c r="A104">
        <v>103</v>
      </c>
      <c r="B104" t="s">
        <v>118</v>
      </c>
      <c r="C104" t="s">
        <v>15</v>
      </c>
      <c r="D104">
        <v>51</v>
      </c>
      <c r="E104">
        <v>9</v>
      </c>
      <c r="F104" t="str">
        <f>_xlfn.XLOOKUP(E104,[1]Regions!$A$2:$A$31,[1]Regions!$B$2:$B$31)</f>
        <v>Bangalore</v>
      </c>
      <c r="G104" t="str">
        <f>_xlfn.XLOOKUP(E104,[1]Regions!$A$2:$A$31,[1]Regions!$C$2:$C$31)</f>
        <v>Karnataka</v>
      </c>
      <c r="H104" t="str">
        <f>_xlfn.XLOOKUP(E104,[1]Regions!$A$2:$A$31,[1]Regions!$D$2:$D$31)</f>
        <v>South</v>
      </c>
      <c r="I104">
        <v>48</v>
      </c>
      <c r="J104" t="str">
        <f>_xlfn.XLOOKUP(I104,[1]Dates!$A$2:$A$181,[1]Dates!$B$2:$B$181)</f>
        <v>2024-02-18</v>
      </c>
      <c r="K104">
        <f t="shared" si="3"/>
        <v>2024</v>
      </c>
      <c r="L104">
        <f t="shared" si="4"/>
        <v>2</v>
      </c>
      <c r="M104">
        <f t="shared" si="5"/>
        <v>18</v>
      </c>
      <c r="N104">
        <f>[1]Transactions!J104*[1]Transactions!K104</f>
        <v>56301</v>
      </c>
    </row>
    <row r="105" spans="1:14" x14ac:dyDescent="0.3">
      <c r="A105">
        <v>104</v>
      </c>
      <c r="B105" t="s">
        <v>119</v>
      </c>
      <c r="C105" t="s">
        <v>18</v>
      </c>
      <c r="D105">
        <v>44</v>
      </c>
      <c r="E105">
        <v>23</v>
      </c>
      <c r="F105" t="str">
        <f>_xlfn.XLOOKUP(E105,[1]Regions!$A$2:$A$31,[1]Regions!$B$2:$B$31)</f>
        <v>Ahmedabad</v>
      </c>
      <c r="G105" t="str">
        <f>_xlfn.XLOOKUP(E105,[1]Regions!$A$2:$A$31,[1]Regions!$C$2:$C$31)</f>
        <v>Gujarat</v>
      </c>
      <c r="H105" t="str">
        <f>_xlfn.XLOOKUP(E105,[1]Regions!$A$2:$A$31,[1]Regions!$D$2:$D$31)</f>
        <v>West</v>
      </c>
      <c r="I105">
        <v>119</v>
      </c>
      <c r="J105" t="str">
        <f>_xlfn.XLOOKUP(I105,[1]Dates!$A$2:$A$181,[1]Dates!$B$2:$B$181)</f>
        <v>2024-04-29</v>
      </c>
      <c r="K105">
        <f t="shared" si="3"/>
        <v>2024</v>
      </c>
      <c r="L105">
        <f t="shared" si="4"/>
        <v>4</v>
      </c>
      <c r="M105">
        <f t="shared" si="5"/>
        <v>29</v>
      </c>
      <c r="N105">
        <f>[1]Transactions!J105*[1]Transactions!K105</f>
        <v>4472</v>
      </c>
    </row>
    <row r="106" spans="1:14" x14ac:dyDescent="0.3">
      <c r="A106">
        <v>105</v>
      </c>
      <c r="B106" t="s">
        <v>120</v>
      </c>
      <c r="C106" t="s">
        <v>18</v>
      </c>
      <c r="D106">
        <v>20</v>
      </c>
      <c r="E106">
        <v>25</v>
      </c>
      <c r="F106" t="str">
        <f>_xlfn.XLOOKUP(E106,[1]Regions!$A$2:$A$31,[1]Regions!$B$2:$B$31)</f>
        <v>Jaipur</v>
      </c>
      <c r="G106" t="str">
        <f>_xlfn.XLOOKUP(E106,[1]Regions!$A$2:$A$31,[1]Regions!$C$2:$C$31)</f>
        <v>Rajasthan</v>
      </c>
      <c r="H106" t="str">
        <f>_xlfn.XLOOKUP(E106,[1]Regions!$A$2:$A$31,[1]Regions!$D$2:$D$31)</f>
        <v>North</v>
      </c>
      <c r="I106">
        <v>80</v>
      </c>
      <c r="J106" t="str">
        <f>_xlfn.XLOOKUP(I106,[1]Dates!$A$2:$A$181,[1]Dates!$B$2:$B$181)</f>
        <v>2024-03-21</v>
      </c>
      <c r="K106">
        <f t="shared" si="3"/>
        <v>2024</v>
      </c>
      <c r="L106">
        <f t="shared" si="4"/>
        <v>3</v>
      </c>
      <c r="M106">
        <f t="shared" si="5"/>
        <v>21</v>
      </c>
      <c r="N106">
        <f>[1]Transactions!J106*[1]Transactions!K106</f>
        <v>34968</v>
      </c>
    </row>
    <row r="107" spans="1:14" x14ac:dyDescent="0.3">
      <c r="A107">
        <v>106</v>
      </c>
      <c r="B107" t="s">
        <v>121</v>
      </c>
      <c r="C107" t="s">
        <v>18</v>
      </c>
      <c r="D107">
        <v>60</v>
      </c>
      <c r="E107">
        <v>27</v>
      </c>
      <c r="F107" t="str">
        <f>_xlfn.XLOOKUP(E107,[1]Regions!$A$2:$A$31,[1]Regions!$B$2:$B$31)</f>
        <v>Jaipur</v>
      </c>
      <c r="G107" t="str">
        <f>_xlfn.XLOOKUP(E107,[1]Regions!$A$2:$A$31,[1]Regions!$C$2:$C$31)</f>
        <v>Rajasthan</v>
      </c>
      <c r="H107" t="str">
        <f>_xlfn.XLOOKUP(E107,[1]Regions!$A$2:$A$31,[1]Regions!$D$2:$D$31)</f>
        <v>North</v>
      </c>
      <c r="I107">
        <v>104</v>
      </c>
      <c r="J107" t="str">
        <f>_xlfn.XLOOKUP(I107,[1]Dates!$A$2:$A$181,[1]Dates!$B$2:$B$181)</f>
        <v>2024-04-14</v>
      </c>
      <c r="K107">
        <f t="shared" si="3"/>
        <v>2024</v>
      </c>
      <c r="L107">
        <f t="shared" si="4"/>
        <v>4</v>
      </c>
      <c r="M107">
        <f t="shared" si="5"/>
        <v>14</v>
      </c>
      <c r="N107">
        <f>[1]Transactions!J107*[1]Transactions!K107</f>
        <v>9600</v>
      </c>
    </row>
    <row r="108" spans="1:14" x14ac:dyDescent="0.3">
      <c r="A108">
        <v>107</v>
      </c>
      <c r="B108" t="s">
        <v>122</v>
      </c>
      <c r="C108" t="s">
        <v>18</v>
      </c>
      <c r="D108">
        <v>26</v>
      </c>
      <c r="E108">
        <v>24</v>
      </c>
      <c r="F108" t="str">
        <f>_xlfn.XLOOKUP(E108,[1]Regions!$A$2:$A$31,[1]Regions!$B$2:$B$31)</f>
        <v>Ahmedabad</v>
      </c>
      <c r="G108" t="str">
        <f>_xlfn.XLOOKUP(E108,[1]Regions!$A$2:$A$31,[1]Regions!$C$2:$C$31)</f>
        <v>Gujarat</v>
      </c>
      <c r="H108" t="str">
        <f>_xlfn.XLOOKUP(E108,[1]Regions!$A$2:$A$31,[1]Regions!$D$2:$D$31)</f>
        <v>West</v>
      </c>
      <c r="I108">
        <v>121</v>
      </c>
      <c r="J108" t="str">
        <f>_xlfn.XLOOKUP(I108,[1]Dates!$A$2:$A$181,[1]Dates!$B$2:$B$181)</f>
        <v>2024-05-01</v>
      </c>
      <c r="K108">
        <f t="shared" si="3"/>
        <v>2024</v>
      </c>
      <c r="L108">
        <f t="shared" si="4"/>
        <v>5</v>
      </c>
      <c r="M108">
        <f t="shared" si="5"/>
        <v>1</v>
      </c>
      <c r="N108">
        <f>[1]Transactions!J108*[1]Transactions!K108</f>
        <v>9396</v>
      </c>
    </row>
    <row r="109" spans="1:14" x14ac:dyDescent="0.3">
      <c r="A109">
        <v>108</v>
      </c>
      <c r="B109" t="s">
        <v>123</v>
      </c>
      <c r="C109" t="s">
        <v>18</v>
      </c>
      <c r="D109">
        <v>49</v>
      </c>
      <c r="E109">
        <v>12</v>
      </c>
      <c r="F109" t="str">
        <f>_xlfn.XLOOKUP(E109,[1]Regions!$A$2:$A$31,[1]Regions!$B$2:$B$31)</f>
        <v>Chennai</v>
      </c>
      <c r="G109" t="str">
        <f>_xlfn.XLOOKUP(E109,[1]Regions!$A$2:$A$31,[1]Regions!$C$2:$C$31)</f>
        <v>Tamil Nadu</v>
      </c>
      <c r="H109" t="str">
        <f>_xlfn.XLOOKUP(E109,[1]Regions!$A$2:$A$31,[1]Regions!$D$2:$D$31)</f>
        <v>South</v>
      </c>
      <c r="I109">
        <v>144</v>
      </c>
      <c r="J109" t="str">
        <f>_xlfn.XLOOKUP(I109,[1]Dates!$A$2:$A$181,[1]Dates!$B$2:$B$181)</f>
        <v>2024-05-24</v>
      </c>
      <c r="K109">
        <f t="shared" si="3"/>
        <v>2024</v>
      </c>
      <c r="L109">
        <f t="shared" si="4"/>
        <v>5</v>
      </c>
      <c r="M109">
        <f t="shared" si="5"/>
        <v>24</v>
      </c>
      <c r="N109">
        <f>[1]Transactions!J109*[1]Transactions!K109</f>
        <v>71568</v>
      </c>
    </row>
    <row r="110" spans="1:14" x14ac:dyDescent="0.3">
      <c r="A110">
        <v>109</v>
      </c>
      <c r="B110" t="s">
        <v>124</v>
      </c>
      <c r="C110" t="s">
        <v>15</v>
      </c>
      <c r="D110">
        <v>43</v>
      </c>
      <c r="E110">
        <v>18</v>
      </c>
      <c r="F110" t="str">
        <f>_xlfn.XLOOKUP(E110,[1]Regions!$A$2:$A$31,[1]Regions!$B$2:$B$31)</f>
        <v>Kolkata</v>
      </c>
      <c r="G110" t="str">
        <f>_xlfn.XLOOKUP(E110,[1]Regions!$A$2:$A$31,[1]Regions!$C$2:$C$31)</f>
        <v>West Bengal</v>
      </c>
      <c r="H110" t="str">
        <f>_xlfn.XLOOKUP(E110,[1]Regions!$A$2:$A$31,[1]Regions!$D$2:$D$31)</f>
        <v>East</v>
      </c>
      <c r="I110">
        <v>31</v>
      </c>
      <c r="J110" t="str">
        <f>_xlfn.XLOOKUP(I110,[1]Dates!$A$2:$A$181,[1]Dates!$B$2:$B$181)</f>
        <v>2024-02-01</v>
      </c>
      <c r="K110">
        <f t="shared" si="3"/>
        <v>2024</v>
      </c>
      <c r="L110">
        <f t="shared" si="4"/>
        <v>2</v>
      </c>
      <c r="M110">
        <f t="shared" si="5"/>
        <v>1</v>
      </c>
      <c r="N110">
        <f>[1]Transactions!J110*[1]Transactions!K110</f>
        <v>28900</v>
      </c>
    </row>
    <row r="111" spans="1:14" x14ac:dyDescent="0.3">
      <c r="A111">
        <v>110</v>
      </c>
      <c r="B111" t="s">
        <v>125</v>
      </c>
      <c r="C111" t="s">
        <v>18</v>
      </c>
      <c r="D111">
        <v>51</v>
      </c>
      <c r="E111">
        <v>8</v>
      </c>
      <c r="F111" t="str">
        <f>_xlfn.XLOOKUP(E111,[1]Regions!$A$2:$A$31,[1]Regions!$B$2:$B$31)</f>
        <v>Bangalore</v>
      </c>
      <c r="G111" t="str">
        <f>_xlfn.XLOOKUP(E111,[1]Regions!$A$2:$A$31,[1]Regions!$C$2:$C$31)</f>
        <v>Karnataka</v>
      </c>
      <c r="H111" t="str">
        <f>_xlfn.XLOOKUP(E111,[1]Regions!$A$2:$A$31,[1]Regions!$D$2:$D$31)</f>
        <v>South</v>
      </c>
      <c r="I111">
        <v>135</v>
      </c>
      <c r="J111" t="str">
        <f>_xlfn.XLOOKUP(I111,[1]Dates!$A$2:$A$181,[1]Dates!$B$2:$B$181)</f>
        <v>2024-05-15</v>
      </c>
      <c r="K111">
        <f t="shared" si="3"/>
        <v>2024</v>
      </c>
      <c r="L111">
        <f t="shared" si="4"/>
        <v>5</v>
      </c>
      <c r="M111">
        <f t="shared" si="5"/>
        <v>15</v>
      </c>
      <c r="N111">
        <f>[1]Transactions!J111*[1]Transactions!K111</f>
        <v>38430</v>
      </c>
    </row>
    <row r="112" spans="1:14" x14ac:dyDescent="0.3">
      <c r="A112">
        <v>111</v>
      </c>
      <c r="B112" t="s">
        <v>126</v>
      </c>
      <c r="C112" t="s">
        <v>15</v>
      </c>
      <c r="D112">
        <v>38</v>
      </c>
      <c r="E112">
        <v>23</v>
      </c>
      <c r="F112" t="str">
        <f>_xlfn.XLOOKUP(E112,[1]Regions!$A$2:$A$31,[1]Regions!$B$2:$B$31)</f>
        <v>Ahmedabad</v>
      </c>
      <c r="G112" t="str">
        <f>_xlfn.XLOOKUP(E112,[1]Regions!$A$2:$A$31,[1]Regions!$C$2:$C$31)</f>
        <v>Gujarat</v>
      </c>
      <c r="H112" t="str">
        <f>_xlfn.XLOOKUP(E112,[1]Regions!$A$2:$A$31,[1]Regions!$D$2:$D$31)</f>
        <v>West</v>
      </c>
      <c r="I112">
        <v>71</v>
      </c>
      <c r="J112" t="str">
        <f>_xlfn.XLOOKUP(I112,[1]Dates!$A$2:$A$181,[1]Dates!$B$2:$B$181)</f>
        <v>2024-03-12</v>
      </c>
      <c r="K112">
        <f t="shared" si="3"/>
        <v>2024</v>
      </c>
      <c r="L112">
        <f t="shared" si="4"/>
        <v>3</v>
      </c>
      <c r="M112">
        <f t="shared" si="5"/>
        <v>12</v>
      </c>
      <c r="N112">
        <f>[1]Transactions!J112*[1]Transactions!K112</f>
        <v>194880</v>
      </c>
    </row>
    <row r="113" spans="1:14" x14ac:dyDescent="0.3">
      <c r="A113">
        <v>112</v>
      </c>
      <c r="B113" t="s">
        <v>127</v>
      </c>
      <c r="C113" t="s">
        <v>15</v>
      </c>
      <c r="D113">
        <v>59</v>
      </c>
      <c r="E113">
        <v>15</v>
      </c>
      <c r="F113" t="str">
        <f>_xlfn.XLOOKUP(E113,[1]Regions!$A$2:$A$31,[1]Regions!$B$2:$B$31)</f>
        <v>Hyderabad</v>
      </c>
      <c r="G113" t="str">
        <f>_xlfn.XLOOKUP(E113,[1]Regions!$A$2:$A$31,[1]Regions!$C$2:$C$31)</f>
        <v>Telangana</v>
      </c>
      <c r="H113" t="str">
        <f>_xlfn.XLOOKUP(E113,[1]Regions!$A$2:$A$31,[1]Regions!$D$2:$D$31)</f>
        <v>South</v>
      </c>
      <c r="I113">
        <v>116</v>
      </c>
      <c r="J113" t="str">
        <f>_xlfn.XLOOKUP(I113,[1]Dates!$A$2:$A$181,[1]Dates!$B$2:$B$181)</f>
        <v>2024-04-26</v>
      </c>
      <c r="K113">
        <f t="shared" si="3"/>
        <v>2024</v>
      </c>
      <c r="L113">
        <f t="shared" si="4"/>
        <v>4</v>
      </c>
      <c r="M113">
        <f t="shared" si="5"/>
        <v>26</v>
      </c>
      <c r="N113">
        <f>[1]Transactions!J113*[1]Transactions!K113</f>
        <v>729800</v>
      </c>
    </row>
    <row r="114" spans="1:14" x14ac:dyDescent="0.3">
      <c r="A114">
        <v>113</v>
      </c>
      <c r="B114" t="s">
        <v>128</v>
      </c>
      <c r="C114" t="s">
        <v>18</v>
      </c>
      <c r="D114">
        <v>36</v>
      </c>
      <c r="E114">
        <v>3</v>
      </c>
      <c r="F114" t="str">
        <f>_xlfn.XLOOKUP(E114,[1]Regions!$A$2:$A$31,[1]Regions!$B$2:$B$31)</f>
        <v>Mumbai</v>
      </c>
      <c r="G114" t="str">
        <f>_xlfn.XLOOKUP(E114,[1]Regions!$A$2:$A$31,[1]Regions!$C$2:$C$31)</f>
        <v>Maharashtra</v>
      </c>
      <c r="H114" t="str">
        <f>_xlfn.XLOOKUP(E114,[1]Regions!$A$2:$A$31,[1]Regions!$D$2:$D$31)</f>
        <v>West</v>
      </c>
      <c r="I114">
        <v>155</v>
      </c>
      <c r="J114" t="str">
        <f>_xlfn.XLOOKUP(I114,[1]Dates!$A$2:$A$181,[1]Dates!$B$2:$B$181)</f>
        <v>2024-06-04</v>
      </c>
      <c r="K114">
        <f t="shared" si="3"/>
        <v>2024</v>
      </c>
      <c r="L114">
        <f t="shared" si="4"/>
        <v>6</v>
      </c>
      <c r="M114">
        <f t="shared" si="5"/>
        <v>4</v>
      </c>
      <c r="N114">
        <f>[1]Transactions!J114*[1]Transactions!K114</f>
        <v>8064</v>
      </c>
    </row>
    <row r="115" spans="1:14" x14ac:dyDescent="0.3">
      <c r="A115">
        <v>114</v>
      </c>
      <c r="B115" t="s">
        <v>129</v>
      </c>
      <c r="C115" t="s">
        <v>18</v>
      </c>
      <c r="D115">
        <v>38</v>
      </c>
      <c r="E115">
        <v>6</v>
      </c>
      <c r="F115" t="str">
        <f>_xlfn.XLOOKUP(E115,[1]Regions!$A$2:$A$31,[1]Regions!$B$2:$B$31)</f>
        <v>Delhi</v>
      </c>
      <c r="G115" t="str">
        <f>_xlfn.XLOOKUP(E115,[1]Regions!$A$2:$A$31,[1]Regions!$C$2:$C$31)</f>
        <v>Delhi</v>
      </c>
      <c r="H115" t="str">
        <f>_xlfn.XLOOKUP(E115,[1]Regions!$A$2:$A$31,[1]Regions!$D$2:$D$31)</f>
        <v>North</v>
      </c>
      <c r="I115">
        <v>100</v>
      </c>
      <c r="J115" t="str">
        <f>_xlfn.XLOOKUP(I115,[1]Dates!$A$2:$A$181,[1]Dates!$B$2:$B$181)</f>
        <v>2024-04-10</v>
      </c>
      <c r="K115">
        <f t="shared" si="3"/>
        <v>2024</v>
      </c>
      <c r="L115">
        <f t="shared" si="4"/>
        <v>4</v>
      </c>
      <c r="M115">
        <f t="shared" si="5"/>
        <v>10</v>
      </c>
      <c r="N115">
        <f>[1]Transactions!J115*[1]Transactions!K115</f>
        <v>978</v>
      </c>
    </row>
    <row r="116" spans="1:14" x14ac:dyDescent="0.3">
      <c r="A116">
        <v>115</v>
      </c>
      <c r="B116" t="s">
        <v>130</v>
      </c>
      <c r="C116" t="s">
        <v>15</v>
      </c>
      <c r="D116">
        <v>47</v>
      </c>
      <c r="E116">
        <v>30</v>
      </c>
      <c r="F116" t="str">
        <f>_xlfn.XLOOKUP(E116,[1]Regions!$A$2:$A$31,[1]Regions!$B$2:$B$31)</f>
        <v>Lucknow</v>
      </c>
      <c r="G116" t="str">
        <f>_xlfn.XLOOKUP(E116,[1]Regions!$A$2:$A$31,[1]Regions!$C$2:$C$31)</f>
        <v>UP</v>
      </c>
      <c r="H116" t="str">
        <f>_xlfn.XLOOKUP(E116,[1]Regions!$A$2:$A$31,[1]Regions!$D$2:$D$31)</f>
        <v>North</v>
      </c>
      <c r="I116">
        <v>4</v>
      </c>
      <c r="J116" t="str">
        <f>_xlfn.XLOOKUP(I116,[1]Dates!$A$2:$A$181,[1]Dates!$B$2:$B$181)</f>
        <v>2024-01-05</v>
      </c>
      <c r="K116">
        <f t="shared" si="3"/>
        <v>2024</v>
      </c>
      <c r="L116">
        <f t="shared" si="4"/>
        <v>1</v>
      </c>
      <c r="M116">
        <f t="shared" si="5"/>
        <v>5</v>
      </c>
      <c r="N116">
        <f>[1]Transactions!J116*[1]Transactions!K116</f>
        <v>68680</v>
      </c>
    </row>
    <row r="117" spans="1:14" x14ac:dyDescent="0.3">
      <c r="A117">
        <v>116</v>
      </c>
      <c r="B117" t="s">
        <v>131</v>
      </c>
      <c r="C117" t="s">
        <v>15</v>
      </c>
      <c r="D117">
        <v>21</v>
      </c>
      <c r="E117">
        <v>3</v>
      </c>
      <c r="F117" t="str">
        <f>_xlfn.XLOOKUP(E117,[1]Regions!$A$2:$A$31,[1]Regions!$B$2:$B$31)</f>
        <v>Mumbai</v>
      </c>
      <c r="G117" t="str">
        <f>_xlfn.XLOOKUP(E117,[1]Regions!$A$2:$A$31,[1]Regions!$C$2:$C$31)</f>
        <v>Maharashtra</v>
      </c>
      <c r="H117" t="str">
        <f>_xlfn.XLOOKUP(E117,[1]Regions!$A$2:$A$31,[1]Regions!$D$2:$D$31)</f>
        <v>West</v>
      </c>
      <c r="I117">
        <v>150</v>
      </c>
      <c r="J117" t="str">
        <f>_xlfn.XLOOKUP(I117,[1]Dates!$A$2:$A$181,[1]Dates!$B$2:$B$181)</f>
        <v>2024-05-30</v>
      </c>
      <c r="K117">
        <f t="shared" si="3"/>
        <v>2024</v>
      </c>
      <c r="L117">
        <f t="shared" si="4"/>
        <v>5</v>
      </c>
      <c r="M117">
        <f t="shared" si="5"/>
        <v>30</v>
      </c>
      <c r="N117">
        <f>[1]Transactions!J117*[1]Transactions!K117</f>
        <v>11304</v>
      </c>
    </row>
    <row r="118" spans="1:14" x14ac:dyDescent="0.3">
      <c r="A118">
        <v>117</v>
      </c>
      <c r="B118" t="s">
        <v>132</v>
      </c>
      <c r="C118" t="s">
        <v>18</v>
      </c>
      <c r="D118">
        <v>49</v>
      </c>
      <c r="E118">
        <v>22</v>
      </c>
      <c r="F118" t="str">
        <f>_xlfn.XLOOKUP(E118,[1]Regions!$A$2:$A$31,[1]Regions!$B$2:$B$31)</f>
        <v>Ahmedabad</v>
      </c>
      <c r="G118" t="str">
        <f>_xlfn.XLOOKUP(E118,[1]Regions!$A$2:$A$31,[1]Regions!$C$2:$C$31)</f>
        <v>Gujarat</v>
      </c>
      <c r="H118" t="str">
        <f>_xlfn.XLOOKUP(E118,[1]Regions!$A$2:$A$31,[1]Regions!$D$2:$D$31)</f>
        <v>West</v>
      </c>
      <c r="I118">
        <v>7</v>
      </c>
      <c r="J118" t="str">
        <f>_xlfn.XLOOKUP(I118,[1]Dates!$A$2:$A$181,[1]Dates!$B$2:$B$181)</f>
        <v>2024-01-08</v>
      </c>
      <c r="K118">
        <f t="shared" si="3"/>
        <v>2024</v>
      </c>
      <c r="L118">
        <f t="shared" si="4"/>
        <v>1</v>
      </c>
      <c r="M118">
        <f t="shared" si="5"/>
        <v>8</v>
      </c>
      <c r="N118">
        <f>[1]Transactions!J118*[1]Transactions!K118</f>
        <v>22050</v>
      </c>
    </row>
    <row r="119" spans="1:14" x14ac:dyDescent="0.3">
      <c r="A119">
        <v>118</v>
      </c>
      <c r="B119" t="s">
        <v>133</v>
      </c>
      <c r="C119" t="s">
        <v>18</v>
      </c>
      <c r="D119">
        <v>23</v>
      </c>
      <c r="E119">
        <v>3</v>
      </c>
      <c r="F119" t="str">
        <f>_xlfn.XLOOKUP(E119,[1]Regions!$A$2:$A$31,[1]Regions!$B$2:$B$31)</f>
        <v>Mumbai</v>
      </c>
      <c r="G119" t="str">
        <f>_xlfn.XLOOKUP(E119,[1]Regions!$A$2:$A$31,[1]Regions!$C$2:$C$31)</f>
        <v>Maharashtra</v>
      </c>
      <c r="H119" t="str">
        <f>_xlfn.XLOOKUP(E119,[1]Regions!$A$2:$A$31,[1]Regions!$D$2:$D$31)</f>
        <v>West</v>
      </c>
      <c r="I119">
        <v>60</v>
      </c>
      <c r="J119" t="str">
        <f>_xlfn.XLOOKUP(I119,[1]Dates!$A$2:$A$181,[1]Dates!$B$2:$B$181)</f>
        <v>2024-03-01</v>
      </c>
      <c r="K119">
        <f t="shared" si="3"/>
        <v>2024</v>
      </c>
      <c r="L119">
        <f t="shared" si="4"/>
        <v>3</v>
      </c>
      <c r="M119">
        <f t="shared" si="5"/>
        <v>1</v>
      </c>
      <c r="N119">
        <f>[1]Transactions!J119*[1]Transactions!K119</f>
        <v>3536</v>
      </c>
    </row>
    <row r="120" spans="1:14" x14ac:dyDescent="0.3">
      <c r="A120">
        <v>119</v>
      </c>
      <c r="B120" t="s">
        <v>134</v>
      </c>
      <c r="C120" t="s">
        <v>18</v>
      </c>
      <c r="D120">
        <v>27</v>
      </c>
      <c r="E120">
        <v>8</v>
      </c>
      <c r="F120" t="str">
        <f>_xlfn.XLOOKUP(E120,[1]Regions!$A$2:$A$31,[1]Regions!$B$2:$B$31)</f>
        <v>Bangalore</v>
      </c>
      <c r="G120" t="str">
        <f>_xlfn.XLOOKUP(E120,[1]Regions!$A$2:$A$31,[1]Regions!$C$2:$C$31)</f>
        <v>Karnataka</v>
      </c>
      <c r="H120" t="str">
        <f>_xlfn.XLOOKUP(E120,[1]Regions!$A$2:$A$31,[1]Regions!$D$2:$D$31)</f>
        <v>South</v>
      </c>
      <c r="I120">
        <v>177</v>
      </c>
      <c r="J120" t="str">
        <f>_xlfn.XLOOKUP(I120,[1]Dates!$A$2:$A$181,[1]Dates!$B$2:$B$181)</f>
        <v>2024-06-26</v>
      </c>
      <c r="K120">
        <f t="shared" si="3"/>
        <v>2024</v>
      </c>
      <c r="L120">
        <f t="shared" si="4"/>
        <v>6</v>
      </c>
      <c r="M120">
        <f t="shared" si="5"/>
        <v>26</v>
      </c>
      <c r="N120">
        <f>[1]Transactions!J120*[1]Transactions!K120</f>
        <v>93744</v>
      </c>
    </row>
    <row r="121" spans="1:14" x14ac:dyDescent="0.3">
      <c r="A121">
        <v>120</v>
      </c>
      <c r="B121" t="s">
        <v>135</v>
      </c>
      <c r="C121" t="s">
        <v>15</v>
      </c>
      <c r="D121">
        <v>42</v>
      </c>
      <c r="E121">
        <v>24</v>
      </c>
      <c r="F121" t="str">
        <f>_xlfn.XLOOKUP(E121,[1]Regions!$A$2:$A$31,[1]Regions!$B$2:$B$31)</f>
        <v>Ahmedabad</v>
      </c>
      <c r="G121" t="str">
        <f>_xlfn.XLOOKUP(E121,[1]Regions!$A$2:$A$31,[1]Regions!$C$2:$C$31)</f>
        <v>Gujarat</v>
      </c>
      <c r="H121" t="str">
        <f>_xlfn.XLOOKUP(E121,[1]Regions!$A$2:$A$31,[1]Regions!$D$2:$D$31)</f>
        <v>West</v>
      </c>
      <c r="I121">
        <v>159</v>
      </c>
      <c r="J121" t="str">
        <f>_xlfn.XLOOKUP(I121,[1]Dates!$A$2:$A$181,[1]Dates!$B$2:$B$181)</f>
        <v>2024-06-08</v>
      </c>
      <c r="K121">
        <f t="shared" si="3"/>
        <v>2024</v>
      </c>
      <c r="L121">
        <f t="shared" si="4"/>
        <v>6</v>
      </c>
      <c r="M121">
        <f t="shared" si="5"/>
        <v>8</v>
      </c>
      <c r="N121">
        <f>[1]Transactions!J121*[1]Transactions!K121</f>
        <v>52400</v>
      </c>
    </row>
    <row r="122" spans="1:14" x14ac:dyDescent="0.3">
      <c r="A122">
        <v>121</v>
      </c>
      <c r="B122" t="s">
        <v>136</v>
      </c>
      <c r="C122" t="s">
        <v>15</v>
      </c>
      <c r="D122">
        <v>47</v>
      </c>
      <c r="E122">
        <v>10</v>
      </c>
      <c r="F122" t="str">
        <f>_xlfn.XLOOKUP(E122,[1]Regions!$A$2:$A$31,[1]Regions!$B$2:$B$31)</f>
        <v>Chennai</v>
      </c>
      <c r="G122" t="str">
        <f>_xlfn.XLOOKUP(E122,[1]Regions!$A$2:$A$31,[1]Regions!$C$2:$C$31)</f>
        <v>Tamil Nadu</v>
      </c>
      <c r="H122" t="str">
        <f>_xlfn.XLOOKUP(E122,[1]Regions!$A$2:$A$31,[1]Regions!$D$2:$D$31)</f>
        <v>South</v>
      </c>
      <c r="I122">
        <v>122</v>
      </c>
      <c r="J122" t="str">
        <f>_xlfn.XLOOKUP(I122,[1]Dates!$A$2:$A$181,[1]Dates!$B$2:$B$181)</f>
        <v>2024-05-02</v>
      </c>
      <c r="K122">
        <f t="shared" si="3"/>
        <v>2024</v>
      </c>
      <c r="L122">
        <f t="shared" si="4"/>
        <v>5</v>
      </c>
      <c r="M122">
        <f t="shared" si="5"/>
        <v>2</v>
      </c>
      <c r="N122">
        <f>[1]Transactions!J122*[1]Transactions!K122</f>
        <v>17850</v>
      </c>
    </row>
    <row r="123" spans="1:14" x14ac:dyDescent="0.3">
      <c r="A123">
        <v>122</v>
      </c>
      <c r="B123" t="s">
        <v>137</v>
      </c>
      <c r="C123" t="s">
        <v>15</v>
      </c>
      <c r="D123">
        <v>39</v>
      </c>
      <c r="E123">
        <v>17</v>
      </c>
      <c r="F123" t="str">
        <f>_xlfn.XLOOKUP(E123,[1]Regions!$A$2:$A$31,[1]Regions!$B$2:$B$31)</f>
        <v>Kolkata</v>
      </c>
      <c r="G123" t="str">
        <f>_xlfn.XLOOKUP(E123,[1]Regions!$A$2:$A$31,[1]Regions!$C$2:$C$31)</f>
        <v>West Bengal</v>
      </c>
      <c r="H123" t="str">
        <f>_xlfn.XLOOKUP(E123,[1]Regions!$A$2:$A$31,[1]Regions!$D$2:$D$31)</f>
        <v>East</v>
      </c>
      <c r="I123">
        <v>63</v>
      </c>
      <c r="J123" t="str">
        <f>_xlfn.XLOOKUP(I123,[1]Dates!$A$2:$A$181,[1]Dates!$B$2:$B$181)</f>
        <v>2024-03-04</v>
      </c>
      <c r="K123">
        <f t="shared" si="3"/>
        <v>2024</v>
      </c>
      <c r="L123">
        <f t="shared" si="4"/>
        <v>3</v>
      </c>
      <c r="M123">
        <f t="shared" si="5"/>
        <v>4</v>
      </c>
      <c r="N123">
        <f>[1]Transactions!J123*[1]Transactions!K123</f>
        <v>83980</v>
      </c>
    </row>
    <row r="124" spans="1:14" x14ac:dyDescent="0.3">
      <c r="A124">
        <v>123</v>
      </c>
      <c r="B124" t="s">
        <v>138</v>
      </c>
      <c r="C124" t="s">
        <v>15</v>
      </c>
      <c r="D124">
        <v>51</v>
      </c>
      <c r="E124">
        <v>18</v>
      </c>
      <c r="F124" t="str">
        <f>_xlfn.XLOOKUP(E124,[1]Regions!$A$2:$A$31,[1]Regions!$B$2:$B$31)</f>
        <v>Kolkata</v>
      </c>
      <c r="G124" t="str">
        <f>_xlfn.XLOOKUP(E124,[1]Regions!$A$2:$A$31,[1]Regions!$C$2:$C$31)</f>
        <v>West Bengal</v>
      </c>
      <c r="H124" t="str">
        <f>_xlfn.XLOOKUP(E124,[1]Regions!$A$2:$A$31,[1]Regions!$D$2:$D$31)</f>
        <v>East</v>
      </c>
      <c r="I124">
        <v>25</v>
      </c>
      <c r="J124" t="str">
        <f>_xlfn.XLOOKUP(I124,[1]Dates!$A$2:$A$181,[1]Dates!$B$2:$B$181)</f>
        <v>2024-01-26</v>
      </c>
      <c r="K124">
        <f t="shared" si="3"/>
        <v>2024</v>
      </c>
      <c r="L124">
        <f t="shared" si="4"/>
        <v>1</v>
      </c>
      <c r="M124">
        <f t="shared" si="5"/>
        <v>26</v>
      </c>
      <c r="N124">
        <f>[1]Transactions!J124*[1]Transactions!K124</f>
        <v>116510</v>
      </c>
    </row>
    <row r="125" spans="1:14" x14ac:dyDescent="0.3">
      <c r="A125">
        <v>124</v>
      </c>
      <c r="B125" t="s">
        <v>139</v>
      </c>
      <c r="C125" t="s">
        <v>15</v>
      </c>
      <c r="D125">
        <v>45</v>
      </c>
      <c r="E125">
        <v>19</v>
      </c>
      <c r="F125" t="str">
        <f>_xlfn.XLOOKUP(E125,[1]Regions!$A$2:$A$31,[1]Regions!$B$2:$B$31)</f>
        <v>Pune</v>
      </c>
      <c r="G125" t="str">
        <f>_xlfn.XLOOKUP(E125,[1]Regions!$A$2:$A$31,[1]Regions!$C$2:$C$31)</f>
        <v>Maharashtra</v>
      </c>
      <c r="H125" t="str">
        <f>_xlfn.XLOOKUP(E125,[1]Regions!$A$2:$A$31,[1]Regions!$D$2:$D$31)</f>
        <v>West</v>
      </c>
      <c r="I125">
        <v>71</v>
      </c>
      <c r="J125" t="str">
        <f>_xlfn.XLOOKUP(I125,[1]Dates!$A$2:$A$181,[1]Dates!$B$2:$B$181)</f>
        <v>2024-03-12</v>
      </c>
      <c r="K125">
        <f t="shared" si="3"/>
        <v>2024</v>
      </c>
      <c r="L125">
        <f t="shared" si="4"/>
        <v>3</v>
      </c>
      <c r="M125">
        <f t="shared" si="5"/>
        <v>12</v>
      </c>
      <c r="N125">
        <f>[1]Transactions!J125*[1]Transactions!K125</f>
        <v>1144</v>
      </c>
    </row>
    <row r="126" spans="1:14" x14ac:dyDescent="0.3">
      <c r="A126">
        <v>125</v>
      </c>
      <c r="B126" t="s">
        <v>140</v>
      </c>
      <c r="C126" t="s">
        <v>15</v>
      </c>
      <c r="D126">
        <v>29</v>
      </c>
      <c r="E126">
        <v>7</v>
      </c>
      <c r="F126" t="str">
        <f>_xlfn.XLOOKUP(E126,[1]Regions!$A$2:$A$31,[1]Regions!$B$2:$B$31)</f>
        <v>Bangalore</v>
      </c>
      <c r="G126" t="str">
        <f>_xlfn.XLOOKUP(E126,[1]Regions!$A$2:$A$31,[1]Regions!$C$2:$C$31)</f>
        <v>Karnataka</v>
      </c>
      <c r="H126" t="str">
        <f>_xlfn.XLOOKUP(E126,[1]Regions!$A$2:$A$31,[1]Regions!$D$2:$D$31)</f>
        <v>South</v>
      </c>
      <c r="I126">
        <v>73</v>
      </c>
      <c r="J126" t="str">
        <f>_xlfn.XLOOKUP(I126,[1]Dates!$A$2:$A$181,[1]Dates!$B$2:$B$181)</f>
        <v>2024-03-14</v>
      </c>
      <c r="K126">
        <f t="shared" si="3"/>
        <v>2024</v>
      </c>
      <c r="L126">
        <f t="shared" si="4"/>
        <v>3</v>
      </c>
      <c r="M126">
        <f t="shared" si="5"/>
        <v>14</v>
      </c>
      <c r="N126">
        <f>[1]Transactions!J126*[1]Transactions!K126</f>
        <v>130150</v>
      </c>
    </row>
    <row r="127" spans="1:14" x14ac:dyDescent="0.3">
      <c r="A127">
        <v>126</v>
      </c>
      <c r="B127" t="s">
        <v>141</v>
      </c>
      <c r="C127" t="s">
        <v>15</v>
      </c>
      <c r="D127">
        <v>52</v>
      </c>
      <c r="E127">
        <v>10</v>
      </c>
      <c r="F127" t="str">
        <f>_xlfn.XLOOKUP(E127,[1]Regions!$A$2:$A$31,[1]Regions!$B$2:$B$31)</f>
        <v>Chennai</v>
      </c>
      <c r="G127" t="str">
        <f>_xlfn.XLOOKUP(E127,[1]Regions!$A$2:$A$31,[1]Regions!$C$2:$C$31)</f>
        <v>Tamil Nadu</v>
      </c>
      <c r="H127" t="str">
        <f>_xlfn.XLOOKUP(E127,[1]Regions!$A$2:$A$31,[1]Regions!$D$2:$D$31)</f>
        <v>South</v>
      </c>
      <c r="I127">
        <v>38</v>
      </c>
      <c r="J127" t="str">
        <f>_xlfn.XLOOKUP(I127,[1]Dates!$A$2:$A$181,[1]Dates!$B$2:$B$181)</f>
        <v>2024-02-08</v>
      </c>
      <c r="K127">
        <f t="shared" si="3"/>
        <v>2024</v>
      </c>
      <c r="L127">
        <f t="shared" si="4"/>
        <v>2</v>
      </c>
      <c r="M127">
        <f t="shared" si="5"/>
        <v>8</v>
      </c>
      <c r="N127">
        <f>[1]Transactions!J127*[1]Transactions!K127</f>
        <v>15774</v>
      </c>
    </row>
    <row r="128" spans="1:14" x14ac:dyDescent="0.3">
      <c r="A128">
        <v>127</v>
      </c>
      <c r="B128" t="s">
        <v>142</v>
      </c>
      <c r="C128" t="s">
        <v>18</v>
      </c>
      <c r="D128">
        <v>55</v>
      </c>
      <c r="E128">
        <v>12</v>
      </c>
      <c r="F128" t="str">
        <f>_xlfn.XLOOKUP(E128,[1]Regions!$A$2:$A$31,[1]Regions!$B$2:$B$31)</f>
        <v>Chennai</v>
      </c>
      <c r="G128" t="str">
        <f>_xlfn.XLOOKUP(E128,[1]Regions!$A$2:$A$31,[1]Regions!$C$2:$C$31)</f>
        <v>Tamil Nadu</v>
      </c>
      <c r="H128" t="str">
        <f>_xlfn.XLOOKUP(E128,[1]Regions!$A$2:$A$31,[1]Regions!$D$2:$D$31)</f>
        <v>South</v>
      </c>
      <c r="I128">
        <v>17</v>
      </c>
      <c r="J128" t="str">
        <f>_xlfn.XLOOKUP(I128,[1]Dates!$A$2:$A$181,[1]Dates!$B$2:$B$181)</f>
        <v>2024-01-18</v>
      </c>
      <c r="K128">
        <f t="shared" si="3"/>
        <v>2024</v>
      </c>
      <c r="L128">
        <f t="shared" si="4"/>
        <v>1</v>
      </c>
      <c r="M128">
        <f t="shared" si="5"/>
        <v>18</v>
      </c>
      <c r="N128">
        <f>[1]Transactions!J128*[1]Transactions!K128</f>
        <v>35088</v>
      </c>
    </row>
    <row r="129" spans="1:14" x14ac:dyDescent="0.3">
      <c r="A129">
        <v>128</v>
      </c>
      <c r="B129" t="s">
        <v>143</v>
      </c>
      <c r="C129" t="s">
        <v>15</v>
      </c>
      <c r="D129">
        <v>47</v>
      </c>
      <c r="E129">
        <v>23</v>
      </c>
      <c r="F129" t="str">
        <f>_xlfn.XLOOKUP(E129,[1]Regions!$A$2:$A$31,[1]Regions!$B$2:$B$31)</f>
        <v>Ahmedabad</v>
      </c>
      <c r="G129" t="str">
        <f>_xlfn.XLOOKUP(E129,[1]Regions!$A$2:$A$31,[1]Regions!$C$2:$C$31)</f>
        <v>Gujarat</v>
      </c>
      <c r="H129" t="str">
        <f>_xlfn.XLOOKUP(E129,[1]Regions!$A$2:$A$31,[1]Regions!$D$2:$D$31)</f>
        <v>West</v>
      </c>
      <c r="I129">
        <v>88</v>
      </c>
      <c r="J129" t="str">
        <f>_xlfn.XLOOKUP(I129,[1]Dates!$A$2:$A$181,[1]Dates!$B$2:$B$181)</f>
        <v>2024-03-29</v>
      </c>
      <c r="K129">
        <f t="shared" si="3"/>
        <v>2024</v>
      </c>
      <c r="L129">
        <f t="shared" si="4"/>
        <v>3</v>
      </c>
      <c r="M129">
        <f t="shared" si="5"/>
        <v>29</v>
      </c>
      <c r="N129">
        <f>[1]Transactions!J129*[1]Transactions!K129</f>
        <v>43364</v>
      </c>
    </row>
    <row r="130" spans="1:14" x14ac:dyDescent="0.3">
      <c r="A130">
        <v>129</v>
      </c>
      <c r="B130" t="s">
        <v>144</v>
      </c>
      <c r="C130" t="s">
        <v>18</v>
      </c>
      <c r="D130">
        <v>59</v>
      </c>
      <c r="E130">
        <v>21</v>
      </c>
      <c r="F130" t="str">
        <f>_xlfn.XLOOKUP(E130,[1]Regions!$A$2:$A$31,[1]Regions!$B$2:$B$31)</f>
        <v>Pune</v>
      </c>
      <c r="G130" t="str">
        <f>_xlfn.XLOOKUP(E130,[1]Regions!$A$2:$A$31,[1]Regions!$C$2:$C$31)</f>
        <v>Maharashtra</v>
      </c>
      <c r="H130" t="str">
        <f>_xlfn.XLOOKUP(E130,[1]Regions!$A$2:$A$31,[1]Regions!$D$2:$D$31)</f>
        <v>West</v>
      </c>
      <c r="I130">
        <v>138</v>
      </c>
      <c r="J130" t="str">
        <f>_xlfn.XLOOKUP(I130,[1]Dates!$A$2:$A$181,[1]Dates!$B$2:$B$181)</f>
        <v>2024-05-18</v>
      </c>
      <c r="K130">
        <f t="shared" si="3"/>
        <v>2024</v>
      </c>
      <c r="L130">
        <f t="shared" si="4"/>
        <v>5</v>
      </c>
      <c r="M130">
        <f t="shared" si="5"/>
        <v>18</v>
      </c>
      <c r="N130">
        <f>[1]Transactions!J130*[1]Transactions!K130</f>
        <v>87480</v>
      </c>
    </row>
    <row r="131" spans="1:14" x14ac:dyDescent="0.3">
      <c r="A131">
        <v>130</v>
      </c>
      <c r="B131" t="s">
        <v>145</v>
      </c>
      <c r="C131" t="s">
        <v>15</v>
      </c>
      <c r="D131">
        <v>53</v>
      </c>
      <c r="E131">
        <v>14</v>
      </c>
      <c r="F131" t="str">
        <f>_xlfn.XLOOKUP(E131,[1]Regions!$A$2:$A$31,[1]Regions!$B$2:$B$31)</f>
        <v>Hyderabad</v>
      </c>
      <c r="G131" t="str">
        <f>_xlfn.XLOOKUP(E131,[1]Regions!$A$2:$A$31,[1]Regions!$C$2:$C$31)</f>
        <v>Telangana</v>
      </c>
      <c r="H131" t="str">
        <f>_xlfn.XLOOKUP(E131,[1]Regions!$A$2:$A$31,[1]Regions!$D$2:$D$31)</f>
        <v>South</v>
      </c>
      <c r="I131">
        <v>166</v>
      </c>
      <c r="J131" t="str">
        <f>_xlfn.XLOOKUP(I131,[1]Dates!$A$2:$A$181,[1]Dates!$B$2:$B$181)</f>
        <v>2024-06-15</v>
      </c>
      <c r="K131">
        <f t="shared" ref="K131:K194" si="6">YEAR(J131)</f>
        <v>2024</v>
      </c>
      <c r="L131">
        <f t="shared" ref="L131:L194" si="7">MONTH(J131)</f>
        <v>6</v>
      </c>
      <c r="M131">
        <f t="shared" ref="M131:M194" si="8">DAY(J131)</f>
        <v>15</v>
      </c>
      <c r="N131">
        <f>[1]Transactions!J131*[1]Transactions!K131</f>
        <v>26760</v>
      </c>
    </row>
    <row r="132" spans="1:14" x14ac:dyDescent="0.3">
      <c r="A132">
        <v>131</v>
      </c>
      <c r="B132" t="s">
        <v>146</v>
      </c>
      <c r="C132" t="s">
        <v>15</v>
      </c>
      <c r="D132">
        <v>40</v>
      </c>
      <c r="E132">
        <v>23</v>
      </c>
      <c r="F132" t="str">
        <f>_xlfn.XLOOKUP(E132,[1]Regions!$A$2:$A$31,[1]Regions!$B$2:$B$31)</f>
        <v>Ahmedabad</v>
      </c>
      <c r="G132" t="str">
        <f>_xlfn.XLOOKUP(E132,[1]Regions!$A$2:$A$31,[1]Regions!$C$2:$C$31)</f>
        <v>Gujarat</v>
      </c>
      <c r="H132" t="str">
        <f>_xlfn.XLOOKUP(E132,[1]Regions!$A$2:$A$31,[1]Regions!$D$2:$D$31)</f>
        <v>West</v>
      </c>
      <c r="I132">
        <v>135</v>
      </c>
      <c r="J132" t="str">
        <f>_xlfn.XLOOKUP(I132,[1]Dates!$A$2:$A$181,[1]Dates!$B$2:$B$181)</f>
        <v>2024-05-15</v>
      </c>
      <c r="K132">
        <f t="shared" si="6"/>
        <v>2024</v>
      </c>
      <c r="L132">
        <f t="shared" si="7"/>
        <v>5</v>
      </c>
      <c r="M132">
        <f t="shared" si="8"/>
        <v>15</v>
      </c>
      <c r="N132">
        <f>[1]Transactions!J132*[1]Transactions!K132</f>
        <v>2970</v>
      </c>
    </row>
    <row r="133" spans="1:14" x14ac:dyDescent="0.3">
      <c r="A133">
        <v>132</v>
      </c>
      <c r="B133" t="s">
        <v>147</v>
      </c>
      <c r="C133" t="s">
        <v>18</v>
      </c>
      <c r="D133">
        <v>28</v>
      </c>
      <c r="E133">
        <v>12</v>
      </c>
      <c r="F133" t="str">
        <f>_xlfn.XLOOKUP(E133,[1]Regions!$A$2:$A$31,[1]Regions!$B$2:$B$31)</f>
        <v>Chennai</v>
      </c>
      <c r="G133" t="str">
        <f>_xlfn.XLOOKUP(E133,[1]Regions!$A$2:$A$31,[1]Regions!$C$2:$C$31)</f>
        <v>Tamil Nadu</v>
      </c>
      <c r="H133" t="str">
        <f>_xlfn.XLOOKUP(E133,[1]Regions!$A$2:$A$31,[1]Regions!$D$2:$D$31)</f>
        <v>South</v>
      </c>
      <c r="I133">
        <v>62</v>
      </c>
      <c r="J133" t="str">
        <f>_xlfn.XLOOKUP(I133,[1]Dates!$A$2:$A$181,[1]Dates!$B$2:$B$181)</f>
        <v>2024-03-03</v>
      </c>
      <c r="K133">
        <f t="shared" si="6"/>
        <v>2024</v>
      </c>
      <c r="L133">
        <f t="shared" si="7"/>
        <v>3</v>
      </c>
      <c r="M133">
        <f t="shared" si="8"/>
        <v>3</v>
      </c>
      <c r="N133">
        <f>[1]Transactions!J133*[1]Transactions!K133</f>
        <v>13468</v>
      </c>
    </row>
    <row r="134" spans="1:14" x14ac:dyDescent="0.3">
      <c r="A134">
        <v>133</v>
      </c>
      <c r="B134" t="s">
        <v>148</v>
      </c>
      <c r="C134" t="s">
        <v>18</v>
      </c>
      <c r="D134">
        <v>31</v>
      </c>
      <c r="E134">
        <v>3</v>
      </c>
      <c r="F134" t="str">
        <f>_xlfn.XLOOKUP(E134,[1]Regions!$A$2:$A$31,[1]Regions!$B$2:$B$31)</f>
        <v>Mumbai</v>
      </c>
      <c r="G134" t="str">
        <f>_xlfn.XLOOKUP(E134,[1]Regions!$A$2:$A$31,[1]Regions!$C$2:$C$31)</f>
        <v>Maharashtra</v>
      </c>
      <c r="H134" t="str">
        <f>_xlfn.XLOOKUP(E134,[1]Regions!$A$2:$A$31,[1]Regions!$D$2:$D$31)</f>
        <v>West</v>
      </c>
      <c r="I134">
        <v>137</v>
      </c>
      <c r="J134" t="str">
        <f>_xlfn.XLOOKUP(I134,[1]Dates!$A$2:$A$181,[1]Dates!$B$2:$B$181)</f>
        <v>2024-05-17</v>
      </c>
      <c r="K134">
        <f t="shared" si="6"/>
        <v>2024</v>
      </c>
      <c r="L134">
        <f t="shared" si="7"/>
        <v>5</v>
      </c>
      <c r="M134">
        <f t="shared" si="8"/>
        <v>17</v>
      </c>
      <c r="N134">
        <f>[1]Transactions!J134*[1]Transactions!K134</f>
        <v>5472</v>
      </c>
    </row>
    <row r="135" spans="1:14" x14ac:dyDescent="0.3">
      <c r="A135">
        <v>134</v>
      </c>
      <c r="B135" t="s">
        <v>149</v>
      </c>
      <c r="C135" t="s">
        <v>15</v>
      </c>
      <c r="D135">
        <v>36</v>
      </c>
      <c r="E135">
        <v>2</v>
      </c>
      <c r="F135" t="str">
        <f>_xlfn.XLOOKUP(E135,[1]Regions!$A$2:$A$31,[1]Regions!$B$2:$B$31)</f>
        <v>Mumbai</v>
      </c>
      <c r="G135" t="str">
        <f>_xlfn.XLOOKUP(E135,[1]Regions!$A$2:$A$31,[1]Regions!$C$2:$C$31)</f>
        <v>Maharashtra</v>
      </c>
      <c r="H135" t="str">
        <f>_xlfn.XLOOKUP(E135,[1]Regions!$A$2:$A$31,[1]Regions!$D$2:$D$31)</f>
        <v>West</v>
      </c>
      <c r="I135">
        <v>169</v>
      </c>
      <c r="J135" t="str">
        <f>_xlfn.XLOOKUP(I135,[1]Dates!$A$2:$A$181,[1]Dates!$B$2:$B$181)</f>
        <v>2024-06-18</v>
      </c>
      <c r="K135">
        <f t="shared" si="6"/>
        <v>2024</v>
      </c>
      <c r="L135">
        <f t="shared" si="7"/>
        <v>6</v>
      </c>
      <c r="M135">
        <f t="shared" si="8"/>
        <v>18</v>
      </c>
      <c r="N135">
        <f>[1]Transactions!J135*[1]Transactions!K135</f>
        <v>7068</v>
      </c>
    </row>
    <row r="136" spans="1:14" x14ac:dyDescent="0.3">
      <c r="A136">
        <v>135</v>
      </c>
      <c r="B136" t="s">
        <v>150</v>
      </c>
      <c r="C136" t="s">
        <v>18</v>
      </c>
      <c r="D136">
        <v>25</v>
      </c>
      <c r="E136">
        <v>29</v>
      </c>
      <c r="F136" t="str">
        <f>_xlfn.XLOOKUP(E136,[1]Regions!$A$2:$A$31,[1]Regions!$B$2:$B$31)</f>
        <v>Lucknow</v>
      </c>
      <c r="G136" t="str">
        <f>_xlfn.XLOOKUP(E136,[1]Regions!$A$2:$A$31,[1]Regions!$C$2:$C$31)</f>
        <v>UP</v>
      </c>
      <c r="H136" t="str">
        <f>_xlfn.XLOOKUP(E136,[1]Regions!$A$2:$A$31,[1]Regions!$D$2:$D$31)</f>
        <v>North</v>
      </c>
      <c r="I136">
        <v>11</v>
      </c>
      <c r="J136" t="str">
        <f>_xlfn.XLOOKUP(I136,[1]Dates!$A$2:$A$181,[1]Dates!$B$2:$B$181)</f>
        <v>2024-01-12</v>
      </c>
      <c r="K136">
        <f t="shared" si="6"/>
        <v>2024</v>
      </c>
      <c r="L136">
        <f t="shared" si="7"/>
        <v>1</v>
      </c>
      <c r="M136">
        <f t="shared" si="8"/>
        <v>12</v>
      </c>
      <c r="N136">
        <f>[1]Transactions!J136*[1]Transactions!K136</f>
        <v>51000</v>
      </c>
    </row>
    <row r="137" spans="1:14" x14ac:dyDescent="0.3">
      <c r="A137">
        <v>136</v>
      </c>
      <c r="B137" t="s">
        <v>151</v>
      </c>
      <c r="C137" t="s">
        <v>18</v>
      </c>
      <c r="D137">
        <v>43</v>
      </c>
      <c r="E137">
        <v>17</v>
      </c>
      <c r="F137" t="str">
        <f>_xlfn.XLOOKUP(E137,[1]Regions!$A$2:$A$31,[1]Regions!$B$2:$B$31)</f>
        <v>Kolkata</v>
      </c>
      <c r="G137" t="str">
        <f>_xlfn.XLOOKUP(E137,[1]Regions!$A$2:$A$31,[1]Regions!$C$2:$C$31)</f>
        <v>West Bengal</v>
      </c>
      <c r="H137" t="str">
        <f>_xlfn.XLOOKUP(E137,[1]Regions!$A$2:$A$31,[1]Regions!$D$2:$D$31)</f>
        <v>East</v>
      </c>
      <c r="I137">
        <v>95</v>
      </c>
      <c r="J137" t="str">
        <f>_xlfn.XLOOKUP(I137,[1]Dates!$A$2:$A$181,[1]Dates!$B$2:$B$181)</f>
        <v>2024-04-05</v>
      </c>
      <c r="K137">
        <f t="shared" si="6"/>
        <v>2024</v>
      </c>
      <c r="L137">
        <f t="shared" si="7"/>
        <v>4</v>
      </c>
      <c r="M137">
        <f t="shared" si="8"/>
        <v>5</v>
      </c>
      <c r="N137">
        <f>[1]Transactions!J137*[1]Transactions!K137</f>
        <v>183960</v>
      </c>
    </row>
    <row r="138" spans="1:14" x14ac:dyDescent="0.3">
      <c r="A138">
        <v>137</v>
      </c>
      <c r="B138" t="s">
        <v>152</v>
      </c>
      <c r="C138" t="s">
        <v>18</v>
      </c>
      <c r="D138">
        <v>32</v>
      </c>
      <c r="E138">
        <v>6</v>
      </c>
      <c r="F138" t="str">
        <f>_xlfn.XLOOKUP(E138,[1]Regions!$A$2:$A$31,[1]Regions!$B$2:$B$31)</f>
        <v>Delhi</v>
      </c>
      <c r="G138" t="str">
        <f>_xlfn.XLOOKUP(E138,[1]Regions!$A$2:$A$31,[1]Regions!$C$2:$C$31)</f>
        <v>Delhi</v>
      </c>
      <c r="H138" t="str">
        <f>_xlfn.XLOOKUP(E138,[1]Regions!$A$2:$A$31,[1]Regions!$D$2:$D$31)</f>
        <v>North</v>
      </c>
      <c r="I138">
        <v>74</v>
      </c>
      <c r="J138" t="str">
        <f>_xlfn.XLOOKUP(I138,[1]Dates!$A$2:$A$181,[1]Dates!$B$2:$B$181)</f>
        <v>2024-03-15</v>
      </c>
      <c r="K138">
        <f t="shared" si="6"/>
        <v>2024</v>
      </c>
      <c r="L138">
        <f t="shared" si="7"/>
        <v>3</v>
      </c>
      <c r="M138">
        <f t="shared" si="8"/>
        <v>15</v>
      </c>
      <c r="N138">
        <f>[1]Transactions!J138*[1]Transactions!K138</f>
        <v>61190</v>
      </c>
    </row>
    <row r="139" spans="1:14" x14ac:dyDescent="0.3">
      <c r="A139">
        <v>138</v>
      </c>
      <c r="B139" t="s">
        <v>153</v>
      </c>
      <c r="C139" t="s">
        <v>18</v>
      </c>
      <c r="D139">
        <v>37</v>
      </c>
      <c r="E139">
        <v>6</v>
      </c>
      <c r="F139" t="str">
        <f>_xlfn.XLOOKUP(E139,[1]Regions!$A$2:$A$31,[1]Regions!$B$2:$B$31)</f>
        <v>Delhi</v>
      </c>
      <c r="G139" t="str">
        <f>_xlfn.XLOOKUP(E139,[1]Regions!$A$2:$A$31,[1]Regions!$C$2:$C$31)</f>
        <v>Delhi</v>
      </c>
      <c r="H139" t="str">
        <f>_xlfn.XLOOKUP(E139,[1]Regions!$A$2:$A$31,[1]Regions!$D$2:$D$31)</f>
        <v>North</v>
      </c>
      <c r="I139">
        <v>53</v>
      </c>
      <c r="J139" t="str">
        <f>_xlfn.XLOOKUP(I139,[1]Dates!$A$2:$A$181,[1]Dates!$B$2:$B$181)</f>
        <v>2024-02-23</v>
      </c>
      <c r="K139">
        <f t="shared" si="6"/>
        <v>2024</v>
      </c>
      <c r="L139">
        <f t="shared" si="7"/>
        <v>2</v>
      </c>
      <c r="M139">
        <f t="shared" si="8"/>
        <v>23</v>
      </c>
      <c r="N139">
        <f>[1]Transactions!J139*[1]Transactions!K139</f>
        <v>9870</v>
      </c>
    </row>
    <row r="140" spans="1:14" x14ac:dyDescent="0.3">
      <c r="A140">
        <v>139</v>
      </c>
      <c r="B140" t="s">
        <v>154</v>
      </c>
      <c r="C140" t="s">
        <v>15</v>
      </c>
      <c r="D140">
        <v>29</v>
      </c>
      <c r="E140">
        <v>25</v>
      </c>
      <c r="F140" t="str">
        <f>_xlfn.XLOOKUP(E140,[1]Regions!$A$2:$A$31,[1]Regions!$B$2:$B$31)</f>
        <v>Jaipur</v>
      </c>
      <c r="G140" t="str">
        <f>_xlfn.XLOOKUP(E140,[1]Regions!$A$2:$A$31,[1]Regions!$C$2:$C$31)</f>
        <v>Rajasthan</v>
      </c>
      <c r="H140" t="str">
        <f>_xlfn.XLOOKUP(E140,[1]Regions!$A$2:$A$31,[1]Regions!$D$2:$D$31)</f>
        <v>North</v>
      </c>
      <c r="I140">
        <v>139</v>
      </c>
      <c r="J140" t="str">
        <f>_xlfn.XLOOKUP(I140,[1]Dates!$A$2:$A$181,[1]Dates!$B$2:$B$181)</f>
        <v>2024-05-19</v>
      </c>
      <c r="K140">
        <f t="shared" si="6"/>
        <v>2024</v>
      </c>
      <c r="L140">
        <f t="shared" si="7"/>
        <v>5</v>
      </c>
      <c r="M140">
        <f t="shared" si="8"/>
        <v>19</v>
      </c>
      <c r="N140">
        <f>[1]Transactions!J140*[1]Transactions!K140</f>
        <v>8554</v>
      </c>
    </row>
    <row r="141" spans="1:14" x14ac:dyDescent="0.3">
      <c r="A141">
        <v>140</v>
      </c>
      <c r="B141" t="s">
        <v>155</v>
      </c>
      <c r="C141" t="s">
        <v>18</v>
      </c>
      <c r="D141">
        <v>20</v>
      </c>
      <c r="E141">
        <v>10</v>
      </c>
      <c r="F141" t="str">
        <f>_xlfn.XLOOKUP(E141,[1]Regions!$A$2:$A$31,[1]Regions!$B$2:$B$31)</f>
        <v>Chennai</v>
      </c>
      <c r="G141" t="str">
        <f>_xlfn.XLOOKUP(E141,[1]Regions!$A$2:$A$31,[1]Regions!$C$2:$C$31)</f>
        <v>Tamil Nadu</v>
      </c>
      <c r="H141" t="str">
        <f>_xlfn.XLOOKUP(E141,[1]Regions!$A$2:$A$31,[1]Regions!$D$2:$D$31)</f>
        <v>South</v>
      </c>
      <c r="I141">
        <v>132</v>
      </c>
      <c r="J141" t="str">
        <f>_xlfn.XLOOKUP(I141,[1]Dates!$A$2:$A$181,[1]Dates!$B$2:$B$181)</f>
        <v>2024-05-12</v>
      </c>
      <c r="K141">
        <f t="shared" si="6"/>
        <v>2024</v>
      </c>
      <c r="L141">
        <f t="shared" si="7"/>
        <v>5</v>
      </c>
      <c r="M141">
        <f t="shared" si="8"/>
        <v>12</v>
      </c>
      <c r="N141">
        <f>[1]Transactions!J141*[1]Transactions!K141</f>
        <v>58830</v>
      </c>
    </row>
    <row r="142" spans="1:14" x14ac:dyDescent="0.3">
      <c r="A142">
        <v>141</v>
      </c>
      <c r="B142" t="s">
        <v>156</v>
      </c>
      <c r="C142" t="s">
        <v>15</v>
      </c>
      <c r="D142">
        <v>28</v>
      </c>
      <c r="E142">
        <v>10</v>
      </c>
      <c r="F142" t="str">
        <f>_xlfn.XLOOKUP(E142,[1]Regions!$A$2:$A$31,[1]Regions!$B$2:$B$31)</f>
        <v>Chennai</v>
      </c>
      <c r="G142" t="str">
        <f>_xlfn.XLOOKUP(E142,[1]Regions!$A$2:$A$31,[1]Regions!$C$2:$C$31)</f>
        <v>Tamil Nadu</v>
      </c>
      <c r="H142" t="str">
        <f>_xlfn.XLOOKUP(E142,[1]Regions!$A$2:$A$31,[1]Regions!$D$2:$D$31)</f>
        <v>South</v>
      </c>
      <c r="I142">
        <v>59</v>
      </c>
      <c r="J142" t="str">
        <f>_xlfn.XLOOKUP(I142,[1]Dates!$A$2:$A$181,[1]Dates!$B$2:$B$181)</f>
        <v>2024-02-29</v>
      </c>
      <c r="K142">
        <f t="shared" si="6"/>
        <v>2024</v>
      </c>
      <c r="L142">
        <f t="shared" si="7"/>
        <v>2</v>
      </c>
      <c r="M142">
        <f t="shared" si="8"/>
        <v>29</v>
      </c>
      <c r="N142">
        <f>[1]Transactions!J142*[1]Transactions!K142</f>
        <v>6912</v>
      </c>
    </row>
    <row r="143" spans="1:14" x14ac:dyDescent="0.3">
      <c r="A143">
        <v>142</v>
      </c>
      <c r="B143" t="s">
        <v>157</v>
      </c>
      <c r="C143" t="s">
        <v>15</v>
      </c>
      <c r="D143">
        <v>22</v>
      </c>
      <c r="E143">
        <v>1</v>
      </c>
      <c r="F143" t="str">
        <f>_xlfn.XLOOKUP(E143,[1]Regions!$A$2:$A$31,[1]Regions!$B$2:$B$31)</f>
        <v>Mumbai</v>
      </c>
      <c r="G143" t="str">
        <f>_xlfn.XLOOKUP(E143,[1]Regions!$A$2:$A$31,[1]Regions!$C$2:$C$31)</f>
        <v>Maharashtra</v>
      </c>
      <c r="H143" t="str">
        <f>_xlfn.XLOOKUP(E143,[1]Regions!$A$2:$A$31,[1]Regions!$D$2:$D$31)</f>
        <v>West</v>
      </c>
      <c r="I143">
        <v>3</v>
      </c>
      <c r="J143" t="str">
        <f>_xlfn.XLOOKUP(I143,[1]Dates!$A$2:$A$181,[1]Dates!$B$2:$B$181)</f>
        <v>2024-01-04</v>
      </c>
      <c r="K143">
        <f t="shared" si="6"/>
        <v>2024</v>
      </c>
      <c r="L143">
        <f t="shared" si="7"/>
        <v>1</v>
      </c>
      <c r="M143">
        <f t="shared" si="8"/>
        <v>4</v>
      </c>
      <c r="N143">
        <f>[1]Transactions!J143*[1]Transactions!K143</f>
        <v>46101</v>
      </c>
    </row>
    <row r="144" spans="1:14" x14ac:dyDescent="0.3">
      <c r="A144">
        <v>143</v>
      </c>
      <c r="B144" t="s">
        <v>158</v>
      </c>
      <c r="C144" t="s">
        <v>18</v>
      </c>
      <c r="D144">
        <v>58</v>
      </c>
      <c r="E144">
        <v>13</v>
      </c>
      <c r="F144" t="str">
        <f>_xlfn.XLOOKUP(E144,[1]Regions!$A$2:$A$31,[1]Regions!$B$2:$B$31)</f>
        <v>Hyderabad</v>
      </c>
      <c r="G144" t="str">
        <f>_xlfn.XLOOKUP(E144,[1]Regions!$A$2:$A$31,[1]Regions!$C$2:$C$31)</f>
        <v>Telangana</v>
      </c>
      <c r="H144" t="str">
        <f>_xlfn.XLOOKUP(E144,[1]Regions!$A$2:$A$31,[1]Regions!$D$2:$D$31)</f>
        <v>South</v>
      </c>
      <c r="I144">
        <v>71</v>
      </c>
      <c r="J144" t="str">
        <f>_xlfn.XLOOKUP(I144,[1]Dates!$A$2:$A$181,[1]Dates!$B$2:$B$181)</f>
        <v>2024-03-12</v>
      </c>
      <c r="K144">
        <f t="shared" si="6"/>
        <v>2024</v>
      </c>
      <c r="L144">
        <f t="shared" si="7"/>
        <v>3</v>
      </c>
      <c r="M144">
        <f t="shared" si="8"/>
        <v>12</v>
      </c>
      <c r="N144">
        <f>[1]Transactions!J144*[1]Transactions!K144</f>
        <v>78960</v>
      </c>
    </row>
    <row r="145" spans="1:14" x14ac:dyDescent="0.3">
      <c r="A145">
        <v>144</v>
      </c>
      <c r="B145" t="s">
        <v>159</v>
      </c>
      <c r="C145" t="s">
        <v>18</v>
      </c>
      <c r="D145">
        <v>53</v>
      </c>
      <c r="E145">
        <v>24</v>
      </c>
      <c r="F145" t="str">
        <f>_xlfn.XLOOKUP(E145,[1]Regions!$A$2:$A$31,[1]Regions!$B$2:$B$31)</f>
        <v>Ahmedabad</v>
      </c>
      <c r="G145" t="str">
        <f>_xlfn.XLOOKUP(E145,[1]Regions!$A$2:$A$31,[1]Regions!$C$2:$C$31)</f>
        <v>Gujarat</v>
      </c>
      <c r="H145" t="str">
        <f>_xlfn.XLOOKUP(E145,[1]Regions!$A$2:$A$31,[1]Regions!$D$2:$D$31)</f>
        <v>West</v>
      </c>
      <c r="I145">
        <v>143</v>
      </c>
      <c r="J145" t="str">
        <f>_xlfn.XLOOKUP(I145,[1]Dates!$A$2:$A$181,[1]Dates!$B$2:$B$181)</f>
        <v>2024-05-23</v>
      </c>
      <c r="K145">
        <f t="shared" si="6"/>
        <v>2024</v>
      </c>
      <c r="L145">
        <f t="shared" si="7"/>
        <v>5</v>
      </c>
      <c r="M145">
        <f t="shared" si="8"/>
        <v>23</v>
      </c>
      <c r="N145">
        <f>[1]Transactions!J145*[1]Transactions!K145</f>
        <v>50935</v>
      </c>
    </row>
    <row r="146" spans="1:14" x14ac:dyDescent="0.3">
      <c r="A146">
        <v>145</v>
      </c>
      <c r="B146" t="s">
        <v>160</v>
      </c>
      <c r="C146" t="s">
        <v>18</v>
      </c>
      <c r="D146">
        <v>55</v>
      </c>
      <c r="E146">
        <v>17</v>
      </c>
      <c r="F146" t="str">
        <f>_xlfn.XLOOKUP(E146,[1]Regions!$A$2:$A$31,[1]Regions!$B$2:$B$31)</f>
        <v>Kolkata</v>
      </c>
      <c r="G146" t="str">
        <f>_xlfn.XLOOKUP(E146,[1]Regions!$A$2:$A$31,[1]Regions!$C$2:$C$31)</f>
        <v>West Bengal</v>
      </c>
      <c r="H146" t="str">
        <f>_xlfn.XLOOKUP(E146,[1]Regions!$A$2:$A$31,[1]Regions!$D$2:$D$31)</f>
        <v>East</v>
      </c>
      <c r="I146">
        <v>22</v>
      </c>
      <c r="J146" t="str">
        <f>_xlfn.XLOOKUP(I146,[1]Dates!$A$2:$A$181,[1]Dates!$B$2:$B$181)</f>
        <v>2024-01-23</v>
      </c>
      <c r="K146">
        <f t="shared" si="6"/>
        <v>2024</v>
      </c>
      <c r="L146">
        <f t="shared" si="7"/>
        <v>1</v>
      </c>
      <c r="M146">
        <f t="shared" si="8"/>
        <v>23</v>
      </c>
      <c r="N146">
        <f>[1]Transactions!J146*[1]Transactions!K146</f>
        <v>41760</v>
      </c>
    </row>
    <row r="147" spans="1:14" x14ac:dyDescent="0.3">
      <c r="A147">
        <v>146</v>
      </c>
      <c r="B147" t="s">
        <v>161</v>
      </c>
      <c r="C147" t="s">
        <v>18</v>
      </c>
      <c r="D147">
        <v>27</v>
      </c>
      <c r="E147">
        <v>2</v>
      </c>
      <c r="F147" t="str">
        <f>_xlfn.XLOOKUP(E147,[1]Regions!$A$2:$A$31,[1]Regions!$B$2:$B$31)</f>
        <v>Mumbai</v>
      </c>
      <c r="G147" t="str">
        <f>_xlfn.XLOOKUP(E147,[1]Regions!$A$2:$A$31,[1]Regions!$C$2:$C$31)</f>
        <v>Maharashtra</v>
      </c>
      <c r="H147" t="str">
        <f>_xlfn.XLOOKUP(E147,[1]Regions!$A$2:$A$31,[1]Regions!$D$2:$D$31)</f>
        <v>West</v>
      </c>
      <c r="I147">
        <v>13</v>
      </c>
      <c r="J147" t="str">
        <f>_xlfn.XLOOKUP(I147,[1]Dates!$A$2:$A$181,[1]Dates!$B$2:$B$181)</f>
        <v>2024-01-14</v>
      </c>
      <c r="K147">
        <f t="shared" si="6"/>
        <v>2024</v>
      </c>
      <c r="L147">
        <f t="shared" si="7"/>
        <v>1</v>
      </c>
      <c r="M147">
        <f t="shared" si="8"/>
        <v>14</v>
      </c>
      <c r="N147">
        <f>[1]Transactions!J147*[1]Transactions!K147</f>
        <v>71980</v>
      </c>
    </row>
    <row r="148" spans="1:14" x14ac:dyDescent="0.3">
      <c r="A148">
        <v>147</v>
      </c>
      <c r="B148" t="s">
        <v>162</v>
      </c>
      <c r="C148" t="s">
        <v>15</v>
      </c>
      <c r="D148">
        <v>43</v>
      </c>
      <c r="E148">
        <v>16</v>
      </c>
      <c r="F148" t="str">
        <f>_xlfn.XLOOKUP(E148,[1]Regions!$A$2:$A$31,[1]Regions!$B$2:$B$31)</f>
        <v>Kolkata</v>
      </c>
      <c r="G148" t="str">
        <f>_xlfn.XLOOKUP(E148,[1]Regions!$A$2:$A$31,[1]Regions!$C$2:$C$31)</f>
        <v>West Bengal</v>
      </c>
      <c r="H148" t="str">
        <f>_xlfn.XLOOKUP(E148,[1]Regions!$A$2:$A$31,[1]Regions!$D$2:$D$31)</f>
        <v>East</v>
      </c>
      <c r="I148">
        <v>180</v>
      </c>
      <c r="J148" t="str">
        <f>_xlfn.XLOOKUP(I148,[1]Dates!$A$2:$A$181,[1]Dates!$B$2:$B$181)</f>
        <v>2024-06-29</v>
      </c>
      <c r="K148">
        <f t="shared" si="6"/>
        <v>2024</v>
      </c>
      <c r="L148">
        <f t="shared" si="7"/>
        <v>6</v>
      </c>
      <c r="M148">
        <f t="shared" si="8"/>
        <v>29</v>
      </c>
      <c r="N148">
        <f>[1]Transactions!J148*[1]Transactions!K148</f>
        <v>113316</v>
      </c>
    </row>
    <row r="149" spans="1:14" x14ac:dyDescent="0.3">
      <c r="A149">
        <v>148</v>
      </c>
      <c r="B149" t="s">
        <v>163</v>
      </c>
      <c r="C149" t="s">
        <v>15</v>
      </c>
      <c r="D149">
        <v>42</v>
      </c>
      <c r="E149">
        <v>27</v>
      </c>
      <c r="F149" t="str">
        <f>_xlfn.XLOOKUP(E149,[1]Regions!$A$2:$A$31,[1]Regions!$B$2:$B$31)</f>
        <v>Jaipur</v>
      </c>
      <c r="G149" t="str">
        <f>_xlfn.XLOOKUP(E149,[1]Regions!$A$2:$A$31,[1]Regions!$C$2:$C$31)</f>
        <v>Rajasthan</v>
      </c>
      <c r="H149" t="str">
        <f>_xlfn.XLOOKUP(E149,[1]Regions!$A$2:$A$31,[1]Regions!$D$2:$D$31)</f>
        <v>North</v>
      </c>
      <c r="I149">
        <v>134</v>
      </c>
      <c r="J149" t="str">
        <f>_xlfn.XLOOKUP(I149,[1]Dates!$A$2:$A$181,[1]Dates!$B$2:$B$181)</f>
        <v>2024-05-14</v>
      </c>
      <c r="K149">
        <f t="shared" si="6"/>
        <v>2024</v>
      </c>
      <c r="L149">
        <f t="shared" si="7"/>
        <v>5</v>
      </c>
      <c r="M149">
        <f t="shared" si="8"/>
        <v>14</v>
      </c>
      <c r="N149">
        <f>[1]Transactions!J149*[1]Transactions!K149</f>
        <v>22155</v>
      </c>
    </row>
    <row r="150" spans="1:14" x14ac:dyDescent="0.3">
      <c r="A150">
        <v>149</v>
      </c>
      <c r="B150" t="s">
        <v>164</v>
      </c>
      <c r="C150" t="s">
        <v>15</v>
      </c>
      <c r="D150">
        <v>52</v>
      </c>
      <c r="E150">
        <v>3</v>
      </c>
      <c r="F150" t="str">
        <f>_xlfn.XLOOKUP(E150,[1]Regions!$A$2:$A$31,[1]Regions!$B$2:$B$31)</f>
        <v>Mumbai</v>
      </c>
      <c r="G150" t="str">
        <f>_xlfn.XLOOKUP(E150,[1]Regions!$A$2:$A$31,[1]Regions!$C$2:$C$31)</f>
        <v>Maharashtra</v>
      </c>
      <c r="H150" t="str">
        <f>_xlfn.XLOOKUP(E150,[1]Regions!$A$2:$A$31,[1]Regions!$D$2:$D$31)</f>
        <v>West</v>
      </c>
      <c r="I150">
        <v>174</v>
      </c>
      <c r="J150" t="str">
        <f>_xlfn.XLOOKUP(I150,[1]Dates!$A$2:$A$181,[1]Dates!$B$2:$B$181)</f>
        <v>2024-06-23</v>
      </c>
      <c r="K150">
        <f t="shared" si="6"/>
        <v>2024</v>
      </c>
      <c r="L150">
        <f t="shared" si="7"/>
        <v>6</v>
      </c>
      <c r="M150">
        <f t="shared" si="8"/>
        <v>23</v>
      </c>
      <c r="N150">
        <f>[1]Transactions!J150*[1]Transactions!K150</f>
        <v>9600</v>
      </c>
    </row>
    <row r="151" spans="1:14" x14ac:dyDescent="0.3">
      <c r="A151">
        <v>150</v>
      </c>
      <c r="B151" t="s">
        <v>165</v>
      </c>
      <c r="C151" t="s">
        <v>15</v>
      </c>
      <c r="D151">
        <v>26</v>
      </c>
      <c r="E151">
        <v>26</v>
      </c>
      <c r="F151" t="str">
        <f>_xlfn.XLOOKUP(E151,[1]Regions!$A$2:$A$31,[1]Regions!$B$2:$B$31)</f>
        <v>Jaipur</v>
      </c>
      <c r="G151" t="str">
        <f>_xlfn.XLOOKUP(E151,[1]Regions!$A$2:$A$31,[1]Regions!$C$2:$C$31)</f>
        <v>Rajasthan</v>
      </c>
      <c r="H151" t="str">
        <f>_xlfn.XLOOKUP(E151,[1]Regions!$A$2:$A$31,[1]Regions!$D$2:$D$31)</f>
        <v>North</v>
      </c>
      <c r="I151">
        <v>117</v>
      </c>
      <c r="J151" t="str">
        <f>_xlfn.XLOOKUP(I151,[1]Dates!$A$2:$A$181,[1]Dates!$B$2:$B$181)</f>
        <v>2024-04-27</v>
      </c>
      <c r="K151">
        <f t="shared" si="6"/>
        <v>2024</v>
      </c>
      <c r="L151">
        <f t="shared" si="7"/>
        <v>4</v>
      </c>
      <c r="M151">
        <f t="shared" si="8"/>
        <v>27</v>
      </c>
      <c r="N151">
        <f>[1]Transactions!J151*[1]Transactions!K151</f>
        <v>174720</v>
      </c>
    </row>
    <row r="152" spans="1:14" x14ac:dyDescent="0.3">
      <c r="A152">
        <v>151</v>
      </c>
      <c r="B152" t="s">
        <v>166</v>
      </c>
      <c r="C152" t="s">
        <v>18</v>
      </c>
      <c r="D152">
        <v>26</v>
      </c>
      <c r="E152">
        <v>5</v>
      </c>
      <c r="F152" t="str">
        <f>_xlfn.XLOOKUP(E152,[1]Regions!$A$2:$A$31,[1]Regions!$B$2:$B$31)</f>
        <v>Delhi</v>
      </c>
      <c r="G152" t="str">
        <f>_xlfn.XLOOKUP(E152,[1]Regions!$A$2:$A$31,[1]Regions!$C$2:$C$31)</f>
        <v>Delhi</v>
      </c>
      <c r="H152" t="str">
        <f>_xlfn.XLOOKUP(E152,[1]Regions!$A$2:$A$31,[1]Regions!$D$2:$D$31)</f>
        <v>North</v>
      </c>
      <c r="I152">
        <v>17</v>
      </c>
      <c r="J152" t="str">
        <f>_xlfn.XLOOKUP(I152,[1]Dates!$A$2:$A$181,[1]Dates!$B$2:$B$181)</f>
        <v>2024-01-18</v>
      </c>
      <c r="K152">
        <f t="shared" si="6"/>
        <v>2024</v>
      </c>
      <c r="L152">
        <f t="shared" si="7"/>
        <v>1</v>
      </c>
      <c r="M152">
        <f t="shared" si="8"/>
        <v>18</v>
      </c>
      <c r="N152">
        <f>[1]Transactions!J152*[1]Transactions!K152</f>
        <v>186912</v>
      </c>
    </row>
    <row r="153" spans="1:14" x14ac:dyDescent="0.3">
      <c r="A153">
        <v>152</v>
      </c>
      <c r="B153" t="s">
        <v>167</v>
      </c>
      <c r="C153" t="s">
        <v>18</v>
      </c>
      <c r="D153">
        <v>28</v>
      </c>
      <c r="E153">
        <v>5</v>
      </c>
      <c r="F153" t="str">
        <f>_xlfn.XLOOKUP(E153,[1]Regions!$A$2:$A$31,[1]Regions!$B$2:$B$31)</f>
        <v>Delhi</v>
      </c>
      <c r="G153" t="str">
        <f>_xlfn.XLOOKUP(E153,[1]Regions!$A$2:$A$31,[1]Regions!$C$2:$C$31)</f>
        <v>Delhi</v>
      </c>
      <c r="H153" t="str">
        <f>_xlfn.XLOOKUP(E153,[1]Regions!$A$2:$A$31,[1]Regions!$D$2:$D$31)</f>
        <v>North</v>
      </c>
      <c r="I153">
        <v>116</v>
      </c>
      <c r="J153" t="str">
        <f>_xlfn.XLOOKUP(I153,[1]Dates!$A$2:$A$181,[1]Dates!$B$2:$B$181)</f>
        <v>2024-04-26</v>
      </c>
      <c r="K153">
        <f t="shared" si="6"/>
        <v>2024</v>
      </c>
      <c r="L153">
        <f t="shared" si="7"/>
        <v>4</v>
      </c>
      <c r="M153">
        <f t="shared" si="8"/>
        <v>26</v>
      </c>
      <c r="N153">
        <f>[1]Transactions!J153*[1]Transactions!K153</f>
        <v>60375</v>
      </c>
    </row>
    <row r="154" spans="1:14" x14ac:dyDescent="0.3">
      <c r="A154">
        <v>153</v>
      </c>
      <c r="B154" t="s">
        <v>168</v>
      </c>
      <c r="C154" t="s">
        <v>15</v>
      </c>
      <c r="D154">
        <v>44</v>
      </c>
      <c r="E154">
        <v>20</v>
      </c>
      <c r="F154" t="str">
        <f>_xlfn.XLOOKUP(E154,[1]Regions!$A$2:$A$31,[1]Regions!$B$2:$B$31)</f>
        <v>Pune</v>
      </c>
      <c r="G154" t="str">
        <f>_xlfn.XLOOKUP(E154,[1]Regions!$A$2:$A$31,[1]Regions!$C$2:$C$31)</f>
        <v>Maharashtra</v>
      </c>
      <c r="H154" t="str">
        <f>_xlfn.XLOOKUP(E154,[1]Regions!$A$2:$A$31,[1]Regions!$D$2:$D$31)</f>
        <v>West</v>
      </c>
      <c r="I154">
        <v>107</v>
      </c>
      <c r="J154" t="str">
        <f>_xlfn.XLOOKUP(I154,[1]Dates!$A$2:$A$181,[1]Dates!$B$2:$B$181)</f>
        <v>2024-04-17</v>
      </c>
      <c r="K154">
        <f t="shared" si="6"/>
        <v>2024</v>
      </c>
      <c r="L154">
        <f t="shared" si="7"/>
        <v>4</v>
      </c>
      <c r="M154">
        <f t="shared" si="8"/>
        <v>17</v>
      </c>
      <c r="N154">
        <f>[1]Transactions!J154*[1]Transactions!K154</f>
        <v>62125</v>
      </c>
    </row>
    <row r="155" spans="1:14" x14ac:dyDescent="0.3">
      <c r="A155">
        <v>154</v>
      </c>
      <c r="B155" t="s">
        <v>169</v>
      </c>
      <c r="C155" t="s">
        <v>15</v>
      </c>
      <c r="D155">
        <v>18</v>
      </c>
      <c r="E155">
        <v>27</v>
      </c>
      <c r="F155" t="str">
        <f>_xlfn.XLOOKUP(E155,[1]Regions!$A$2:$A$31,[1]Regions!$B$2:$B$31)</f>
        <v>Jaipur</v>
      </c>
      <c r="G155" t="str">
        <f>_xlfn.XLOOKUP(E155,[1]Regions!$A$2:$A$31,[1]Regions!$C$2:$C$31)</f>
        <v>Rajasthan</v>
      </c>
      <c r="H155" t="str">
        <f>_xlfn.XLOOKUP(E155,[1]Regions!$A$2:$A$31,[1]Regions!$D$2:$D$31)</f>
        <v>North</v>
      </c>
      <c r="I155">
        <v>169</v>
      </c>
      <c r="J155" t="str">
        <f>_xlfn.XLOOKUP(I155,[1]Dates!$A$2:$A$181,[1]Dates!$B$2:$B$181)</f>
        <v>2024-06-18</v>
      </c>
      <c r="K155">
        <f t="shared" si="6"/>
        <v>2024</v>
      </c>
      <c r="L155">
        <f t="shared" si="7"/>
        <v>6</v>
      </c>
      <c r="M155">
        <f t="shared" si="8"/>
        <v>18</v>
      </c>
      <c r="N155">
        <f>[1]Transactions!J155*[1]Transactions!K155</f>
        <v>9675</v>
      </c>
    </row>
    <row r="156" spans="1:14" x14ac:dyDescent="0.3">
      <c r="A156">
        <v>155</v>
      </c>
      <c r="B156" t="s">
        <v>170</v>
      </c>
      <c r="C156" t="s">
        <v>15</v>
      </c>
      <c r="D156">
        <v>29</v>
      </c>
      <c r="E156">
        <v>28</v>
      </c>
      <c r="F156" t="str">
        <f>_xlfn.XLOOKUP(E156,[1]Regions!$A$2:$A$31,[1]Regions!$B$2:$B$31)</f>
        <v>Lucknow</v>
      </c>
      <c r="G156" t="str">
        <f>_xlfn.XLOOKUP(E156,[1]Regions!$A$2:$A$31,[1]Regions!$C$2:$C$31)</f>
        <v>UP</v>
      </c>
      <c r="H156" t="str">
        <f>_xlfn.XLOOKUP(E156,[1]Regions!$A$2:$A$31,[1]Regions!$D$2:$D$31)</f>
        <v>North</v>
      </c>
      <c r="I156">
        <v>146</v>
      </c>
      <c r="J156" t="str">
        <f>_xlfn.XLOOKUP(I156,[1]Dates!$A$2:$A$181,[1]Dates!$B$2:$B$181)</f>
        <v>2024-05-26</v>
      </c>
      <c r="K156">
        <f t="shared" si="6"/>
        <v>2024</v>
      </c>
      <c r="L156">
        <f t="shared" si="7"/>
        <v>5</v>
      </c>
      <c r="M156">
        <f t="shared" si="8"/>
        <v>26</v>
      </c>
      <c r="N156">
        <f>[1]Transactions!J156*[1]Transactions!K156</f>
        <v>32752</v>
      </c>
    </row>
    <row r="157" spans="1:14" x14ac:dyDescent="0.3">
      <c r="A157">
        <v>156</v>
      </c>
      <c r="B157" t="s">
        <v>171</v>
      </c>
      <c r="C157" t="s">
        <v>15</v>
      </c>
      <c r="D157">
        <v>47</v>
      </c>
      <c r="E157">
        <v>21</v>
      </c>
      <c r="F157" t="str">
        <f>_xlfn.XLOOKUP(E157,[1]Regions!$A$2:$A$31,[1]Regions!$B$2:$B$31)</f>
        <v>Pune</v>
      </c>
      <c r="G157" t="str">
        <f>_xlfn.XLOOKUP(E157,[1]Regions!$A$2:$A$31,[1]Regions!$C$2:$C$31)</f>
        <v>Maharashtra</v>
      </c>
      <c r="H157" t="str">
        <f>_xlfn.XLOOKUP(E157,[1]Regions!$A$2:$A$31,[1]Regions!$D$2:$D$31)</f>
        <v>West</v>
      </c>
      <c r="I157">
        <v>75</v>
      </c>
      <c r="J157" t="str">
        <f>_xlfn.XLOOKUP(I157,[1]Dates!$A$2:$A$181,[1]Dates!$B$2:$B$181)</f>
        <v>2024-03-16</v>
      </c>
      <c r="K157">
        <f t="shared" si="6"/>
        <v>2024</v>
      </c>
      <c r="L157">
        <f t="shared" si="7"/>
        <v>3</v>
      </c>
      <c r="M157">
        <f t="shared" si="8"/>
        <v>16</v>
      </c>
      <c r="N157">
        <f>[1]Transactions!J157*[1]Transactions!K157</f>
        <v>15662</v>
      </c>
    </row>
    <row r="158" spans="1:14" x14ac:dyDescent="0.3">
      <c r="A158">
        <v>157</v>
      </c>
      <c r="B158" t="s">
        <v>172</v>
      </c>
      <c r="C158" t="s">
        <v>15</v>
      </c>
      <c r="D158">
        <v>30</v>
      </c>
      <c r="E158">
        <v>11</v>
      </c>
      <c r="F158" t="str">
        <f>_xlfn.XLOOKUP(E158,[1]Regions!$A$2:$A$31,[1]Regions!$B$2:$B$31)</f>
        <v>Chennai</v>
      </c>
      <c r="G158" t="str">
        <f>_xlfn.XLOOKUP(E158,[1]Regions!$A$2:$A$31,[1]Regions!$C$2:$C$31)</f>
        <v>Tamil Nadu</v>
      </c>
      <c r="H158" t="str">
        <f>_xlfn.XLOOKUP(E158,[1]Regions!$A$2:$A$31,[1]Regions!$D$2:$D$31)</f>
        <v>South</v>
      </c>
      <c r="I158">
        <v>118</v>
      </c>
      <c r="J158" t="str">
        <f>_xlfn.XLOOKUP(I158,[1]Dates!$A$2:$A$181,[1]Dates!$B$2:$B$181)</f>
        <v>2024-04-28</v>
      </c>
      <c r="K158">
        <f t="shared" si="6"/>
        <v>2024</v>
      </c>
      <c r="L158">
        <f t="shared" si="7"/>
        <v>4</v>
      </c>
      <c r="M158">
        <f t="shared" si="8"/>
        <v>28</v>
      </c>
      <c r="N158">
        <f>[1]Transactions!J158*[1]Transactions!K158</f>
        <v>960</v>
      </c>
    </row>
    <row r="159" spans="1:14" x14ac:dyDescent="0.3">
      <c r="A159">
        <v>158</v>
      </c>
      <c r="B159" t="s">
        <v>173</v>
      </c>
      <c r="C159" t="s">
        <v>18</v>
      </c>
      <c r="D159">
        <v>30</v>
      </c>
      <c r="E159">
        <v>14</v>
      </c>
      <c r="F159" t="str">
        <f>_xlfn.XLOOKUP(E159,[1]Regions!$A$2:$A$31,[1]Regions!$B$2:$B$31)</f>
        <v>Hyderabad</v>
      </c>
      <c r="G159" t="str">
        <f>_xlfn.XLOOKUP(E159,[1]Regions!$A$2:$A$31,[1]Regions!$C$2:$C$31)</f>
        <v>Telangana</v>
      </c>
      <c r="H159" t="str">
        <f>_xlfn.XLOOKUP(E159,[1]Regions!$A$2:$A$31,[1]Regions!$D$2:$D$31)</f>
        <v>South</v>
      </c>
      <c r="I159">
        <v>97</v>
      </c>
      <c r="J159" t="str">
        <f>_xlfn.XLOOKUP(I159,[1]Dates!$A$2:$A$181,[1]Dates!$B$2:$B$181)</f>
        <v>2024-04-07</v>
      </c>
      <c r="K159">
        <f t="shared" si="6"/>
        <v>2024</v>
      </c>
      <c r="L159">
        <f t="shared" si="7"/>
        <v>4</v>
      </c>
      <c r="M159">
        <f t="shared" si="8"/>
        <v>7</v>
      </c>
      <c r="N159">
        <f>[1]Transactions!J159*[1]Transactions!K159</f>
        <v>149694</v>
      </c>
    </row>
    <row r="160" spans="1:14" x14ac:dyDescent="0.3">
      <c r="A160">
        <v>159</v>
      </c>
      <c r="B160" t="s">
        <v>174</v>
      </c>
      <c r="C160" t="s">
        <v>18</v>
      </c>
      <c r="D160">
        <v>48</v>
      </c>
      <c r="E160">
        <v>2</v>
      </c>
      <c r="F160" t="str">
        <f>_xlfn.XLOOKUP(E160,[1]Regions!$A$2:$A$31,[1]Regions!$B$2:$B$31)</f>
        <v>Mumbai</v>
      </c>
      <c r="G160" t="str">
        <f>_xlfn.XLOOKUP(E160,[1]Regions!$A$2:$A$31,[1]Regions!$C$2:$C$31)</f>
        <v>Maharashtra</v>
      </c>
      <c r="H160" t="str">
        <f>_xlfn.XLOOKUP(E160,[1]Regions!$A$2:$A$31,[1]Regions!$D$2:$D$31)</f>
        <v>West</v>
      </c>
      <c r="I160">
        <v>118</v>
      </c>
      <c r="J160" t="str">
        <f>_xlfn.XLOOKUP(I160,[1]Dates!$A$2:$A$181,[1]Dates!$B$2:$B$181)</f>
        <v>2024-04-28</v>
      </c>
      <c r="K160">
        <f t="shared" si="6"/>
        <v>2024</v>
      </c>
      <c r="L160">
        <f t="shared" si="7"/>
        <v>4</v>
      </c>
      <c r="M160">
        <f t="shared" si="8"/>
        <v>28</v>
      </c>
      <c r="N160">
        <f>[1]Transactions!J160*[1]Transactions!K160</f>
        <v>95580</v>
      </c>
    </row>
    <row r="161" spans="1:14" x14ac:dyDescent="0.3">
      <c r="A161">
        <v>160</v>
      </c>
      <c r="B161" t="s">
        <v>175</v>
      </c>
      <c r="C161" t="s">
        <v>15</v>
      </c>
      <c r="D161">
        <v>25</v>
      </c>
      <c r="E161">
        <v>24</v>
      </c>
      <c r="F161" t="str">
        <f>_xlfn.XLOOKUP(E161,[1]Regions!$A$2:$A$31,[1]Regions!$B$2:$B$31)</f>
        <v>Ahmedabad</v>
      </c>
      <c r="G161" t="str">
        <f>_xlfn.XLOOKUP(E161,[1]Regions!$A$2:$A$31,[1]Regions!$C$2:$C$31)</f>
        <v>Gujarat</v>
      </c>
      <c r="H161" t="str">
        <f>_xlfn.XLOOKUP(E161,[1]Regions!$A$2:$A$31,[1]Regions!$D$2:$D$31)</f>
        <v>West</v>
      </c>
      <c r="I161">
        <v>175</v>
      </c>
      <c r="J161" t="str">
        <f>_xlfn.XLOOKUP(I161,[1]Dates!$A$2:$A$181,[1]Dates!$B$2:$B$181)</f>
        <v>2024-06-24</v>
      </c>
      <c r="K161">
        <f t="shared" si="6"/>
        <v>2024</v>
      </c>
      <c r="L161">
        <f t="shared" si="7"/>
        <v>6</v>
      </c>
      <c r="M161">
        <f t="shared" si="8"/>
        <v>24</v>
      </c>
      <c r="N161">
        <f>[1]Transactions!J161*[1]Transactions!K161</f>
        <v>17304</v>
      </c>
    </row>
    <row r="162" spans="1:14" x14ac:dyDescent="0.3">
      <c r="A162">
        <v>161</v>
      </c>
      <c r="B162" t="s">
        <v>176</v>
      </c>
      <c r="C162" t="s">
        <v>18</v>
      </c>
      <c r="D162">
        <v>37</v>
      </c>
      <c r="E162">
        <v>14</v>
      </c>
      <c r="F162" t="str">
        <f>_xlfn.XLOOKUP(E162,[1]Regions!$A$2:$A$31,[1]Regions!$B$2:$B$31)</f>
        <v>Hyderabad</v>
      </c>
      <c r="G162" t="str">
        <f>_xlfn.XLOOKUP(E162,[1]Regions!$A$2:$A$31,[1]Regions!$C$2:$C$31)</f>
        <v>Telangana</v>
      </c>
      <c r="H162" t="str">
        <f>_xlfn.XLOOKUP(E162,[1]Regions!$A$2:$A$31,[1]Regions!$D$2:$D$31)</f>
        <v>South</v>
      </c>
      <c r="I162">
        <v>77</v>
      </c>
      <c r="J162" t="str">
        <f>_xlfn.XLOOKUP(I162,[1]Dates!$A$2:$A$181,[1]Dates!$B$2:$B$181)</f>
        <v>2024-03-18</v>
      </c>
      <c r="K162">
        <f t="shared" si="6"/>
        <v>2024</v>
      </c>
      <c r="L162">
        <f t="shared" si="7"/>
        <v>3</v>
      </c>
      <c r="M162">
        <f t="shared" si="8"/>
        <v>18</v>
      </c>
      <c r="N162">
        <f>[1]Transactions!J162*[1]Transactions!K162</f>
        <v>465600</v>
      </c>
    </row>
    <row r="163" spans="1:14" x14ac:dyDescent="0.3">
      <c r="A163">
        <v>162</v>
      </c>
      <c r="B163" t="s">
        <v>177</v>
      </c>
      <c r="C163" t="s">
        <v>18</v>
      </c>
      <c r="D163">
        <v>54</v>
      </c>
      <c r="E163">
        <v>15</v>
      </c>
      <c r="F163" t="str">
        <f>_xlfn.XLOOKUP(E163,[1]Regions!$A$2:$A$31,[1]Regions!$B$2:$B$31)</f>
        <v>Hyderabad</v>
      </c>
      <c r="G163" t="str">
        <f>_xlfn.XLOOKUP(E163,[1]Regions!$A$2:$A$31,[1]Regions!$C$2:$C$31)</f>
        <v>Telangana</v>
      </c>
      <c r="H163" t="str">
        <f>_xlfn.XLOOKUP(E163,[1]Regions!$A$2:$A$31,[1]Regions!$D$2:$D$31)</f>
        <v>South</v>
      </c>
      <c r="I163">
        <v>167</v>
      </c>
      <c r="J163" t="str">
        <f>_xlfn.XLOOKUP(I163,[1]Dates!$A$2:$A$181,[1]Dates!$B$2:$B$181)</f>
        <v>2024-06-16</v>
      </c>
      <c r="K163">
        <f t="shared" si="6"/>
        <v>2024</v>
      </c>
      <c r="L163">
        <f t="shared" si="7"/>
        <v>6</v>
      </c>
      <c r="M163">
        <f t="shared" si="8"/>
        <v>16</v>
      </c>
      <c r="N163">
        <f>[1]Transactions!J163*[1]Transactions!K163</f>
        <v>109474</v>
      </c>
    </row>
    <row r="164" spans="1:14" x14ac:dyDescent="0.3">
      <c r="A164">
        <v>163</v>
      </c>
      <c r="B164" t="s">
        <v>178</v>
      </c>
      <c r="C164" t="s">
        <v>18</v>
      </c>
      <c r="D164">
        <v>47</v>
      </c>
      <c r="E164">
        <v>7</v>
      </c>
      <c r="F164" t="str">
        <f>_xlfn.XLOOKUP(E164,[1]Regions!$A$2:$A$31,[1]Regions!$B$2:$B$31)</f>
        <v>Bangalore</v>
      </c>
      <c r="G164" t="str">
        <f>_xlfn.XLOOKUP(E164,[1]Regions!$A$2:$A$31,[1]Regions!$C$2:$C$31)</f>
        <v>Karnataka</v>
      </c>
      <c r="H164" t="str">
        <f>_xlfn.XLOOKUP(E164,[1]Regions!$A$2:$A$31,[1]Regions!$D$2:$D$31)</f>
        <v>South</v>
      </c>
      <c r="I164">
        <v>70</v>
      </c>
      <c r="J164" t="str">
        <f>_xlfn.XLOOKUP(I164,[1]Dates!$A$2:$A$181,[1]Dates!$B$2:$B$181)</f>
        <v>2024-03-11</v>
      </c>
      <c r="K164">
        <f t="shared" si="6"/>
        <v>2024</v>
      </c>
      <c r="L164">
        <f t="shared" si="7"/>
        <v>3</v>
      </c>
      <c r="M164">
        <f t="shared" si="8"/>
        <v>11</v>
      </c>
      <c r="N164">
        <f>[1]Transactions!J164*[1]Transactions!K164</f>
        <v>13392</v>
      </c>
    </row>
    <row r="165" spans="1:14" x14ac:dyDescent="0.3">
      <c r="A165">
        <v>164</v>
      </c>
      <c r="B165" t="s">
        <v>179</v>
      </c>
      <c r="C165" t="s">
        <v>18</v>
      </c>
      <c r="D165">
        <v>49</v>
      </c>
      <c r="E165">
        <v>20</v>
      </c>
      <c r="F165" t="str">
        <f>_xlfn.XLOOKUP(E165,[1]Regions!$A$2:$A$31,[1]Regions!$B$2:$B$31)</f>
        <v>Pune</v>
      </c>
      <c r="G165" t="str">
        <f>_xlfn.XLOOKUP(E165,[1]Regions!$A$2:$A$31,[1]Regions!$C$2:$C$31)</f>
        <v>Maharashtra</v>
      </c>
      <c r="H165" t="str">
        <f>_xlfn.XLOOKUP(E165,[1]Regions!$A$2:$A$31,[1]Regions!$D$2:$D$31)</f>
        <v>West</v>
      </c>
      <c r="I165">
        <v>49</v>
      </c>
      <c r="J165" t="str">
        <f>_xlfn.XLOOKUP(I165,[1]Dates!$A$2:$A$181,[1]Dates!$B$2:$B$181)</f>
        <v>2024-02-19</v>
      </c>
      <c r="K165">
        <f t="shared" si="6"/>
        <v>2024</v>
      </c>
      <c r="L165">
        <f t="shared" si="7"/>
        <v>2</v>
      </c>
      <c r="M165">
        <f t="shared" si="8"/>
        <v>19</v>
      </c>
      <c r="N165">
        <f>[1]Transactions!J165*[1]Transactions!K165</f>
        <v>114219</v>
      </c>
    </row>
    <row r="166" spans="1:14" x14ac:dyDescent="0.3">
      <c r="A166">
        <v>165</v>
      </c>
      <c r="B166" t="s">
        <v>180</v>
      </c>
      <c r="C166" t="s">
        <v>18</v>
      </c>
      <c r="D166">
        <v>58</v>
      </c>
      <c r="E166">
        <v>28</v>
      </c>
      <c r="F166" t="str">
        <f>_xlfn.XLOOKUP(E166,[1]Regions!$A$2:$A$31,[1]Regions!$B$2:$B$31)</f>
        <v>Lucknow</v>
      </c>
      <c r="G166" t="str">
        <f>_xlfn.XLOOKUP(E166,[1]Regions!$A$2:$A$31,[1]Regions!$C$2:$C$31)</f>
        <v>UP</v>
      </c>
      <c r="H166" t="str">
        <f>_xlfn.XLOOKUP(E166,[1]Regions!$A$2:$A$31,[1]Regions!$D$2:$D$31)</f>
        <v>North</v>
      </c>
      <c r="I166">
        <v>141</v>
      </c>
      <c r="J166" t="str">
        <f>_xlfn.XLOOKUP(I166,[1]Dates!$A$2:$A$181,[1]Dates!$B$2:$B$181)</f>
        <v>2024-05-21</v>
      </c>
      <c r="K166">
        <f t="shared" si="6"/>
        <v>2024</v>
      </c>
      <c r="L166">
        <f t="shared" si="7"/>
        <v>5</v>
      </c>
      <c r="M166">
        <f t="shared" si="8"/>
        <v>21</v>
      </c>
      <c r="N166">
        <f>[1]Transactions!J166*[1]Transactions!K166</f>
        <v>5856</v>
      </c>
    </row>
    <row r="167" spans="1:14" x14ac:dyDescent="0.3">
      <c r="A167">
        <v>166</v>
      </c>
      <c r="B167" t="s">
        <v>181</v>
      </c>
      <c r="C167" t="s">
        <v>18</v>
      </c>
      <c r="D167">
        <v>28</v>
      </c>
      <c r="E167">
        <v>30</v>
      </c>
      <c r="F167" t="str">
        <f>_xlfn.XLOOKUP(E167,[1]Regions!$A$2:$A$31,[1]Regions!$B$2:$B$31)</f>
        <v>Lucknow</v>
      </c>
      <c r="G167" t="str">
        <f>_xlfn.XLOOKUP(E167,[1]Regions!$A$2:$A$31,[1]Regions!$C$2:$C$31)</f>
        <v>UP</v>
      </c>
      <c r="H167" t="str">
        <f>_xlfn.XLOOKUP(E167,[1]Regions!$A$2:$A$31,[1]Regions!$D$2:$D$31)</f>
        <v>North</v>
      </c>
      <c r="I167">
        <v>130</v>
      </c>
      <c r="J167" t="str">
        <f>_xlfn.XLOOKUP(I167,[1]Dates!$A$2:$A$181,[1]Dates!$B$2:$B$181)</f>
        <v>2024-05-10</v>
      </c>
      <c r="K167">
        <f t="shared" si="6"/>
        <v>2024</v>
      </c>
      <c r="L167">
        <f t="shared" si="7"/>
        <v>5</v>
      </c>
      <c r="M167">
        <f t="shared" si="8"/>
        <v>10</v>
      </c>
      <c r="N167">
        <f>[1]Transactions!J167*[1]Transactions!K167</f>
        <v>77880</v>
      </c>
    </row>
    <row r="168" spans="1:14" x14ac:dyDescent="0.3">
      <c r="A168">
        <v>167</v>
      </c>
      <c r="B168" t="s">
        <v>182</v>
      </c>
      <c r="C168" t="s">
        <v>18</v>
      </c>
      <c r="D168">
        <v>51</v>
      </c>
      <c r="E168">
        <v>14</v>
      </c>
      <c r="F168" t="str">
        <f>_xlfn.XLOOKUP(E168,[1]Regions!$A$2:$A$31,[1]Regions!$B$2:$B$31)</f>
        <v>Hyderabad</v>
      </c>
      <c r="G168" t="str">
        <f>_xlfn.XLOOKUP(E168,[1]Regions!$A$2:$A$31,[1]Regions!$C$2:$C$31)</f>
        <v>Telangana</v>
      </c>
      <c r="H168" t="str">
        <f>_xlfn.XLOOKUP(E168,[1]Regions!$A$2:$A$31,[1]Regions!$D$2:$D$31)</f>
        <v>South</v>
      </c>
      <c r="I168">
        <v>129</v>
      </c>
      <c r="J168" t="str">
        <f>_xlfn.XLOOKUP(I168,[1]Dates!$A$2:$A$181,[1]Dates!$B$2:$B$181)</f>
        <v>2024-05-09</v>
      </c>
      <c r="K168">
        <f t="shared" si="6"/>
        <v>2024</v>
      </c>
      <c r="L168">
        <f t="shared" si="7"/>
        <v>5</v>
      </c>
      <c r="M168">
        <f t="shared" si="8"/>
        <v>9</v>
      </c>
      <c r="N168">
        <f>[1]Transactions!J168*[1]Transactions!K168</f>
        <v>86995</v>
      </c>
    </row>
    <row r="169" spans="1:14" x14ac:dyDescent="0.3">
      <c r="A169">
        <v>168</v>
      </c>
      <c r="B169" t="s">
        <v>183</v>
      </c>
      <c r="C169" t="s">
        <v>15</v>
      </c>
      <c r="D169">
        <v>27</v>
      </c>
      <c r="E169">
        <v>16</v>
      </c>
      <c r="F169" t="str">
        <f>_xlfn.XLOOKUP(E169,[1]Regions!$A$2:$A$31,[1]Regions!$B$2:$B$31)</f>
        <v>Kolkata</v>
      </c>
      <c r="G169" t="str">
        <f>_xlfn.XLOOKUP(E169,[1]Regions!$A$2:$A$31,[1]Regions!$C$2:$C$31)</f>
        <v>West Bengal</v>
      </c>
      <c r="H169" t="str">
        <f>_xlfn.XLOOKUP(E169,[1]Regions!$A$2:$A$31,[1]Regions!$D$2:$D$31)</f>
        <v>East</v>
      </c>
      <c r="I169">
        <v>11</v>
      </c>
      <c r="J169" t="str">
        <f>_xlfn.XLOOKUP(I169,[1]Dates!$A$2:$A$181,[1]Dates!$B$2:$B$181)</f>
        <v>2024-01-12</v>
      </c>
      <c r="K169">
        <f t="shared" si="6"/>
        <v>2024</v>
      </c>
      <c r="L169">
        <f t="shared" si="7"/>
        <v>1</v>
      </c>
      <c r="M169">
        <f t="shared" si="8"/>
        <v>12</v>
      </c>
      <c r="N169">
        <f>[1]Transactions!J169*[1]Transactions!K169</f>
        <v>1810</v>
      </c>
    </row>
    <row r="170" spans="1:14" x14ac:dyDescent="0.3">
      <c r="A170">
        <v>169</v>
      </c>
      <c r="B170" t="s">
        <v>184</v>
      </c>
      <c r="C170" t="s">
        <v>18</v>
      </c>
      <c r="D170">
        <v>45</v>
      </c>
      <c r="E170">
        <v>30</v>
      </c>
      <c r="F170" t="str">
        <f>_xlfn.XLOOKUP(E170,[1]Regions!$A$2:$A$31,[1]Regions!$B$2:$B$31)</f>
        <v>Lucknow</v>
      </c>
      <c r="G170" t="str">
        <f>_xlfn.XLOOKUP(E170,[1]Regions!$A$2:$A$31,[1]Regions!$C$2:$C$31)</f>
        <v>UP</v>
      </c>
      <c r="H170" t="str">
        <f>_xlfn.XLOOKUP(E170,[1]Regions!$A$2:$A$31,[1]Regions!$D$2:$D$31)</f>
        <v>North</v>
      </c>
      <c r="I170">
        <v>85</v>
      </c>
      <c r="J170" t="str">
        <f>_xlfn.XLOOKUP(I170,[1]Dates!$A$2:$A$181,[1]Dates!$B$2:$B$181)</f>
        <v>2024-03-26</v>
      </c>
      <c r="K170">
        <f t="shared" si="6"/>
        <v>2024</v>
      </c>
      <c r="L170">
        <f t="shared" si="7"/>
        <v>3</v>
      </c>
      <c r="M170">
        <f t="shared" si="8"/>
        <v>26</v>
      </c>
      <c r="N170">
        <f>[1]Transactions!J170*[1]Transactions!K170</f>
        <v>136752</v>
      </c>
    </row>
    <row r="171" spans="1:14" x14ac:dyDescent="0.3">
      <c r="A171">
        <v>170</v>
      </c>
      <c r="B171" t="s">
        <v>185</v>
      </c>
      <c r="C171" t="s">
        <v>15</v>
      </c>
      <c r="D171">
        <v>21</v>
      </c>
      <c r="E171">
        <v>5</v>
      </c>
      <c r="F171" t="str">
        <f>_xlfn.XLOOKUP(E171,[1]Regions!$A$2:$A$31,[1]Regions!$B$2:$B$31)</f>
        <v>Delhi</v>
      </c>
      <c r="G171" t="str">
        <f>_xlfn.XLOOKUP(E171,[1]Regions!$A$2:$A$31,[1]Regions!$C$2:$C$31)</f>
        <v>Delhi</v>
      </c>
      <c r="H171" t="str">
        <f>_xlfn.XLOOKUP(E171,[1]Regions!$A$2:$A$31,[1]Regions!$D$2:$D$31)</f>
        <v>North</v>
      </c>
      <c r="I171">
        <v>15</v>
      </c>
      <c r="J171" t="str">
        <f>_xlfn.XLOOKUP(I171,[1]Dates!$A$2:$A$181,[1]Dates!$B$2:$B$181)</f>
        <v>2024-01-16</v>
      </c>
      <c r="K171">
        <f t="shared" si="6"/>
        <v>2024</v>
      </c>
      <c r="L171">
        <f t="shared" si="7"/>
        <v>1</v>
      </c>
      <c r="M171">
        <f t="shared" si="8"/>
        <v>16</v>
      </c>
      <c r="N171">
        <f>[1]Transactions!J171*[1]Transactions!K171</f>
        <v>87860</v>
      </c>
    </row>
    <row r="172" spans="1:14" x14ac:dyDescent="0.3">
      <c r="A172">
        <v>171</v>
      </c>
      <c r="B172" t="s">
        <v>186</v>
      </c>
      <c r="C172" t="s">
        <v>18</v>
      </c>
      <c r="D172">
        <v>29</v>
      </c>
      <c r="E172">
        <v>30</v>
      </c>
      <c r="F172" t="str">
        <f>_xlfn.XLOOKUP(E172,[1]Regions!$A$2:$A$31,[1]Regions!$B$2:$B$31)</f>
        <v>Lucknow</v>
      </c>
      <c r="G172" t="str">
        <f>_xlfn.XLOOKUP(E172,[1]Regions!$A$2:$A$31,[1]Regions!$C$2:$C$31)</f>
        <v>UP</v>
      </c>
      <c r="H172" t="str">
        <f>_xlfn.XLOOKUP(E172,[1]Regions!$A$2:$A$31,[1]Regions!$D$2:$D$31)</f>
        <v>North</v>
      </c>
      <c r="I172">
        <v>120</v>
      </c>
      <c r="J172" t="str">
        <f>_xlfn.XLOOKUP(I172,[1]Dates!$A$2:$A$181,[1]Dates!$B$2:$B$181)</f>
        <v>2024-04-30</v>
      </c>
      <c r="K172">
        <f t="shared" si="6"/>
        <v>2024</v>
      </c>
      <c r="L172">
        <f t="shared" si="7"/>
        <v>4</v>
      </c>
      <c r="M172">
        <f t="shared" si="8"/>
        <v>30</v>
      </c>
      <c r="N172">
        <f>[1]Transactions!J172*[1]Transactions!K172</f>
        <v>142</v>
      </c>
    </row>
    <row r="173" spans="1:14" x14ac:dyDescent="0.3">
      <c r="A173">
        <v>172</v>
      </c>
      <c r="B173" t="s">
        <v>187</v>
      </c>
      <c r="C173" t="s">
        <v>15</v>
      </c>
      <c r="D173">
        <v>35</v>
      </c>
      <c r="E173">
        <v>16</v>
      </c>
      <c r="F173" t="str">
        <f>_xlfn.XLOOKUP(E173,[1]Regions!$A$2:$A$31,[1]Regions!$B$2:$B$31)</f>
        <v>Kolkata</v>
      </c>
      <c r="G173" t="str">
        <f>_xlfn.XLOOKUP(E173,[1]Regions!$A$2:$A$31,[1]Regions!$C$2:$C$31)</f>
        <v>West Bengal</v>
      </c>
      <c r="H173" t="str">
        <f>_xlfn.XLOOKUP(E173,[1]Regions!$A$2:$A$31,[1]Regions!$D$2:$D$31)</f>
        <v>East</v>
      </c>
      <c r="I173">
        <v>145</v>
      </c>
      <c r="J173" t="str">
        <f>_xlfn.XLOOKUP(I173,[1]Dates!$A$2:$A$181,[1]Dates!$B$2:$B$181)</f>
        <v>2024-05-25</v>
      </c>
      <c r="K173">
        <f t="shared" si="6"/>
        <v>2024</v>
      </c>
      <c r="L173">
        <f t="shared" si="7"/>
        <v>5</v>
      </c>
      <c r="M173">
        <f t="shared" si="8"/>
        <v>25</v>
      </c>
      <c r="N173">
        <f>[1]Transactions!J173*[1]Transactions!K173</f>
        <v>152250</v>
      </c>
    </row>
    <row r="174" spans="1:14" x14ac:dyDescent="0.3">
      <c r="A174">
        <v>173</v>
      </c>
      <c r="B174" t="s">
        <v>188</v>
      </c>
      <c r="C174" t="s">
        <v>15</v>
      </c>
      <c r="D174">
        <v>50</v>
      </c>
      <c r="E174">
        <v>6</v>
      </c>
      <c r="F174" t="str">
        <f>_xlfn.XLOOKUP(E174,[1]Regions!$A$2:$A$31,[1]Regions!$B$2:$B$31)</f>
        <v>Delhi</v>
      </c>
      <c r="G174" t="str">
        <f>_xlfn.XLOOKUP(E174,[1]Regions!$A$2:$A$31,[1]Regions!$C$2:$C$31)</f>
        <v>Delhi</v>
      </c>
      <c r="H174" t="str">
        <f>_xlfn.XLOOKUP(E174,[1]Regions!$A$2:$A$31,[1]Regions!$D$2:$D$31)</f>
        <v>North</v>
      </c>
      <c r="I174">
        <v>136</v>
      </c>
      <c r="J174" t="str">
        <f>_xlfn.XLOOKUP(I174,[1]Dates!$A$2:$A$181,[1]Dates!$B$2:$B$181)</f>
        <v>2024-05-16</v>
      </c>
      <c r="K174">
        <f t="shared" si="6"/>
        <v>2024</v>
      </c>
      <c r="L174">
        <f t="shared" si="7"/>
        <v>5</v>
      </c>
      <c r="M174">
        <f t="shared" si="8"/>
        <v>16</v>
      </c>
      <c r="N174">
        <f>[1]Transactions!J174*[1]Transactions!K174</f>
        <v>40504</v>
      </c>
    </row>
    <row r="175" spans="1:14" x14ac:dyDescent="0.3">
      <c r="A175">
        <v>174</v>
      </c>
      <c r="B175" t="s">
        <v>189</v>
      </c>
      <c r="C175" t="s">
        <v>18</v>
      </c>
      <c r="D175">
        <v>59</v>
      </c>
      <c r="E175">
        <v>28</v>
      </c>
      <c r="F175" t="str">
        <f>_xlfn.XLOOKUP(E175,[1]Regions!$A$2:$A$31,[1]Regions!$B$2:$B$31)</f>
        <v>Lucknow</v>
      </c>
      <c r="G175" t="str">
        <f>_xlfn.XLOOKUP(E175,[1]Regions!$A$2:$A$31,[1]Regions!$C$2:$C$31)</f>
        <v>UP</v>
      </c>
      <c r="H175" t="str">
        <f>_xlfn.XLOOKUP(E175,[1]Regions!$A$2:$A$31,[1]Regions!$D$2:$D$31)</f>
        <v>North</v>
      </c>
      <c r="I175">
        <v>115</v>
      </c>
      <c r="J175" t="str">
        <f>_xlfn.XLOOKUP(I175,[1]Dates!$A$2:$A$181,[1]Dates!$B$2:$B$181)</f>
        <v>2024-04-25</v>
      </c>
      <c r="K175">
        <f t="shared" si="6"/>
        <v>2024</v>
      </c>
      <c r="L175">
        <f t="shared" si="7"/>
        <v>4</v>
      </c>
      <c r="M175">
        <f t="shared" si="8"/>
        <v>25</v>
      </c>
      <c r="N175">
        <f>[1]Transactions!J175*[1]Transactions!K175</f>
        <v>90860</v>
      </c>
    </row>
    <row r="176" spans="1:14" x14ac:dyDescent="0.3">
      <c r="A176">
        <v>175</v>
      </c>
      <c r="B176" t="s">
        <v>190</v>
      </c>
      <c r="C176" t="s">
        <v>18</v>
      </c>
      <c r="D176">
        <v>40</v>
      </c>
      <c r="E176">
        <v>8</v>
      </c>
      <c r="F176" t="str">
        <f>_xlfn.XLOOKUP(E176,[1]Regions!$A$2:$A$31,[1]Regions!$B$2:$B$31)</f>
        <v>Bangalore</v>
      </c>
      <c r="G176" t="str">
        <f>_xlfn.XLOOKUP(E176,[1]Regions!$A$2:$A$31,[1]Regions!$C$2:$C$31)</f>
        <v>Karnataka</v>
      </c>
      <c r="H176" t="str">
        <f>_xlfn.XLOOKUP(E176,[1]Regions!$A$2:$A$31,[1]Regions!$D$2:$D$31)</f>
        <v>South</v>
      </c>
      <c r="I176">
        <v>127</v>
      </c>
      <c r="J176" t="str">
        <f>_xlfn.XLOOKUP(I176,[1]Dates!$A$2:$A$181,[1]Dates!$B$2:$B$181)</f>
        <v>2024-05-07</v>
      </c>
      <c r="K176">
        <f t="shared" si="6"/>
        <v>2024</v>
      </c>
      <c r="L176">
        <f t="shared" si="7"/>
        <v>5</v>
      </c>
      <c r="M176">
        <f t="shared" si="8"/>
        <v>7</v>
      </c>
      <c r="N176">
        <f>[1]Transactions!J176*[1]Transactions!K176</f>
        <v>110960</v>
      </c>
    </row>
    <row r="177" spans="1:14" x14ac:dyDescent="0.3">
      <c r="A177">
        <v>176</v>
      </c>
      <c r="B177" t="s">
        <v>191</v>
      </c>
      <c r="C177" t="s">
        <v>15</v>
      </c>
      <c r="D177">
        <v>45</v>
      </c>
      <c r="E177">
        <v>24</v>
      </c>
      <c r="F177" t="str">
        <f>_xlfn.XLOOKUP(E177,[1]Regions!$A$2:$A$31,[1]Regions!$B$2:$B$31)</f>
        <v>Ahmedabad</v>
      </c>
      <c r="G177" t="str">
        <f>_xlfn.XLOOKUP(E177,[1]Regions!$A$2:$A$31,[1]Regions!$C$2:$C$31)</f>
        <v>Gujarat</v>
      </c>
      <c r="H177" t="str">
        <f>_xlfn.XLOOKUP(E177,[1]Regions!$A$2:$A$31,[1]Regions!$D$2:$D$31)</f>
        <v>West</v>
      </c>
      <c r="I177">
        <v>129</v>
      </c>
      <c r="J177" t="str">
        <f>_xlfn.XLOOKUP(I177,[1]Dates!$A$2:$A$181,[1]Dates!$B$2:$B$181)</f>
        <v>2024-05-09</v>
      </c>
      <c r="K177">
        <f t="shared" si="6"/>
        <v>2024</v>
      </c>
      <c r="L177">
        <f t="shared" si="7"/>
        <v>5</v>
      </c>
      <c r="M177">
        <f t="shared" si="8"/>
        <v>9</v>
      </c>
      <c r="N177">
        <f>[1]Transactions!J177*[1]Transactions!K177</f>
        <v>71355</v>
      </c>
    </row>
    <row r="178" spans="1:14" x14ac:dyDescent="0.3">
      <c r="A178">
        <v>177</v>
      </c>
      <c r="B178" t="s">
        <v>192</v>
      </c>
      <c r="C178" t="s">
        <v>15</v>
      </c>
      <c r="D178">
        <v>44</v>
      </c>
      <c r="E178">
        <v>18</v>
      </c>
      <c r="F178" t="str">
        <f>_xlfn.XLOOKUP(E178,[1]Regions!$A$2:$A$31,[1]Regions!$B$2:$B$31)</f>
        <v>Kolkata</v>
      </c>
      <c r="G178" t="str">
        <f>_xlfn.XLOOKUP(E178,[1]Regions!$A$2:$A$31,[1]Regions!$C$2:$C$31)</f>
        <v>West Bengal</v>
      </c>
      <c r="H178" t="str">
        <f>_xlfn.XLOOKUP(E178,[1]Regions!$A$2:$A$31,[1]Regions!$D$2:$D$31)</f>
        <v>East</v>
      </c>
      <c r="I178">
        <v>74</v>
      </c>
      <c r="J178" t="str">
        <f>_xlfn.XLOOKUP(I178,[1]Dates!$A$2:$A$181,[1]Dates!$B$2:$B$181)</f>
        <v>2024-03-15</v>
      </c>
      <c r="K178">
        <f t="shared" si="6"/>
        <v>2024</v>
      </c>
      <c r="L178">
        <f t="shared" si="7"/>
        <v>3</v>
      </c>
      <c r="M178">
        <f t="shared" si="8"/>
        <v>15</v>
      </c>
      <c r="N178">
        <f>[1]Transactions!J178*[1]Transactions!K178</f>
        <v>46000</v>
      </c>
    </row>
    <row r="179" spans="1:14" x14ac:dyDescent="0.3">
      <c r="A179">
        <v>178</v>
      </c>
      <c r="B179" t="s">
        <v>193</v>
      </c>
      <c r="C179" t="s">
        <v>15</v>
      </c>
      <c r="D179">
        <v>27</v>
      </c>
      <c r="E179">
        <v>17</v>
      </c>
      <c r="F179" t="str">
        <f>_xlfn.XLOOKUP(E179,[1]Regions!$A$2:$A$31,[1]Regions!$B$2:$B$31)</f>
        <v>Kolkata</v>
      </c>
      <c r="G179" t="str">
        <f>_xlfn.XLOOKUP(E179,[1]Regions!$A$2:$A$31,[1]Regions!$C$2:$C$31)</f>
        <v>West Bengal</v>
      </c>
      <c r="H179" t="str">
        <f>_xlfn.XLOOKUP(E179,[1]Regions!$A$2:$A$31,[1]Regions!$D$2:$D$31)</f>
        <v>East</v>
      </c>
      <c r="I179">
        <v>20</v>
      </c>
      <c r="J179" t="str">
        <f>_xlfn.XLOOKUP(I179,[1]Dates!$A$2:$A$181,[1]Dates!$B$2:$B$181)</f>
        <v>2024-01-21</v>
      </c>
      <c r="K179">
        <f t="shared" si="6"/>
        <v>2024</v>
      </c>
      <c r="L179">
        <f t="shared" si="7"/>
        <v>1</v>
      </c>
      <c r="M179">
        <f t="shared" si="8"/>
        <v>21</v>
      </c>
      <c r="N179">
        <f>[1]Transactions!J179*[1]Transactions!K179</f>
        <v>16082</v>
      </c>
    </row>
    <row r="180" spans="1:14" x14ac:dyDescent="0.3">
      <c r="A180">
        <v>179</v>
      </c>
      <c r="B180" t="s">
        <v>194</v>
      </c>
      <c r="C180" t="s">
        <v>15</v>
      </c>
      <c r="D180">
        <v>19</v>
      </c>
      <c r="E180">
        <v>6</v>
      </c>
      <c r="F180" t="str">
        <f>_xlfn.XLOOKUP(E180,[1]Regions!$A$2:$A$31,[1]Regions!$B$2:$B$31)</f>
        <v>Delhi</v>
      </c>
      <c r="G180" t="str">
        <f>_xlfn.XLOOKUP(E180,[1]Regions!$A$2:$A$31,[1]Regions!$C$2:$C$31)</f>
        <v>Delhi</v>
      </c>
      <c r="H180" t="str">
        <f>_xlfn.XLOOKUP(E180,[1]Regions!$A$2:$A$31,[1]Regions!$D$2:$D$31)</f>
        <v>North</v>
      </c>
      <c r="I180">
        <v>145</v>
      </c>
      <c r="J180" t="str">
        <f>_xlfn.XLOOKUP(I180,[1]Dates!$A$2:$A$181,[1]Dates!$B$2:$B$181)</f>
        <v>2024-05-25</v>
      </c>
      <c r="K180">
        <f t="shared" si="6"/>
        <v>2024</v>
      </c>
      <c r="L180">
        <f t="shared" si="7"/>
        <v>5</v>
      </c>
      <c r="M180">
        <f t="shared" si="8"/>
        <v>25</v>
      </c>
      <c r="N180">
        <f>[1]Transactions!J180*[1]Transactions!K180</f>
        <v>64020</v>
      </c>
    </row>
    <row r="181" spans="1:14" x14ac:dyDescent="0.3">
      <c r="A181">
        <v>180</v>
      </c>
      <c r="B181" t="s">
        <v>195</v>
      </c>
      <c r="C181" t="s">
        <v>15</v>
      </c>
      <c r="D181">
        <v>30</v>
      </c>
      <c r="E181">
        <v>5</v>
      </c>
      <c r="F181" t="str">
        <f>_xlfn.XLOOKUP(E181,[1]Regions!$A$2:$A$31,[1]Regions!$B$2:$B$31)</f>
        <v>Delhi</v>
      </c>
      <c r="G181" t="str">
        <f>_xlfn.XLOOKUP(E181,[1]Regions!$A$2:$A$31,[1]Regions!$C$2:$C$31)</f>
        <v>Delhi</v>
      </c>
      <c r="H181" t="str">
        <f>_xlfn.XLOOKUP(E181,[1]Regions!$A$2:$A$31,[1]Regions!$D$2:$D$31)</f>
        <v>North</v>
      </c>
      <c r="I181">
        <v>26</v>
      </c>
      <c r="J181" t="str">
        <f>_xlfn.XLOOKUP(I181,[1]Dates!$A$2:$A$181,[1]Dates!$B$2:$B$181)</f>
        <v>2024-01-27</v>
      </c>
      <c r="K181">
        <f t="shared" si="6"/>
        <v>2024</v>
      </c>
      <c r="L181">
        <f t="shared" si="7"/>
        <v>1</v>
      </c>
      <c r="M181">
        <f t="shared" si="8"/>
        <v>27</v>
      </c>
      <c r="N181">
        <f>[1]Transactions!J181*[1]Transactions!K181</f>
        <v>127435</v>
      </c>
    </row>
    <row r="182" spans="1:14" x14ac:dyDescent="0.3">
      <c r="A182">
        <v>181</v>
      </c>
      <c r="B182" t="s">
        <v>196</v>
      </c>
      <c r="C182" t="s">
        <v>15</v>
      </c>
      <c r="D182">
        <v>45</v>
      </c>
      <c r="E182">
        <v>22</v>
      </c>
      <c r="F182" t="str">
        <f>_xlfn.XLOOKUP(E182,[1]Regions!$A$2:$A$31,[1]Regions!$B$2:$B$31)</f>
        <v>Ahmedabad</v>
      </c>
      <c r="G182" t="str">
        <f>_xlfn.XLOOKUP(E182,[1]Regions!$A$2:$A$31,[1]Regions!$C$2:$C$31)</f>
        <v>Gujarat</v>
      </c>
      <c r="H182" t="str">
        <f>_xlfn.XLOOKUP(E182,[1]Regions!$A$2:$A$31,[1]Regions!$D$2:$D$31)</f>
        <v>West</v>
      </c>
      <c r="I182">
        <v>51</v>
      </c>
      <c r="J182" t="str">
        <f>_xlfn.XLOOKUP(I182,[1]Dates!$A$2:$A$181,[1]Dates!$B$2:$B$181)</f>
        <v>2024-02-21</v>
      </c>
      <c r="K182">
        <f t="shared" si="6"/>
        <v>2024</v>
      </c>
      <c r="L182">
        <f t="shared" si="7"/>
        <v>2</v>
      </c>
      <c r="M182">
        <f t="shared" si="8"/>
        <v>21</v>
      </c>
      <c r="N182">
        <f>[1]Transactions!J182*[1]Transactions!K182</f>
        <v>201872</v>
      </c>
    </row>
    <row r="183" spans="1:14" x14ac:dyDescent="0.3">
      <c r="A183">
        <v>182</v>
      </c>
      <c r="B183" t="s">
        <v>197</v>
      </c>
      <c r="C183" t="s">
        <v>15</v>
      </c>
      <c r="D183">
        <v>28</v>
      </c>
      <c r="E183">
        <v>12</v>
      </c>
      <c r="F183" t="str">
        <f>_xlfn.XLOOKUP(E183,[1]Regions!$A$2:$A$31,[1]Regions!$B$2:$B$31)</f>
        <v>Chennai</v>
      </c>
      <c r="G183" t="str">
        <f>_xlfn.XLOOKUP(E183,[1]Regions!$A$2:$A$31,[1]Regions!$C$2:$C$31)</f>
        <v>Tamil Nadu</v>
      </c>
      <c r="H183" t="str">
        <f>_xlfn.XLOOKUP(E183,[1]Regions!$A$2:$A$31,[1]Regions!$D$2:$D$31)</f>
        <v>South</v>
      </c>
      <c r="I183">
        <v>65</v>
      </c>
      <c r="J183" t="str">
        <f>_xlfn.XLOOKUP(I183,[1]Dates!$A$2:$A$181,[1]Dates!$B$2:$B$181)</f>
        <v>2024-03-06</v>
      </c>
      <c r="K183">
        <f t="shared" si="6"/>
        <v>2024</v>
      </c>
      <c r="L183">
        <f t="shared" si="7"/>
        <v>3</v>
      </c>
      <c r="M183">
        <f t="shared" si="8"/>
        <v>6</v>
      </c>
      <c r="N183">
        <f>[1]Transactions!J183*[1]Transactions!K183</f>
        <v>234315</v>
      </c>
    </row>
    <row r="184" spans="1:14" x14ac:dyDescent="0.3">
      <c r="A184">
        <v>183</v>
      </c>
      <c r="B184" t="s">
        <v>198</v>
      </c>
      <c r="C184" t="s">
        <v>18</v>
      </c>
      <c r="D184">
        <v>59</v>
      </c>
      <c r="E184">
        <v>22</v>
      </c>
      <c r="F184" t="str">
        <f>_xlfn.XLOOKUP(E184,[1]Regions!$A$2:$A$31,[1]Regions!$B$2:$B$31)</f>
        <v>Ahmedabad</v>
      </c>
      <c r="G184" t="str">
        <f>_xlfn.XLOOKUP(E184,[1]Regions!$A$2:$A$31,[1]Regions!$C$2:$C$31)</f>
        <v>Gujarat</v>
      </c>
      <c r="H184" t="str">
        <f>_xlfn.XLOOKUP(E184,[1]Regions!$A$2:$A$31,[1]Regions!$D$2:$D$31)</f>
        <v>West</v>
      </c>
      <c r="I184">
        <v>91</v>
      </c>
      <c r="J184" t="str">
        <f>_xlfn.XLOOKUP(I184,[1]Dates!$A$2:$A$181,[1]Dates!$B$2:$B$181)</f>
        <v>2024-04-01</v>
      </c>
      <c r="K184">
        <f t="shared" si="6"/>
        <v>2024</v>
      </c>
      <c r="L184">
        <f t="shared" si="7"/>
        <v>4</v>
      </c>
      <c r="M184">
        <f t="shared" si="8"/>
        <v>1</v>
      </c>
      <c r="N184">
        <f>[1]Transactions!J184*[1]Transactions!K184</f>
        <v>311712</v>
      </c>
    </row>
    <row r="185" spans="1:14" x14ac:dyDescent="0.3">
      <c r="A185">
        <v>184</v>
      </c>
      <c r="B185" t="s">
        <v>199</v>
      </c>
      <c r="C185" t="s">
        <v>15</v>
      </c>
      <c r="D185">
        <v>43</v>
      </c>
      <c r="E185">
        <v>22</v>
      </c>
      <c r="F185" t="str">
        <f>_xlfn.XLOOKUP(E185,[1]Regions!$A$2:$A$31,[1]Regions!$B$2:$B$31)</f>
        <v>Ahmedabad</v>
      </c>
      <c r="G185" t="str">
        <f>_xlfn.XLOOKUP(E185,[1]Regions!$A$2:$A$31,[1]Regions!$C$2:$C$31)</f>
        <v>Gujarat</v>
      </c>
      <c r="H185" t="str">
        <f>_xlfn.XLOOKUP(E185,[1]Regions!$A$2:$A$31,[1]Regions!$D$2:$D$31)</f>
        <v>West</v>
      </c>
      <c r="I185">
        <v>136</v>
      </c>
      <c r="J185" t="str">
        <f>_xlfn.XLOOKUP(I185,[1]Dates!$A$2:$A$181,[1]Dates!$B$2:$B$181)</f>
        <v>2024-05-16</v>
      </c>
      <c r="K185">
        <f t="shared" si="6"/>
        <v>2024</v>
      </c>
      <c r="L185">
        <f t="shared" si="7"/>
        <v>5</v>
      </c>
      <c r="M185">
        <f t="shared" si="8"/>
        <v>16</v>
      </c>
      <c r="N185">
        <f>[1]Transactions!J185*[1]Transactions!K185</f>
        <v>8987</v>
      </c>
    </row>
    <row r="186" spans="1:14" x14ac:dyDescent="0.3">
      <c r="A186">
        <v>185</v>
      </c>
      <c r="B186" t="s">
        <v>200</v>
      </c>
      <c r="C186" t="s">
        <v>15</v>
      </c>
      <c r="D186">
        <v>32</v>
      </c>
      <c r="E186">
        <v>4</v>
      </c>
      <c r="F186" t="str">
        <f>_xlfn.XLOOKUP(E186,[1]Regions!$A$2:$A$31,[1]Regions!$B$2:$B$31)</f>
        <v>Delhi</v>
      </c>
      <c r="G186" t="str">
        <f>_xlfn.XLOOKUP(E186,[1]Regions!$A$2:$A$31,[1]Regions!$C$2:$C$31)</f>
        <v>Delhi</v>
      </c>
      <c r="H186" t="str">
        <f>_xlfn.XLOOKUP(E186,[1]Regions!$A$2:$A$31,[1]Regions!$D$2:$D$31)</f>
        <v>North</v>
      </c>
      <c r="I186">
        <v>16</v>
      </c>
      <c r="J186" t="str">
        <f>_xlfn.XLOOKUP(I186,[1]Dates!$A$2:$A$181,[1]Dates!$B$2:$B$181)</f>
        <v>2024-01-17</v>
      </c>
      <c r="K186">
        <f t="shared" si="6"/>
        <v>2024</v>
      </c>
      <c r="L186">
        <f t="shared" si="7"/>
        <v>1</v>
      </c>
      <c r="M186">
        <f t="shared" si="8"/>
        <v>17</v>
      </c>
      <c r="N186">
        <f>[1]Transactions!J186*[1]Transactions!K186</f>
        <v>7722</v>
      </c>
    </row>
    <row r="187" spans="1:14" x14ac:dyDescent="0.3">
      <c r="A187">
        <v>186</v>
      </c>
      <c r="B187" t="s">
        <v>201</v>
      </c>
      <c r="C187" t="s">
        <v>15</v>
      </c>
      <c r="D187">
        <v>36</v>
      </c>
      <c r="E187">
        <v>16</v>
      </c>
      <c r="F187" t="str">
        <f>_xlfn.XLOOKUP(E187,[1]Regions!$A$2:$A$31,[1]Regions!$B$2:$B$31)</f>
        <v>Kolkata</v>
      </c>
      <c r="G187" t="str">
        <f>_xlfn.XLOOKUP(E187,[1]Regions!$A$2:$A$31,[1]Regions!$C$2:$C$31)</f>
        <v>West Bengal</v>
      </c>
      <c r="H187" t="str">
        <f>_xlfn.XLOOKUP(E187,[1]Regions!$A$2:$A$31,[1]Regions!$D$2:$D$31)</f>
        <v>East</v>
      </c>
      <c r="I187">
        <v>159</v>
      </c>
      <c r="J187" t="str">
        <f>_xlfn.XLOOKUP(I187,[1]Dates!$A$2:$A$181,[1]Dates!$B$2:$B$181)</f>
        <v>2024-06-08</v>
      </c>
      <c r="K187">
        <f t="shared" si="6"/>
        <v>2024</v>
      </c>
      <c r="L187">
        <f t="shared" si="7"/>
        <v>6</v>
      </c>
      <c r="M187">
        <f t="shared" si="8"/>
        <v>8</v>
      </c>
      <c r="N187">
        <f>[1]Transactions!J187*[1]Transactions!K187</f>
        <v>14280</v>
      </c>
    </row>
    <row r="188" spans="1:14" x14ac:dyDescent="0.3">
      <c r="A188">
        <v>187</v>
      </c>
      <c r="B188" t="s">
        <v>202</v>
      </c>
      <c r="C188" t="s">
        <v>15</v>
      </c>
      <c r="D188">
        <v>49</v>
      </c>
      <c r="E188">
        <v>25</v>
      </c>
      <c r="F188" t="str">
        <f>_xlfn.XLOOKUP(E188,[1]Regions!$A$2:$A$31,[1]Regions!$B$2:$B$31)</f>
        <v>Jaipur</v>
      </c>
      <c r="G188" t="str">
        <f>_xlfn.XLOOKUP(E188,[1]Regions!$A$2:$A$31,[1]Regions!$C$2:$C$31)</f>
        <v>Rajasthan</v>
      </c>
      <c r="H188" t="str">
        <f>_xlfn.XLOOKUP(E188,[1]Regions!$A$2:$A$31,[1]Regions!$D$2:$D$31)</f>
        <v>North</v>
      </c>
      <c r="I188">
        <v>91</v>
      </c>
      <c r="J188" t="str">
        <f>_xlfn.XLOOKUP(I188,[1]Dates!$A$2:$A$181,[1]Dates!$B$2:$B$181)</f>
        <v>2024-04-01</v>
      </c>
      <c r="K188">
        <f t="shared" si="6"/>
        <v>2024</v>
      </c>
      <c r="L188">
        <f t="shared" si="7"/>
        <v>4</v>
      </c>
      <c r="M188">
        <f t="shared" si="8"/>
        <v>1</v>
      </c>
      <c r="N188">
        <f>[1]Transactions!J188*[1]Transactions!K188</f>
        <v>37840</v>
      </c>
    </row>
    <row r="189" spans="1:14" x14ac:dyDescent="0.3">
      <c r="A189">
        <v>188</v>
      </c>
      <c r="B189" t="s">
        <v>203</v>
      </c>
      <c r="C189" t="s">
        <v>15</v>
      </c>
      <c r="D189">
        <v>29</v>
      </c>
      <c r="E189">
        <v>8</v>
      </c>
      <c r="F189" t="str">
        <f>_xlfn.XLOOKUP(E189,[1]Regions!$A$2:$A$31,[1]Regions!$B$2:$B$31)</f>
        <v>Bangalore</v>
      </c>
      <c r="G189" t="str">
        <f>_xlfn.XLOOKUP(E189,[1]Regions!$A$2:$A$31,[1]Regions!$C$2:$C$31)</f>
        <v>Karnataka</v>
      </c>
      <c r="H189" t="str">
        <f>_xlfn.XLOOKUP(E189,[1]Regions!$A$2:$A$31,[1]Regions!$D$2:$D$31)</f>
        <v>South</v>
      </c>
      <c r="I189">
        <v>102</v>
      </c>
      <c r="J189" t="str">
        <f>_xlfn.XLOOKUP(I189,[1]Dates!$A$2:$A$181,[1]Dates!$B$2:$B$181)</f>
        <v>2024-04-12</v>
      </c>
      <c r="K189">
        <f t="shared" si="6"/>
        <v>2024</v>
      </c>
      <c r="L189">
        <f t="shared" si="7"/>
        <v>4</v>
      </c>
      <c r="M189">
        <f t="shared" si="8"/>
        <v>12</v>
      </c>
      <c r="N189">
        <f>[1]Transactions!J189*[1]Transactions!K189</f>
        <v>178888</v>
      </c>
    </row>
    <row r="190" spans="1:14" x14ac:dyDescent="0.3">
      <c r="A190">
        <v>189</v>
      </c>
      <c r="B190" t="s">
        <v>204</v>
      </c>
      <c r="C190" t="s">
        <v>15</v>
      </c>
      <c r="D190">
        <v>20</v>
      </c>
      <c r="E190">
        <v>6</v>
      </c>
      <c r="F190" t="str">
        <f>_xlfn.XLOOKUP(E190,[1]Regions!$A$2:$A$31,[1]Regions!$B$2:$B$31)</f>
        <v>Delhi</v>
      </c>
      <c r="G190" t="str">
        <f>_xlfn.XLOOKUP(E190,[1]Regions!$A$2:$A$31,[1]Regions!$C$2:$C$31)</f>
        <v>Delhi</v>
      </c>
      <c r="H190" t="str">
        <f>_xlfn.XLOOKUP(E190,[1]Regions!$A$2:$A$31,[1]Regions!$D$2:$D$31)</f>
        <v>North</v>
      </c>
      <c r="I190">
        <v>81</v>
      </c>
      <c r="J190" t="str">
        <f>_xlfn.XLOOKUP(I190,[1]Dates!$A$2:$A$181,[1]Dates!$B$2:$B$181)</f>
        <v>2024-03-22</v>
      </c>
      <c r="K190">
        <f t="shared" si="6"/>
        <v>2024</v>
      </c>
      <c r="L190">
        <f t="shared" si="7"/>
        <v>3</v>
      </c>
      <c r="M190">
        <f t="shared" si="8"/>
        <v>22</v>
      </c>
      <c r="N190">
        <f>[1]Transactions!J190*[1]Transactions!K190</f>
        <v>38808</v>
      </c>
    </row>
    <row r="191" spans="1:14" x14ac:dyDescent="0.3">
      <c r="A191">
        <v>190</v>
      </c>
      <c r="B191" t="s">
        <v>205</v>
      </c>
      <c r="C191" t="s">
        <v>18</v>
      </c>
      <c r="D191">
        <v>49</v>
      </c>
      <c r="E191">
        <v>10</v>
      </c>
      <c r="F191" t="str">
        <f>_xlfn.XLOOKUP(E191,[1]Regions!$A$2:$A$31,[1]Regions!$B$2:$B$31)</f>
        <v>Chennai</v>
      </c>
      <c r="G191" t="str">
        <f>_xlfn.XLOOKUP(E191,[1]Regions!$A$2:$A$31,[1]Regions!$C$2:$C$31)</f>
        <v>Tamil Nadu</v>
      </c>
      <c r="H191" t="str">
        <f>_xlfn.XLOOKUP(E191,[1]Regions!$A$2:$A$31,[1]Regions!$D$2:$D$31)</f>
        <v>South</v>
      </c>
      <c r="I191">
        <v>4</v>
      </c>
      <c r="J191" t="str">
        <f>_xlfn.XLOOKUP(I191,[1]Dates!$A$2:$A$181,[1]Dates!$B$2:$B$181)</f>
        <v>2024-01-05</v>
      </c>
      <c r="K191">
        <f t="shared" si="6"/>
        <v>2024</v>
      </c>
      <c r="L191">
        <f t="shared" si="7"/>
        <v>1</v>
      </c>
      <c r="M191">
        <f t="shared" si="8"/>
        <v>5</v>
      </c>
      <c r="N191">
        <f>[1]Transactions!J191*[1]Transactions!K191</f>
        <v>38212</v>
      </c>
    </row>
    <row r="192" spans="1:14" x14ac:dyDescent="0.3">
      <c r="A192">
        <v>191</v>
      </c>
      <c r="B192" t="s">
        <v>206</v>
      </c>
      <c r="C192" t="s">
        <v>15</v>
      </c>
      <c r="D192">
        <v>18</v>
      </c>
      <c r="E192">
        <v>8</v>
      </c>
      <c r="F192" t="str">
        <f>_xlfn.XLOOKUP(E192,[1]Regions!$A$2:$A$31,[1]Regions!$B$2:$B$31)</f>
        <v>Bangalore</v>
      </c>
      <c r="G192" t="str">
        <f>_xlfn.XLOOKUP(E192,[1]Regions!$A$2:$A$31,[1]Regions!$C$2:$C$31)</f>
        <v>Karnataka</v>
      </c>
      <c r="H192" t="str">
        <f>_xlfn.XLOOKUP(E192,[1]Regions!$A$2:$A$31,[1]Regions!$D$2:$D$31)</f>
        <v>South</v>
      </c>
      <c r="I192">
        <v>117</v>
      </c>
      <c r="J192" t="str">
        <f>_xlfn.XLOOKUP(I192,[1]Dates!$A$2:$A$181,[1]Dates!$B$2:$B$181)</f>
        <v>2024-04-27</v>
      </c>
      <c r="K192">
        <f t="shared" si="6"/>
        <v>2024</v>
      </c>
      <c r="L192">
        <f t="shared" si="7"/>
        <v>4</v>
      </c>
      <c r="M192">
        <f t="shared" si="8"/>
        <v>27</v>
      </c>
      <c r="N192">
        <f>[1]Transactions!J192*[1]Transactions!K192</f>
        <v>357420</v>
      </c>
    </row>
    <row r="193" spans="1:14" x14ac:dyDescent="0.3">
      <c r="A193">
        <v>192</v>
      </c>
      <c r="B193" t="s">
        <v>207</v>
      </c>
      <c r="C193" t="s">
        <v>15</v>
      </c>
      <c r="D193">
        <v>31</v>
      </c>
      <c r="E193">
        <v>26</v>
      </c>
      <c r="F193" t="str">
        <f>_xlfn.XLOOKUP(E193,[1]Regions!$A$2:$A$31,[1]Regions!$B$2:$B$31)</f>
        <v>Jaipur</v>
      </c>
      <c r="G193" t="str">
        <f>_xlfn.XLOOKUP(E193,[1]Regions!$A$2:$A$31,[1]Regions!$C$2:$C$31)</f>
        <v>Rajasthan</v>
      </c>
      <c r="H193" t="str">
        <f>_xlfn.XLOOKUP(E193,[1]Regions!$A$2:$A$31,[1]Regions!$D$2:$D$31)</f>
        <v>North</v>
      </c>
      <c r="I193">
        <v>106</v>
      </c>
      <c r="J193" t="str">
        <f>_xlfn.XLOOKUP(I193,[1]Dates!$A$2:$A$181,[1]Dates!$B$2:$B$181)</f>
        <v>2024-04-16</v>
      </c>
      <c r="K193">
        <f t="shared" si="6"/>
        <v>2024</v>
      </c>
      <c r="L193">
        <f t="shared" si="7"/>
        <v>4</v>
      </c>
      <c r="M193">
        <f t="shared" si="8"/>
        <v>16</v>
      </c>
      <c r="N193">
        <f>[1]Transactions!J193*[1]Transactions!K193</f>
        <v>55600</v>
      </c>
    </row>
    <row r="194" spans="1:14" x14ac:dyDescent="0.3">
      <c r="A194">
        <v>193</v>
      </c>
      <c r="B194" t="s">
        <v>208</v>
      </c>
      <c r="C194" t="s">
        <v>15</v>
      </c>
      <c r="D194">
        <v>49</v>
      </c>
      <c r="E194">
        <v>15</v>
      </c>
      <c r="F194" t="str">
        <f>_xlfn.XLOOKUP(E194,[1]Regions!$A$2:$A$31,[1]Regions!$B$2:$B$31)</f>
        <v>Hyderabad</v>
      </c>
      <c r="G194" t="str">
        <f>_xlfn.XLOOKUP(E194,[1]Regions!$A$2:$A$31,[1]Regions!$C$2:$C$31)</f>
        <v>Telangana</v>
      </c>
      <c r="H194" t="str">
        <f>_xlfn.XLOOKUP(E194,[1]Regions!$A$2:$A$31,[1]Regions!$D$2:$D$31)</f>
        <v>South</v>
      </c>
      <c r="I194">
        <v>140</v>
      </c>
      <c r="J194" t="str">
        <f>_xlfn.XLOOKUP(I194,[1]Dates!$A$2:$A$181,[1]Dates!$B$2:$B$181)</f>
        <v>2024-05-20</v>
      </c>
      <c r="K194">
        <f t="shared" si="6"/>
        <v>2024</v>
      </c>
      <c r="L194">
        <f t="shared" si="7"/>
        <v>5</v>
      </c>
      <c r="M194">
        <f t="shared" si="8"/>
        <v>20</v>
      </c>
      <c r="N194">
        <f>[1]Transactions!J194*[1]Transactions!K194</f>
        <v>540360</v>
      </c>
    </row>
    <row r="195" spans="1:14" x14ac:dyDescent="0.3">
      <c r="A195">
        <v>194</v>
      </c>
      <c r="B195" t="s">
        <v>209</v>
      </c>
      <c r="C195" t="s">
        <v>18</v>
      </c>
      <c r="D195">
        <v>31</v>
      </c>
      <c r="E195">
        <v>4</v>
      </c>
      <c r="F195" t="str">
        <f>_xlfn.XLOOKUP(E195,[1]Regions!$A$2:$A$31,[1]Regions!$B$2:$B$31)</f>
        <v>Delhi</v>
      </c>
      <c r="G195" t="str">
        <f>_xlfn.XLOOKUP(E195,[1]Regions!$A$2:$A$31,[1]Regions!$C$2:$C$31)</f>
        <v>Delhi</v>
      </c>
      <c r="H195" t="str">
        <f>_xlfn.XLOOKUP(E195,[1]Regions!$A$2:$A$31,[1]Regions!$D$2:$D$31)</f>
        <v>North</v>
      </c>
      <c r="I195">
        <v>160</v>
      </c>
      <c r="J195" t="str">
        <f>_xlfn.XLOOKUP(I195,[1]Dates!$A$2:$A$181,[1]Dates!$B$2:$B$181)</f>
        <v>2024-06-09</v>
      </c>
      <c r="K195">
        <f t="shared" ref="K195:K258" si="9">YEAR(J195)</f>
        <v>2024</v>
      </c>
      <c r="L195">
        <f t="shared" ref="L195:L258" si="10">MONTH(J195)</f>
        <v>6</v>
      </c>
      <c r="M195">
        <f t="shared" ref="M195:M258" si="11">DAY(J195)</f>
        <v>9</v>
      </c>
      <c r="N195">
        <f>[1]Transactions!J195*[1]Transactions!K195</f>
        <v>353160</v>
      </c>
    </row>
    <row r="196" spans="1:14" x14ac:dyDescent="0.3">
      <c r="A196">
        <v>195</v>
      </c>
      <c r="B196" t="s">
        <v>210</v>
      </c>
      <c r="C196" t="s">
        <v>18</v>
      </c>
      <c r="D196">
        <v>50</v>
      </c>
      <c r="E196">
        <v>20</v>
      </c>
      <c r="F196" t="str">
        <f>_xlfn.XLOOKUP(E196,[1]Regions!$A$2:$A$31,[1]Regions!$B$2:$B$31)</f>
        <v>Pune</v>
      </c>
      <c r="G196" t="str">
        <f>_xlfn.XLOOKUP(E196,[1]Regions!$A$2:$A$31,[1]Regions!$C$2:$C$31)</f>
        <v>Maharashtra</v>
      </c>
      <c r="H196" t="str">
        <f>_xlfn.XLOOKUP(E196,[1]Regions!$A$2:$A$31,[1]Regions!$D$2:$D$31)</f>
        <v>West</v>
      </c>
      <c r="I196">
        <v>92</v>
      </c>
      <c r="J196" t="str">
        <f>_xlfn.XLOOKUP(I196,[1]Dates!$A$2:$A$181,[1]Dates!$B$2:$B$181)</f>
        <v>2024-04-02</v>
      </c>
      <c r="K196">
        <f t="shared" si="9"/>
        <v>2024</v>
      </c>
      <c r="L196">
        <f t="shared" si="10"/>
        <v>4</v>
      </c>
      <c r="M196">
        <f t="shared" si="11"/>
        <v>2</v>
      </c>
      <c r="N196">
        <f>[1]Transactions!J196*[1]Transactions!K196</f>
        <v>187040</v>
      </c>
    </row>
    <row r="197" spans="1:14" x14ac:dyDescent="0.3">
      <c r="A197">
        <v>196</v>
      </c>
      <c r="B197" t="s">
        <v>211</v>
      </c>
      <c r="C197" t="s">
        <v>15</v>
      </c>
      <c r="D197">
        <v>40</v>
      </c>
      <c r="E197">
        <v>27</v>
      </c>
      <c r="F197" t="str">
        <f>_xlfn.XLOOKUP(E197,[1]Regions!$A$2:$A$31,[1]Regions!$B$2:$B$31)</f>
        <v>Jaipur</v>
      </c>
      <c r="G197" t="str">
        <f>_xlfn.XLOOKUP(E197,[1]Regions!$A$2:$A$31,[1]Regions!$C$2:$C$31)</f>
        <v>Rajasthan</v>
      </c>
      <c r="H197" t="str">
        <f>_xlfn.XLOOKUP(E197,[1]Regions!$A$2:$A$31,[1]Regions!$D$2:$D$31)</f>
        <v>North</v>
      </c>
      <c r="I197">
        <v>75</v>
      </c>
      <c r="J197" t="str">
        <f>_xlfn.XLOOKUP(I197,[1]Dates!$A$2:$A$181,[1]Dates!$B$2:$B$181)</f>
        <v>2024-03-16</v>
      </c>
      <c r="K197">
        <f t="shared" si="9"/>
        <v>2024</v>
      </c>
      <c r="L197">
        <f t="shared" si="10"/>
        <v>3</v>
      </c>
      <c r="M197">
        <f t="shared" si="11"/>
        <v>16</v>
      </c>
      <c r="N197">
        <f>[1]Transactions!J197*[1]Transactions!K197</f>
        <v>31500</v>
      </c>
    </row>
    <row r="198" spans="1:14" x14ac:dyDescent="0.3">
      <c r="A198">
        <v>197</v>
      </c>
      <c r="B198" t="s">
        <v>212</v>
      </c>
      <c r="C198" t="s">
        <v>15</v>
      </c>
      <c r="D198">
        <v>40</v>
      </c>
      <c r="E198">
        <v>3</v>
      </c>
      <c r="F198" t="str">
        <f>_xlfn.XLOOKUP(E198,[1]Regions!$A$2:$A$31,[1]Regions!$B$2:$B$31)</f>
        <v>Mumbai</v>
      </c>
      <c r="G198" t="str">
        <f>_xlfn.XLOOKUP(E198,[1]Regions!$A$2:$A$31,[1]Regions!$C$2:$C$31)</f>
        <v>Maharashtra</v>
      </c>
      <c r="H198" t="str">
        <f>_xlfn.XLOOKUP(E198,[1]Regions!$A$2:$A$31,[1]Regions!$D$2:$D$31)</f>
        <v>West</v>
      </c>
      <c r="I198">
        <v>75</v>
      </c>
      <c r="J198" t="str">
        <f>_xlfn.XLOOKUP(I198,[1]Dates!$A$2:$A$181,[1]Dates!$B$2:$B$181)</f>
        <v>2024-03-16</v>
      </c>
      <c r="K198">
        <f t="shared" si="9"/>
        <v>2024</v>
      </c>
      <c r="L198">
        <f t="shared" si="10"/>
        <v>3</v>
      </c>
      <c r="M198">
        <f t="shared" si="11"/>
        <v>16</v>
      </c>
      <c r="N198">
        <f>[1]Transactions!J198*[1]Transactions!K198</f>
        <v>24396</v>
      </c>
    </row>
    <row r="199" spans="1:14" x14ac:dyDescent="0.3">
      <c r="A199">
        <v>198</v>
      </c>
      <c r="B199" t="s">
        <v>213</v>
      </c>
      <c r="C199" t="s">
        <v>18</v>
      </c>
      <c r="D199">
        <v>24</v>
      </c>
      <c r="E199">
        <v>5</v>
      </c>
      <c r="F199" t="str">
        <f>_xlfn.XLOOKUP(E199,[1]Regions!$A$2:$A$31,[1]Regions!$B$2:$B$31)</f>
        <v>Delhi</v>
      </c>
      <c r="G199" t="str">
        <f>_xlfn.XLOOKUP(E199,[1]Regions!$A$2:$A$31,[1]Regions!$C$2:$C$31)</f>
        <v>Delhi</v>
      </c>
      <c r="H199" t="str">
        <f>_xlfn.XLOOKUP(E199,[1]Regions!$A$2:$A$31,[1]Regions!$D$2:$D$31)</f>
        <v>North</v>
      </c>
      <c r="I199">
        <v>43</v>
      </c>
      <c r="J199" t="str">
        <f>_xlfn.XLOOKUP(I199,[1]Dates!$A$2:$A$181,[1]Dates!$B$2:$B$181)</f>
        <v>2024-02-13</v>
      </c>
      <c r="K199">
        <f t="shared" si="9"/>
        <v>2024</v>
      </c>
      <c r="L199">
        <f t="shared" si="10"/>
        <v>2</v>
      </c>
      <c r="M199">
        <f t="shared" si="11"/>
        <v>13</v>
      </c>
      <c r="N199">
        <f>[1]Transactions!J199*[1]Transactions!K199</f>
        <v>3968</v>
      </c>
    </row>
    <row r="200" spans="1:14" x14ac:dyDescent="0.3">
      <c r="A200">
        <v>199</v>
      </c>
      <c r="B200" t="s">
        <v>214</v>
      </c>
      <c r="C200" t="s">
        <v>18</v>
      </c>
      <c r="D200">
        <v>30</v>
      </c>
      <c r="E200">
        <v>18</v>
      </c>
      <c r="F200" t="str">
        <f>_xlfn.XLOOKUP(E200,[1]Regions!$A$2:$A$31,[1]Regions!$B$2:$B$31)</f>
        <v>Kolkata</v>
      </c>
      <c r="G200" t="str">
        <f>_xlfn.XLOOKUP(E200,[1]Regions!$A$2:$A$31,[1]Regions!$C$2:$C$31)</f>
        <v>West Bengal</v>
      </c>
      <c r="H200" t="str">
        <f>_xlfn.XLOOKUP(E200,[1]Regions!$A$2:$A$31,[1]Regions!$D$2:$D$31)</f>
        <v>East</v>
      </c>
      <c r="I200">
        <v>33</v>
      </c>
      <c r="J200" t="str">
        <f>_xlfn.XLOOKUP(I200,[1]Dates!$A$2:$A$181,[1]Dates!$B$2:$B$181)</f>
        <v>2024-02-03</v>
      </c>
      <c r="K200">
        <f t="shared" si="9"/>
        <v>2024</v>
      </c>
      <c r="L200">
        <f t="shared" si="10"/>
        <v>2</v>
      </c>
      <c r="M200">
        <f t="shared" si="11"/>
        <v>3</v>
      </c>
      <c r="N200">
        <f>[1]Transactions!J200*[1]Transactions!K200</f>
        <v>410868</v>
      </c>
    </row>
    <row r="201" spans="1:14" x14ac:dyDescent="0.3">
      <c r="A201">
        <v>200</v>
      </c>
      <c r="B201" t="s">
        <v>215</v>
      </c>
      <c r="C201" t="s">
        <v>15</v>
      </c>
      <c r="D201">
        <v>57</v>
      </c>
      <c r="E201">
        <v>2</v>
      </c>
      <c r="F201" t="str">
        <f>_xlfn.XLOOKUP(E201,[1]Regions!$A$2:$A$31,[1]Regions!$B$2:$B$31)</f>
        <v>Mumbai</v>
      </c>
      <c r="G201" t="str">
        <f>_xlfn.XLOOKUP(E201,[1]Regions!$A$2:$A$31,[1]Regions!$C$2:$C$31)</f>
        <v>Maharashtra</v>
      </c>
      <c r="H201" t="str">
        <f>_xlfn.XLOOKUP(E201,[1]Regions!$A$2:$A$31,[1]Regions!$D$2:$D$31)</f>
        <v>West</v>
      </c>
      <c r="I201">
        <v>113</v>
      </c>
      <c r="J201" t="str">
        <f>_xlfn.XLOOKUP(I201,[1]Dates!$A$2:$A$181,[1]Dates!$B$2:$B$181)</f>
        <v>2024-04-23</v>
      </c>
      <c r="K201">
        <f t="shared" si="9"/>
        <v>2024</v>
      </c>
      <c r="L201">
        <f t="shared" si="10"/>
        <v>4</v>
      </c>
      <c r="M201">
        <f t="shared" si="11"/>
        <v>23</v>
      </c>
      <c r="N201">
        <f>[1]Transactions!J201*[1]Transactions!K201</f>
        <v>580</v>
      </c>
    </row>
    <row r="202" spans="1:14" x14ac:dyDescent="0.3">
      <c r="I202">
        <v>152</v>
      </c>
      <c r="J202" t="str">
        <f>_xlfn.XLOOKUP(I202,[1]Dates!$A$2:$A$181,[1]Dates!$B$2:$B$181)</f>
        <v>2024-06-01</v>
      </c>
      <c r="K202">
        <f t="shared" si="9"/>
        <v>2024</v>
      </c>
      <c r="L202">
        <f t="shared" si="10"/>
        <v>6</v>
      </c>
      <c r="M202">
        <f t="shared" si="11"/>
        <v>1</v>
      </c>
      <c r="N202">
        <f>[1]Transactions!J202*[1]Transactions!K202</f>
        <v>51986</v>
      </c>
    </row>
    <row r="203" spans="1:14" x14ac:dyDescent="0.3">
      <c r="I203">
        <v>147</v>
      </c>
      <c r="J203" t="str">
        <f>_xlfn.XLOOKUP(I203,[1]Dates!$A$2:$A$181,[1]Dates!$B$2:$B$181)</f>
        <v>2024-05-27</v>
      </c>
      <c r="K203">
        <f t="shared" si="9"/>
        <v>2024</v>
      </c>
      <c r="L203">
        <f t="shared" si="10"/>
        <v>5</v>
      </c>
      <c r="M203">
        <f t="shared" si="11"/>
        <v>27</v>
      </c>
      <c r="N203">
        <f>[1]Transactions!J203*[1]Transactions!K203</f>
        <v>70470</v>
      </c>
    </row>
    <row r="204" spans="1:14" x14ac:dyDescent="0.3">
      <c r="I204">
        <v>98</v>
      </c>
      <c r="J204" t="str">
        <f>_xlfn.XLOOKUP(I204,[1]Dates!$A$2:$A$181,[1]Dates!$B$2:$B$181)</f>
        <v>2024-04-08</v>
      </c>
      <c r="K204">
        <f t="shared" si="9"/>
        <v>2024</v>
      </c>
      <c r="L204">
        <f t="shared" si="10"/>
        <v>4</v>
      </c>
      <c r="M204">
        <f t="shared" si="11"/>
        <v>8</v>
      </c>
      <c r="N204">
        <f>[1]Transactions!J204*[1]Transactions!K204</f>
        <v>19200</v>
      </c>
    </row>
    <row r="205" spans="1:14" x14ac:dyDescent="0.3">
      <c r="I205">
        <v>126</v>
      </c>
      <c r="J205" t="str">
        <f>_xlfn.XLOOKUP(I205,[1]Dates!$A$2:$A$181,[1]Dates!$B$2:$B$181)</f>
        <v>2024-05-06</v>
      </c>
      <c r="K205">
        <f t="shared" si="9"/>
        <v>2024</v>
      </c>
      <c r="L205">
        <f t="shared" si="10"/>
        <v>5</v>
      </c>
      <c r="M205">
        <f t="shared" si="11"/>
        <v>6</v>
      </c>
      <c r="N205">
        <f>[1]Transactions!J205*[1]Transactions!K205</f>
        <v>37392</v>
      </c>
    </row>
    <row r="206" spans="1:14" x14ac:dyDescent="0.3">
      <c r="I206">
        <v>45</v>
      </c>
      <c r="J206" t="str">
        <f>_xlfn.XLOOKUP(I206,[1]Dates!$A$2:$A$181,[1]Dates!$B$2:$B$181)</f>
        <v>2024-02-15</v>
      </c>
      <c r="K206">
        <f t="shared" si="9"/>
        <v>2024</v>
      </c>
      <c r="L206">
        <f t="shared" si="10"/>
        <v>2</v>
      </c>
      <c r="M206">
        <f t="shared" si="11"/>
        <v>15</v>
      </c>
      <c r="N206">
        <f>[1]Transactions!J206*[1]Transactions!K206</f>
        <v>35640</v>
      </c>
    </row>
    <row r="207" spans="1:14" x14ac:dyDescent="0.3">
      <c r="I207">
        <v>59</v>
      </c>
      <c r="J207" t="str">
        <f>_xlfn.XLOOKUP(I207,[1]Dates!$A$2:$A$181,[1]Dates!$B$2:$B$181)</f>
        <v>2024-02-29</v>
      </c>
      <c r="K207">
        <f t="shared" si="9"/>
        <v>2024</v>
      </c>
      <c r="L207">
        <f t="shared" si="10"/>
        <v>2</v>
      </c>
      <c r="M207">
        <f t="shared" si="11"/>
        <v>29</v>
      </c>
      <c r="N207">
        <f>[1]Transactions!J207*[1]Transactions!K207</f>
        <v>11352</v>
      </c>
    </row>
    <row r="208" spans="1:14" x14ac:dyDescent="0.3">
      <c r="I208">
        <v>104</v>
      </c>
      <c r="J208" t="str">
        <f>_xlfn.XLOOKUP(I208,[1]Dates!$A$2:$A$181,[1]Dates!$B$2:$B$181)</f>
        <v>2024-04-14</v>
      </c>
      <c r="K208">
        <f t="shared" si="9"/>
        <v>2024</v>
      </c>
      <c r="L208">
        <f t="shared" si="10"/>
        <v>4</v>
      </c>
      <c r="M208">
        <f t="shared" si="11"/>
        <v>14</v>
      </c>
      <c r="N208">
        <f>[1]Transactions!J208*[1]Transactions!K208</f>
        <v>3660</v>
      </c>
    </row>
    <row r="209" spans="9:14" x14ac:dyDescent="0.3">
      <c r="I209">
        <v>2</v>
      </c>
      <c r="J209" t="str">
        <f>_xlfn.XLOOKUP(I209,[1]Dates!$A$2:$A$181,[1]Dates!$B$2:$B$181)</f>
        <v>2024-01-03</v>
      </c>
      <c r="K209">
        <f t="shared" si="9"/>
        <v>2024</v>
      </c>
      <c r="L209">
        <f t="shared" si="10"/>
        <v>1</v>
      </c>
      <c r="M209">
        <f t="shared" si="11"/>
        <v>3</v>
      </c>
      <c r="N209">
        <f>[1]Transactions!J209*[1]Transactions!K209</f>
        <v>91242</v>
      </c>
    </row>
    <row r="210" spans="9:14" x14ac:dyDescent="0.3">
      <c r="I210">
        <v>35</v>
      </c>
      <c r="J210" t="str">
        <f>_xlfn.XLOOKUP(I210,[1]Dates!$A$2:$A$181,[1]Dates!$B$2:$B$181)</f>
        <v>2024-02-05</v>
      </c>
      <c r="K210">
        <f t="shared" si="9"/>
        <v>2024</v>
      </c>
      <c r="L210">
        <f t="shared" si="10"/>
        <v>2</v>
      </c>
      <c r="M210">
        <f t="shared" si="11"/>
        <v>5</v>
      </c>
      <c r="N210">
        <f>[1]Transactions!J210*[1]Transactions!K210</f>
        <v>20048</v>
      </c>
    </row>
    <row r="211" spans="9:14" x14ac:dyDescent="0.3">
      <c r="I211">
        <v>54</v>
      </c>
      <c r="J211" t="str">
        <f>_xlfn.XLOOKUP(I211,[1]Dates!$A$2:$A$181,[1]Dates!$B$2:$B$181)</f>
        <v>2024-02-24</v>
      </c>
      <c r="K211">
        <f t="shared" si="9"/>
        <v>2024</v>
      </c>
      <c r="L211">
        <f t="shared" si="10"/>
        <v>2</v>
      </c>
      <c r="M211">
        <f t="shared" si="11"/>
        <v>24</v>
      </c>
      <c r="N211">
        <f>[1]Transactions!J211*[1]Transactions!K211</f>
        <v>14916</v>
      </c>
    </row>
    <row r="212" spans="9:14" x14ac:dyDescent="0.3">
      <c r="I212">
        <v>48</v>
      </c>
      <c r="J212" t="str">
        <f>_xlfn.XLOOKUP(I212,[1]Dates!$A$2:$A$181,[1]Dates!$B$2:$B$181)</f>
        <v>2024-02-18</v>
      </c>
      <c r="K212">
        <f t="shared" si="9"/>
        <v>2024</v>
      </c>
      <c r="L212">
        <f t="shared" si="10"/>
        <v>2</v>
      </c>
      <c r="M212">
        <f t="shared" si="11"/>
        <v>18</v>
      </c>
      <c r="N212">
        <f>[1]Transactions!J212*[1]Transactions!K212</f>
        <v>601152</v>
      </c>
    </row>
    <row r="213" spans="9:14" x14ac:dyDescent="0.3">
      <c r="I213">
        <v>108</v>
      </c>
      <c r="J213" t="str">
        <f>_xlfn.XLOOKUP(I213,[1]Dates!$A$2:$A$181,[1]Dates!$B$2:$B$181)</f>
        <v>2024-04-18</v>
      </c>
      <c r="K213">
        <f t="shared" si="9"/>
        <v>2024</v>
      </c>
      <c r="L213">
        <f t="shared" si="10"/>
        <v>4</v>
      </c>
      <c r="M213">
        <f t="shared" si="11"/>
        <v>18</v>
      </c>
      <c r="N213">
        <f>[1]Transactions!J213*[1]Transactions!K213</f>
        <v>24725</v>
      </c>
    </row>
    <row r="214" spans="9:14" x14ac:dyDescent="0.3">
      <c r="I214">
        <v>10</v>
      </c>
      <c r="J214" t="str">
        <f>_xlfn.XLOOKUP(I214,[1]Dates!$A$2:$A$181,[1]Dates!$B$2:$B$181)</f>
        <v>2024-01-11</v>
      </c>
      <c r="K214">
        <f t="shared" si="9"/>
        <v>2024</v>
      </c>
      <c r="L214">
        <f t="shared" si="10"/>
        <v>1</v>
      </c>
      <c r="M214">
        <f t="shared" si="11"/>
        <v>11</v>
      </c>
      <c r="N214">
        <f>[1]Transactions!J214*[1]Transactions!K214</f>
        <v>142590</v>
      </c>
    </row>
    <row r="215" spans="9:14" x14ac:dyDescent="0.3">
      <c r="I215">
        <v>129</v>
      </c>
      <c r="J215" t="str">
        <f>_xlfn.XLOOKUP(I215,[1]Dates!$A$2:$A$181,[1]Dates!$B$2:$B$181)</f>
        <v>2024-05-09</v>
      </c>
      <c r="K215">
        <f t="shared" si="9"/>
        <v>2024</v>
      </c>
      <c r="L215">
        <f t="shared" si="10"/>
        <v>5</v>
      </c>
      <c r="M215">
        <f t="shared" si="11"/>
        <v>9</v>
      </c>
      <c r="N215">
        <f>[1]Transactions!J215*[1]Transactions!K215</f>
        <v>53196</v>
      </c>
    </row>
    <row r="216" spans="9:14" x14ac:dyDescent="0.3">
      <c r="I216">
        <v>134</v>
      </c>
      <c r="J216" t="str">
        <f>_xlfn.XLOOKUP(I216,[1]Dates!$A$2:$A$181,[1]Dates!$B$2:$B$181)</f>
        <v>2024-05-14</v>
      </c>
      <c r="K216">
        <f t="shared" si="9"/>
        <v>2024</v>
      </c>
      <c r="L216">
        <f t="shared" si="10"/>
        <v>5</v>
      </c>
      <c r="M216">
        <f t="shared" si="11"/>
        <v>14</v>
      </c>
      <c r="N216">
        <f>[1]Transactions!J216*[1]Transactions!K216</f>
        <v>42328</v>
      </c>
    </row>
    <row r="217" spans="9:14" x14ac:dyDescent="0.3">
      <c r="I217">
        <v>102</v>
      </c>
      <c r="J217" t="str">
        <f>_xlfn.XLOOKUP(I217,[1]Dates!$A$2:$A$181,[1]Dates!$B$2:$B$181)</f>
        <v>2024-04-12</v>
      </c>
      <c r="K217">
        <f t="shared" si="9"/>
        <v>2024</v>
      </c>
      <c r="L217">
        <f t="shared" si="10"/>
        <v>4</v>
      </c>
      <c r="M217">
        <f t="shared" si="11"/>
        <v>12</v>
      </c>
      <c r="N217">
        <f>[1]Transactions!J217*[1]Transactions!K217</f>
        <v>605070</v>
      </c>
    </row>
    <row r="218" spans="9:14" x14ac:dyDescent="0.3">
      <c r="I218">
        <v>22</v>
      </c>
      <c r="J218" t="str">
        <f>_xlfn.XLOOKUP(I218,[1]Dates!$A$2:$A$181,[1]Dates!$B$2:$B$181)</f>
        <v>2024-01-23</v>
      </c>
      <c r="K218">
        <f t="shared" si="9"/>
        <v>2024</v>
      </c>
      <c r="L218">
        <f t="shared" si="10"/>
        <v>1</v>
      </c>
      <c r="M218">
        <f t="shared" si="11"/>
        <v>23</v>
      </c>
      <c r="N218">
        <f>[1]Transactions!J218*[1]Transactions!K218</f>
        <v>71370</v>
      </c>
    </row>
    <row r="219" spans="9:14" x14ac:dyDescent="0.3">
      <c r="I219">
        <v>100</v>
      </c>
      <c r="J219" t="str">
        <f>_xlfn.XLOOKUP(I219,[1]Dates!$A$2:$A$181,[1]Dates!$B$2:$B$181)</f>
        <v>2024-04-10</v>
      </c>
      <c r="K219">
        <f t="shared" si="9"/>
        <v>2024</v>
      </c>
      <c r="L219">
        <f t="shared" si="10"/>
        <v>4</v>
      </c>
      <c r="M219">
        <f t="shared" si="11"/>
        <v>10</v>
      </c>
      <c r="N219">
        <f>[1]Transactions!J219*[1]Transactions!K219</f>
        <v>21716</v>
      </c>
    </row>
    <row r="220" spans="9:14" x14ac:dyDescent="0.3">
      <c r="I220">
        <v>60</v>
      </c>
      <c r="J220" t="str">
        <f>_xlfn.XLOOKUP(I220,[1]Dates!$A$2:$A$181,[1]Dates!$B$2:$B$181)</f>
        <v>2024-03-01</v>
      </c>
      <c r="K220">
        <f t="shared" si="9"/>
        <v>2024</v>
      </c>
      <c r="L220">
        <f t="shared" si="10"/>
        <v>3</v>
      </c>
      <c r="M220">
        <f t="shared" si="11"/>
        <v>1</v>
      </c>
      <c r="N220">
        <f>[1]Transactions!J220*[1]Transactions!K220</f>
        <v>9900</v>
      </c>
    </row>
    <row r="221" spans="9:14" x14ac:dyDescent="0.3">
      <c r="I221">
        <v>79</v>
      </c>
      <c r="J221" t="str">
        <f>_xlfn.XLOOKUP(I221,[1]Dates!$A$2:$A$181,[1]Dates!$B$2:$B$181)</f>
        <v>2024-03-20</v>
      </c>
      <c r="K221">
        <f t="shared" si="9"/>
        <v>2024</v>
      </c>
      <c r="L221">
        <f t="shared" si="10"/>
        <v>3</v>
      </c>
      <c r="M221">
        <f t="shared" si="11"/>
        <v>20</v>
      </c>
      <c r="N221">
        <f>[1]Transactions!J221*[1]Transactions!K221</f>
        <v>5396</v>
      </c>
    </row>
    <row r="222" spans="9:14" x14ac:dyDescent="0.3">
      <c r="I222">
        <v>161</v>
      </c>
      <c r="J222" t="str">
        <f>_xlfn.XLOOKUP(I222,[1]Dates!$A$2:$A$181,[1]Dates!$B$2:$B$181)</f>
        <v>2024-06-10</v>
      </c>
      <c r="K222">
        <f t="shared" si="9"/>
        <v>2024</v>
      </c>
      <c r="L222">
        <f t="shared" si="10"/>
        <v>6</v>
      </c>
      <c r="M222">
        <f t="shared" si="11"/>
        <v>10</v>
      </c>
      <c r="N222">
        <f>[1]Transactions!J222*[1]Transactions!K222</f>
        <v>486</v>
      </c>
    </row>
    <row r="223" spans="9:14" x14ac:dyDescent="0.3">
      <c r="I223">
        <v>65</v>
      </c>
      <c r="J223" t="str">
        <f>_xlfn.XLOOKUP(I223,[1]Dates!$A$2:$A$181,[1]Dates!$B$2:$B$181)</f>
        <v>2024-03-06</v>
      </c>
      <c r="K223">
        <f t="shared" si="9"/>
        <v>2024</v>
      </c>
      <c r="L223">
        <f t="shared" si="10"/>
        <v>3</v>
      </c>
      <c r="M223">
        <f t="shared" si="11"/>
        <v>6</v>
      </c>
      <c r="N223">
        <f>[1]Transactions!J223*[1]Transactions!K223</f>
        <v>185036</v>
      </c>
    </row>
    <row r="224" spans="9:14" x14ac:dyDescent="0.3">
      <c r="I224">
        <v>133</v>
      </c>
      <c r="J224" t="str">
        <f>_xlfn.XLOOKUP(I224,[1]Dates!$A$2:$A$181,[1]Dates!$B$2:$B$181)</f>
        <v>2024-05-13</v>
      </c>
      <c r="K224">
        <f t="shared" si="9"/>
        <v>2024</v>
      </c>
      <c r="L224">
        <f t="shared" si="10"/>
        <v>5</v>
      </c>
      <c r="M224">
        <f t="shared" si="11"/>
        <v>13</v>
      </c>
      <c r="N224">
        <f>[1]Transactions!J224*[1]Transactions!K224</f>
        <v>3500</v>
      </c>
    </row>
    <row r="225" spans="9:14" x14ac:dyDescent="0.3">
      <c r="I225">
        <v>136</v>
      </c>
      <c r="J225" t="str">
        <f>_xlfn.XLOOKUP(I225,[1]Dates!$A$2:$A$181,[1]Dates!$B$2:$B$181)</f>
        <v>2024-05-16</v>
      </c>
      <c r="K225">
        <f t="shared" si="9"/>
        <v>2024</v>
      </c>
      <c r="L225">
        <f t="shared" si="10"/>
        <v>5</v>
      </c>
      <c r="M225">
        <f t="shared" si="11"/>
        <v>16</v>
      </c>
      <c r="N225">
        <f>[1]Transactions!J225*[1]Transactions!K225</f>
        <v>18532</v>
      </c>
    </row>
    <row r="226" spans="9:14" x14ac:dyDescent="0.3">
      <c r="I226">
        <v>13</v>
      </c>
      <c r="J226" t="str">
        <f>_xlfn.XLOOKUP(I226,[1]Dates!$A$2:$A$181,[1]Dates!$B$2:$B$181)</f>
        <v>2024-01-14</v>
      </c>
      <c r="K226">
        <f t="shared" si="9"/>
        <v>2024</v>
      </c>
      <c r="L226">
        <f t="shared" si="10"/>
        <v>1</v>
      </c>
      <c r="M226">
        <f t="shared" si="11"/>
        <v>14</v>
      </c>
      <c r="N226">
        <f>[1]Transactions!J226*[1]Transactions!K226</f>
        <v>17945</v>
      </c>
    </row>
    <row r="227" spans="9:14" x14ac:dyDescent="0.3">
      <c r="I227">
        <v>52</v>
      </c>
      <c r="J227" t="str">
        <f>_xlfn.XLOOKUP(I227,[1]Dates!$A$2:$A$181,[1]Dates!$B$2:$B$181)</f>
        <v>2024-02-22</v>
      </c>
      <c r="K227">
        <f t="shared" si="9"/>
        <v>2024</v>
      </c>
      <c r="L227">
        <f t="shared" si="10"/>
        <v>2</v>
      </c>
      <c r="M227">
        <f t="shared" si="11"/>
        <v>22</v>
      </c>
      <c r="N227">
        <f>[1]Transactions!J227*[1]Transactions!K227</f>
        <v>472</v>
      </c>
    </row>
    <row r="228" spans="9:14" x14ac:dyDescent="0.3">
      <c r="I228">
        <v>85</v>
      </c>
      <c r="J228" t="str">
        <f>_xlfn.XLOOKUP(I228,[1]Dates!$A$2:$A$181,[1]Dates!$B$2:$B$181)</f>
        <v>2024-03-26</v>
      </c>
      <c r="K228">
        <f t="shared" si="9"/>
        <v>2024</v>
      </c>
      <c r="L228">
        <f t="shared" si="10"/>
        <v>3</v>
      </c>
      <c r="M228">
        <f t="shared" si="11"/>
        <v>26</v>
      </c>
      <c r="N228">
        <f>[1]Transactions!J228*[1]Transactions!K228</f>
        <v>499656</v>
      </c>
    </row>
    <row r="229" spans="9:14" x14ac:dyDescent="0.3">
      <c r="I229">
        <v>133</v>
      </c>
      <c r="J229" t="str">
        <f>_xlfn.XLOOKUP(I229,[1]Dates!$A$2:$A$181,[1]Dates!$B$2:$B$181)</f>
        <v>2024-05-13</v>
      </c>
      <c r="K229">
        <f t="shared" si="9"/>
        <v>2024</v>
      </c>
      <c r="L229">
        <f t="shared" si="10"/>
        <v>5</v>
      </c>
      <c r="M229">
        <f t="shared" si="11"/>
        <v>13</v>
      </c>
      <c r="N229">
        <f>[1]Transactions!J229*[1]Transactions!K229</f>
        <v>389400</v>
      </c>
    </row>
    <row r="230" spans="9:14" x14ac:dyDescent="0.3">
      <c r="I230">
        <v>153</v>
      </c>
      <c r="J230" t="str">
        <f>_xlfn.XLOOKUP(I230,[1]Dates!$A$2:$A$181,[1]Dates!$B$2:$B$181)</f>
        <v>2024-06-02</v>
      </c>
      <c r="K230">
        <f t="shared" si="9"/>
        <v>2024</v>
      </c>
      <c r="L230">
        <f t="shared" si="10"/>
        <v>6</v>
      </c>
      <c r="M230">
        <f t="shared" si="11"/>
        <v>2</v>
      </c>
      <c r="N230">
        <f>[1]Transactions!J230*[1]Transactions!K230</f>
        <v>4191</v>
      </c>
    </row>
    <row r="231" spans="9:14" x14ac:dyDescent="0.3">
      <c r="I231">
        <v>141</v>
      </c>
      <c r="J231" t="str">
        <f>_xlfn.XLOOKUP(I231,[1]Dates!$A$2:$A$181,[1]Dates!$B$2:$B$181)</f>
        <v>2024-05-21</v>
      </c>
      <c r="K231">
        <f t="shared" si="9"/>
        <v>2024</v>
      </c>
      <c r="L231">
        <f t="shared" si="10"/>
        <v>5</v>
      </c>
      <c r="M231">
        <f t="shared" si="11"/>
        <v>21</v>
      </c>
      <c r="N231">
        <f>[1]Transactions!J231*[1]Transactions!K231</f>
        <v>12844</v>
      </c>
    </row>
    <row r="232" spans="9:14" x14ac:dyDescent="0.3">
      <c r="I232">
        <v>107</v>
      </c>
      <c r="J232" t="str">
        <f>_xlfn.XLOOKUP(I232,[1]Dates!$A$2:$A$181,[1]Dates!$B$2:$B$181)</f>
        <v>2024-04-17</v>
      </c>
      <c r="K232">
        <f t="shared" si="9"/>
        <v>2024</v>
      </c>
      <c r="L232">
        <f t="shared" si="10"/>
        <v>4</v>
      </c>
      <c r="M232">
        <f t="shared" si="11"/>
        <v>17</v>
      </c>
      <c r="N232">
        <f>[1]Transactions!J232*[1]Transactions!K232</f>
        <v>18200</v>
      </c>
    </row>
    <row r="233" spans="9:14" x14ac:dyDescent="0.3">
      <c r="I233">
        <v>38</v>
      </c>
      <c r="J233" t="str">
        <f>_xlfn.XLOOKUP(I233,[1]Dates!$A$2:$A$181,[1]Dates!$B$2:$B$181)</f>
        <v>2024-02-08</v>
      </c>
      <c r="K233">
        <f t="shared" si="9"/>
        <v>2024</v>
      </c>
      <c r="L233">
        <f t="shared" si="10"/>
        <v>2</v>
      </c>
      <c r="M233">
        <f t="shared" si="11"/>
        <v>8</v>
      </c>
      <c r="N233">
        <f>[1]Transactions!J233*[1]Transactions!K233</f>
        <v>1320</v>
      </c>
    </row>
    <row r="234" spans="9:14" x14ac:dyDescent="0.3">
      <c r="I234">
        <v>130</v>
      </c>
      <c r="J234" t="str">
        <f>_xlfn.XLOOKUP(I234,[1]Dates!$A$2:$A$181,[1]Dates!$B$2:$B$181)</f>
        <v>2024-05-10</v>
      </c>
      <c r="K234">
        <f t="shared" si="9"/>
        <v>2024</v>
      </c>
      <c r="L234">
        <f t="shared" si="10"/>
        <v>5</v>
      </c>
      <c r="M234">
        <f t="shared" si="11"/>
        <v>10</v>
      </c>
      <c r="N234">
        <f>[1]Transactions!J234*[1]Transactions!K234</f>
        <v>135850</v>
      </c>
    </row>
    <row r="235" spans="9:14" x14ac:dyDescent="0.3">
      <c r="I235">
        <v>173</v>
      </c>
      <c r="J235" t="str">
        <f>_xlfn.XLOOKUP(I235,[1]Dates!$A$2:$A$181,[1]Dates!$B$2:$B$181)</f>
        <v>2024-06-22</v>
      </c>
      <c r="K235">
        <f t="shared" si="9"/>
        <v>2024</v>
      </c>
      <c r="L235">
        <f t="shared" si="10"/>
        <v>6</v>
      </c>
      <c r="M235">
        <f t="shared" si="11"/>
        <v>22</v>
      </c>
      <c r="N235">
        <f>[1]Transactions!J235*[1]Transactions!K235</f>
        <v>4650</v>
      </c>
    </row>
    <row r="236" spans="9:14" x14ac:dyDescent="0.3">
      <c r="I236">
        <v>79</v>
      </c>
      <c r="J236" t="str">
        <f>_xlfn.XLOOKUP(I236,[1]Dates!$A$2:$A$181,[1]Dates!$B$2:$B$181)</f>
        <v>2024-03-20</v>
      </c>
      <c r="K236">
        <f t="shared" si="9"/>
        <v>2024</v>
      </c>
      <c r="L236">
        <f t="shared" si="10"/>
        <v>3</v>
      </c>
      <c r="M236">
        <f t="shared" si="11"/>
        <v>20</v>
      </c>
      <c r="N236">
        <f>[1]Transactions!J236*[1]Transactions!K236</f>
        <v>152218</v>
      </c>
    </row>
    <row r="237" spans="9:14" x14ac:dyDescent="0.3">
      <c r="I237">
        <v>154</v>
      </c>
      <c r="J237" t="str">
        <f>_xlfn.XLOOKUP(I237,[1]Dates!$A$2:$A$181,[1]Dates!$B$2:$B$181)</f>
        <v>2024-06-03</v>
      </c>
      <c r="K237">
        <f t="shared" si="9"/>
        <v>2024</v>
      </c>
      <c r="L237">
        <f t="shared" si="10"/>
        <v>6</v>
      </c>
      <c r="M237">
        <f t="shared" si="11"/>
        <v>3</v>
      </c>
      <c r="N237">
        <f>[1]Transactions!J237*[1]Transactions!K237</f>
        <v>21432</v>
      </c>
    </row>
    <row r="238" spans="9:14" x14ac:dyDescent="0.3">
      <c r="I238">
        <v>98</v>
      </c>
      <c r="J238" t="str">
        <f>_xlfn.XLOOKUP(I238,[1]Dates!$A$2:$A$181,[1]Dates!$B$2:$B$181)</f>
        <v>2024-04-08</v>
      </c>
      <c r="K238">
        <f t="shared" si="9"/>
        <v>2024</v>
      </c>
      <c r="L238">
        <f t="shared" si="10"/>
        <v>4</v>
      </c>
      <c r="M238">
        <f t="shared" si="11"/>
        <v>8</v>
      </c>
      <c r="N238">
        <f>[1]Transactions!J238*[1]Transactions!K238</f>
        <v>46980</v>
      </c>
    </row>
    <row r="239" spans="9:14" x14ac:dyDescent="0.3">
      <c r="I239">
        <v>85</v>
      </c>
      <c r="J239" t="str">
        <f>_xlfn.XLOOKUP(I239,[1]Dates!$A$2:$A$181,[1]Dates!$B$2:$B$181)</f>
        <v>2024-03-26</v>
      </c>
      <c r="K239">
        <f t="shared" si="9"/>
        <v>2024</v>
      </c>
      <c r="L239">
        <f t="shared" si="10"/>
        <v>3</v>
      </c>
      <c r="M239">
        <f t="shared" si="11"/>
        <v>26</v>
      </c>
      <c r="N239">
        <f>[1]Transactions!J239*[1]Transactions!K239</f>
        <v>54189</v>
      </c>
    </row>
    <row r="240" spans="9:14" x14ac:dyDescent="0.3">
      <c r="I240">
        <v>52</v>
      </c>
      <c r="J240" t="str">
        <f>_xlfn.XLOOKUP(I240,[1]Dates!$A$2:$A$181,[1]Dates!$B$2:$B$181)</f>
        <v>2024-02-22</v>
      </c>
      <c r="K240">
        <f t="shared" si="9"/>
        <v>2024</v>
      </c>
      <c r="L240">
        <f t="shared" si="10"/>
        <v>2</v>
      </c>
      <c r="M240">
        <f t="shared" si="11"/>
        <v>22</v>
      </c>
      <c r="N240">
        <f>[1]Transactions!J240*[1]Transactions!K240</f>
        <v>24120</v>
      </c>
    </row>
    <row r="241" spans="9:14" x14ac:dyDescent="0.3">
      <c r="I241">
        <v>70</v>
      </c>
      <c r="J241" t="str">
        <f>_xlfn.XLOOKUP(I241,[1]Dates!$A$2:$A$181,[1]Dates!$B$2:$B$181)</f>
        <v>2024-03-11</v>
      </c>
      <c r="K241">
        <f t="shared" si="9"/>
        <v>2024</v>
      </c>
      <c r="L241">
        <f t="shared" si="10"/>
        <v>3</v>
      </c>
      <c r="M241">
        <f t="shared" si="11"/>
        <v>11</v>
      </c>
      <c r="N241">
        <f>[1]Transactions!J241*[1]Transactions!K241</f>
        <v>112614</v>
      </c>
    </row>
    <row r="242" spans="9:14" x14ac:dyDescent="0.3">
      <c r="I242">
        <v>123</v>
      </c>
      <c r="J242" t="str">
        <f>_xlfn.XLOOKUP(I242,[1]Dates!$A$2:$A$181,[1]Dates!$B$2:$B$181)</f>
        <v>2024-05-03</v>
      </c>
      <c r="K242">
        <f t="shared" si="9"/>
        <v>2024</v>
      </c>
      <c r="L242">
        <f t="shared" si="10"/>
        <v>5</v>
      </c>
      <c r="M242">
        <f t="shared" si="11"/>
        <v>3</v>
      </c>
      <c r="N242">
        <f>[1]Transactions!J242*[1]Transactions!K242</f>
        <v>23814</v>
      </c>
    </row>
    <row r="243" spans="9:14" x14ac:dyDescent="0.3">
      <c r="I243">
        <v>102</v>
      </c>
      <c r="J243" t="str">
        <f>_xlfn.XLOOKUP(I243,[1]Dates!$A$2:$A$181,[1]Dates!$B$2:$B$181)</f>
        <v>2024-04-12</v>
      </c>
      <c r="K243">
        <f t="shared" si="9"/>
        <v>2024</v>
      </c>
      <c r="L243">
        <f t="shared" si="10"/>
        <v>4</v>
      </c>
      <c r="M243">
        <f t="shared" si="11"/>
        <v>12</v>
      </c>
      <c r="N243">
        <f>[1]Transactions!J243*[1]Transactions!K243</f>
        <v>100842</v>
      </c>
    </row>
    <row r="244" spans="9:14" x14ac:dyDescent="0.3">
      <c r="I244">
        <v>91</v>
      </c>
      <c r="J244" t="str">
        <f>_xlfn.XLOOKUP(I244,[1]Dates!$A$2:$A$181,[1]Dates!$B$2:$B$181)</f>
        <v>2024-04-01</v>
      </c>
      <c r="K244">
        <f t="shared" si="9"/>
        <v>2024</v>
      </c>
      <c r="L244">
        <f t="shared" si="10"/>
        <v>4</v>
      </c>
      <c r="M244">
        <f t="shared" si="11"/>
        <v>1</v>
      </c>
      <c r="N244">
        <f>[1]Transactions!J244*[1]Transactions!K244</f>
        <v>9940</v>
      </c>
    </row>
    <row r="245" spans="9:14" x14ac:dyDescent="0.3">
      <c r="I245">
        <v>44</v>
      </c>
      <c r="J245" t="str">
        <f>_xlfn.XLOOKUP(I245,[1]Dates!$A$2:$A$181,[1]Dates!$B$2:$B$181)</f>
        <v>2024-02-14</v>
      </c>
      <c r="K245">
        <f t="shared" si="9"/>
        <v>2024</v>
      </c>
      <c r="L245">
        <f t="shared" si="10"/>
        <v>2</v>
      </c>
      <c r="M245">
        <f t="shared" si="11"/>
        <v>14</v>
      </c>
      <c r="N245">
        <f>[1]Transactions!J245*[1]Transactions!K245</f>
        <v>1160</v>
      </c>
    </row>
    <row r="246" spans="9:14" x14ac:dyDescent="0.3">
      <c r="I246">
        <v>176</v>
      </c>
      <c r="J246" t="str">
        <f>_xlfn.XLOOKUP(I246,[1]Dates!$A$2:$A$181,[1]Dates!$B$2:$B$181)</f>
        <v>2024-06-25</v>
      </c>
      <c r="K246">
        <f t="shared" si="9"/>
        <v>2024</v>
      </c>
      <c r="L246">
        <f t="shared" si="10"/>
        <v>6</v>
      </c>
      <c r="M246">
        <f t="shared" si="11"/>
        <v>25</v>
      </c>
      <c r="N246">
        <f>[1]Transactions!J246*[1]Transactions!K246</f>
        <v>257640</v>
      </c>
    </row>
    <row r="247" spans="9:14" x14ac:dyDescent="0.3">
      <c r="I247">
        <v>159</v>
      </c>
      <c r="J247" t="str">
        <f>_xlfn.XLOOKUP(I247,[1]Dates!$A$2:$A$181,[1]Dates!$B$2:$B$181)</f>
        <v>2024-06-08</v>
      </c>
      <c r="K247">
        <f t="shared" si="9"/>
        <v>2024</v>
      </c>
      <c r="L247">
        <f t="shared" si="10"/>
        <v>6</v>
      </c>
      <c r="M247">
        <f t="shared" si="11"/>
        <v>8</v>
      </c>
      <c r="N247">
        <f>[1]Transactions!J247*[1]Transactions!K247</f>
        <v>1580</v>
      </c>
    </row>
    <row r="248" spans="9:14" x14ac:dyDescent="0.3">
      <c r="I248">
        <v>63</v>
      </c>
      <c r="J248" t="str">
        <f>_xlfn.XLOOKUP(I248,[1]Dates!$A$2:$A$181,[1]Dates!$B$2:$B$181)</f>
        <v>2024-03-04</v>
      </c>
      <c r="K248">
        <f t="shared" si="9"/>
        <v>2024</v>
      </c>
      <c r="L248">
        <f t="shared" si="10"/>
        <v>3</v>
      </c>
      <c r="M248">
        <f t="shared" si="11"/>
        <v>4</v>
      </c>
      <c r="N248">
        <f>[1]Transactions!J248*[1]Transactions!K248</f>
        <v>19844</v>
      </c>
    </row>
    <row r="249" spans="9:14" x14ac:dyDescent="0.3">
      <c r="I249">
        <v>44</v>
      </c>
      <c r="J249" t="str">
        <f>_xlfn.XLOOKUP(I249,[1]Dates!$A$2:$A$181,[1]Dates!$B$2:$B$181)</f>
        <v>2024-02-14</v>
      </c>
      <c r="K249">
        <f t="shared" si="9"/>
        <v>2024</v>
      </c>
      <c r="L249">
        <f t="shared" si="10"/>
        <v>2</v>
      </c>
      <c r="M249">
        <f t="shared" si="11"/>
        <v>14</v>
      </c>
      <c r="N249">
        <f>[1]Transactions!J249*[1]Transactions!K249</f>
        <v>558848</v>
      </c>
    </row>
    <row r="250" spans="9:14" x14ac:dyDescent="0.3">
      <c r="I250">
        <v>33</v>
      </c>
      <c r="J250" t="str">
        <f>_xlfn.XLOOKUP(I250,[1]Dates!$A$2:$A$181,[1]Dates!$B$2:$B$181)</f>
        <v>2024-02-03</v>
      </c>
      <c r="K250">
        <f t="shared" si="9"/>
        <v>2024</v>
      </c>
      <c r="L250">
        <f t="shared" si="10"/>
        <v>2</v>
      </c>
      <c r="M250">
        <f t="shared" si="11"/>
        <v>3</v>
      </c>
      <c r="N250">
        <f>[1]Transactions!J250*[1]Transactions!K250</f>
        <v>55776</v>
      </c>
    </row>
    <row r="251" spans="9:14" x14ac:dyDescent="0.3">
      <c r="I251">
        <v>139</v>
      </c>
      <c r="J251" t="str">
        <f>_xlfn.XLOOKUP(I251,[1]Dates!$A$2:$A$181,[1]Dates!$B$2:$B$181)</f>
        <v>2024-05-19</v>
      </c>
      <c r="K251">
        <f t="shared" si="9"/>
        <v>2024</v>
      </c>
      <c r="L251">
        <f t="shared" si="10"/>
        <v>5</v>
      </c>
      <c r="M251">
        <f t="shared" si="11"/>
        <v>19</v>
      </c>
      <c r="N251">
        <f>[1]Transactions!J251*[1]Transactions!K251</f>
        <v>72624</v>
      </c>
    </row>
    <row r="252" spans="9:14" x14ac:dyDescent="0.3">
      <c r="I252">
        <v>168</v>
      </c>
      <c r="J252" t="str">
        <f>_xlfn.XLOOKUP(I252,[1]Dates!$A$2:$A$181,[1]Dates!$B$2:$B$181)</f>
        <v>2024-06-17</v>
      </c>
      <c r="K252">
        <f t="shared" si="9"/>
        <v>2024</v>
      </c>
      <c r="L252">
        <f t="shared" si="10"/>
        <v>6</v>
      </c>
      <c r="M252">
        <f t="shared" si="11"/>
        <v>17</v>
      </c>
      <c r="N252">
        <f>[1]Transactions!J252*[1]Transactions!K252</f>
        <v>13500</v>
      </c>
    </row>
    <row r="253" spans="9:14" x14ac:dyDescent="0.3">
      <c r="I253">
        <v>5</v>
      </c>
      <c r="J253" t="str">
        <f>_xlfn.XLOOKUP(I253,[1]Dates!$A$2:$A$181,[1]Dates!$B$2:$B$181)</f>
        <v>2024-01-06</v>
      </c>
      <c r="K253">
        <f t="shared" si="9"/>
        <v>2024</v>
      </c>
      <c r="L253">
        <f t="shared" si="10"/>
        <v>1</v>
      </c>
      <c r="M253">
        <f t="shared" si="11"/>
        <v>6</v>
      </c>
      <c r="N253">
        <f>[1]Transactions!J253*[1]Transactions!K253</f>
        <v>6105</v>
      </c>
    </row>
    <row r="254" spans="9:14" x14ac:dyDescent="0.3">
      <c r="I254">
        <v>101</v>
      </c>
      <c r="J254" t="str">
        <f>_xlfn.XLOOKUP(I254,[1]Dates!$A$2:$A$181,[1]Dates!$B$2:$B$181)</f>
        <v>2024-04-11</v>
      </c>
      <c r="K254">
        <f t="shared" si="9"/>
        <v>2024</v>
      </c>
      <c r="L254">
        <f t="shared" si="10"/>
        <v>4</v>
      </c>
      <c r="M254">
        <f t="shared" si="11"/>
        <v>11</v>
      </c>
      <c r="N254">
        <f>[1]Transactions!J254*[1]Transactions!K254</f>
        <v>50292</v>
      </c>
    </row>
    <row r="255" spans="9:14" x14ac:dyDescent="0.3">
      <c r="I255">
        <v>13</v>
      </c>
      <c r="J255" t="str">
        <f>_xlfn.XLOOKUP(I255,[1]Dates!$A$2:$A$181,[1]Dates!$B$2:$B$181)</f>
        <v>2024-01-14</v>
      </c>
      <c r="K255">
        <f t="shared" si="9"/>
        <v>2024</v>
      </c>
      <c r="L255">
        <f t="shared" si="10"/>
        <v>1</v>
      </c>
      <c r="M255">
        <f t="shared" si="11"/>
        <v>14</v>
      </c>
      <c r="N255">
        <f>[1]Transactions!J255*[1]Transactions!K255</f>
        <v>54981</v>
      </c>
    </row>
    <row r="256" spans="9:14" x14ac:dyDescent="0.3">
      <c r="I256">
        <v>135</v>
      </c>
      <c r="J256" t="str">
        <f>_xlfn.XLOOKUP(I256,[1]Dates!$A$2:$A$181,[1]Dates!$B$2:$B$181)</f>
        <v>2024-05-15</v>
      </c>
      <c r="K256">
        <f t="shared" si="9"/>
        <v>2024</v>
      </c>
      <c r="L256">
        <f t="shared" si="10"/>
        <v>5</v>
      </c>
      <c r="M256">
        <f t="shared" si="11"/>
        <v>15</v>
      </c>
      <c r="N256">
        <f>[1]Transactions!J256*[1]Transactions!K256</f>
        <v>14872</v>
      </c>
    </row>
    <row r="257" spans="9:14" x14ac:dyDescent="0.3">
      <c r="I257">
        <v>169</v>
      </c>
      <c r="J257" t="str">
        <f>_xlfn.XLOOKUP(I257,[1]Dates!$A$2:$A$181,[1]Dates!$B$2:$B$181)</f>
        <v>2024-06-18</v>
      </c>
      <c r="K257">
        <f t="shared" si="9"/>
        <v>2024</v>
      </c>
      <c r="L257">
        <f t="shared" si="10"/>
        <v>6</v>
      </c>
      <c r="M257">
        <f t="shared" si="11"/>
        <v>18</v>
      </c>
      <c r="N257">
        <f>[1]Transactions!J257*[1]Transactions!K257</f>
        <v>65469</v>
      </c>
    </row>
    <row r="258" spans="9:14" x14ac:dyDescent="0.3">
      <c r="I258">
        <v>4</v>
      </c>
      <c r="J258" t="str">
        <f>_xlfn.XLOOKUP(I258,[1]Dates!$A$2:$A$181,[1]Dates!$B$2:$B$181)</f>
        <v>2024-01-05</v>
      </c>
      <c r="K258">
        <f t="shared" si="9"/>
        <v>2024</v>
      </c>
      <c r="L258">
        <f t="shared" si="10"/>
        <v>1</v>
      </c>
      <c r="M258">
        <f t="shared" si="11"/>
        <v>5</v>
      </c>
      <c r="N258">
        <f>[1]Transactions!J258*[1]Transactions!K258</f>
        <v>994</v>
      </c>
    </row>
    <row r="259" spans="9:14" x14ac:dyDescent="0.3">
      <c r="I259">
        <v>53</v>
      </c>
      <c r="J259" t="str">
        <f>_xlfn.XLOOKUP(I259,[1]Dates!$A$2:$A$181,[1]Dates!$B$2:$B$181)</f>
        <v>2024-02-23</v>
      </c>
      <c r="K259">
        <f t="shared" ref="K259:K322" si="12">YEAR(J259)</f>
        <v>2024</v>
      </c>
      <c r="L259">
        <f t="shared" ref="L259:L322" si="13">MONTH(J259)</f>
        <v>2</v>
      </c>
      <c r="M259">
        <f t="shared" ref="M259:M322" si="14">DAY(J259)</f>
        <v>23</v>
      </c>
      <c r="N259">
        <f>[1]Transactions!J259*[1]Transactions!K259</f>
        <v>55759</v>
      </c>
    </row>
    <row r="260" spans="9:14" x14ac:dyDescent="0.3">
      <c r="I260">
        <v>30</v>
      </c>
      <c r="J260" t="str">
        <f>_xlfn.XLOOKUP(I260,[1]Dates!$A$2:$A$181,[1]Dates!$B$2:$B$181)</f>
        <v>2024-01-31</v>
      </c>
      <c r="K260">
        <f t="shared" si="12"/>
        <v>2024</v>
      </c>
      <c r="L260">
        <f t="shared" si="13"/>
        <v>1</v>
      </c>
      <c r="M260">
        <f t="shared" si="14"/>
        <v>31</v>
      </c>
      <c r="N260">
        <f>[1]Transactions!J260*[1]Transactions!K260</f>
        <v>67500</v>
      </c>
    </row>
    <row r="261" spans="9:14" x14ac:dyDescent="0.3">
      <c r="I261">
        <v>18</v>
      </c>
      <c r="J261" t="str">
        <f>_xlfn.XLOOKUP(I261,[1]Dates!$A$2:$A$181,[1]Dates!$B$2:$B$181)</f>
        <v>2024-01-19</v>
      </c>
      <c r="K261">
        <f t="shared" si="12"/>
        <v>2024</v>
      </c>
      <c r="L261">
        <f t="shared" si="13"/>
        <v>1</v>
      </c>
      <c r="M261">
        <f t="shared" si="14"/>
        <v>19</v>
      </c>
      <c r="N261">
        <f>[1]Transactions!J261*[1]Transactions!K261</f>
        <v>51040</v>
      </c>
    </row>
    <row r="262" spans="9:14" x14ac:dyDescent="0.3">
      <c r="I262">
        <v>7</v>
      </c>
      <c r="J262" t="str">
        <f>_xlfn.XLOOKUP(I262,[1]Dates!$A$2:$A$181,[1]Dates!$B$2:$B$181)</f>
        <v>2024-01-08</v>
      </c>
      <c r="K262">
        <f t="shared" si="12"/>
        <v>2024</v>
      </c>
      <c r="L262">
        <f t="shared" si="13"/>
        <v>1</v>
      </c>
      <c r="M262">
        <f t="shared" si="14"/>
        <v>8</v>
      </c>
      <c r="N262">
        <f>[1]Transactions!J262*[1]Transactions!K262</f>
        <v>199600</v>
      </c>
    </row>
    <row r="263" spans="9:14" x14ac:dyDescent="0.3">
      <c r="I263">
        <v>27</v>
      </c>
      <c r="J263" t="str">
        <f>_xlfn.XLOOKUP(I263,[1]Dates!$A$2:$A$181,[1]Dates!$B$2:$B$181)</f>
        <v>2024-01-28</v>
      </c>
      <c r="K263">
        <f t="shared" si="12"/>
        <v>2024</v>
      </c>
      <c r="L263">
        <f t="shared" si="13"/>
        <v>1</v>
      </c>
      <c r="M263">
        <f t="shared" si="14"/>
        <v>28</v>
      </c>
      <c r="N263">
        <f>[1]Transactions!J263*[1]Transactions!K263</f>
        <v>222768</v>
      </c>
    </row>
    <row r="264" spans="9:14" x14ac:dyDescent="0.3">
      <c r="I264">
        <v>30</v>
      </c>
      <c r="J264" t="str">
        <f>_xlfn.XLOOKUP(I264,[1]Dates!$A$2:$A$181,[1]Dates!$B$2:$B$181)</f>
        <v>2024-01-31</v>
      </c>
      <c r="K264">
        <f t="shared" si="12"/>
        <v>2024</v>
      </c>
      <c r="L264">
        <f t="shared" si="13"/>
        <v>1</v>
      </c>
      <c r="M264">
        <f t="shared" si="14"/>
        <v>31</v>
      </c>
      <c r="N264">
        <f>[1]Transactions!J264*[1]Transactions!K264</f>
        <v>4830</v>
      </c>
    </row>
    <row r="265" spans="9:14" x14ac:dyDescent="0.3">
      <c r="I265">
        <v>178</v>
      </c>
      <c r="J265" t="str">
        <f>_xlfn.XLOOKUP(I265,[1]Dates!$A$2:$A$181,[1]Dates!$B$2:$B$181)</f>
        <v>2024-06-27</v>
      </c>
      <c r="K265">
        <f t="shared" si="12"/>
        <v>2024</v>
      </c>
      <c r="L265">
        <f t="shared" si="13"/>
        <v>6</v>
      </c>
      <c r="M265">
        <f t="shared" si="14"/>
        <v>27</v>
      </c>
      <c r="N265">
        <f>[1]Transactions!J265*[1]Transactions!K265</f>
        <v>28275</v>
      </c>
    </row>
    <row r="266" spans="9:14" x14ac:dyDescent="0.3">
      <c r="I266">
        <v>120</v>
      </c>
      <c r="J266" t="str">
        <f>_xlfn.XLOOKUP(I266,[1]Dates!$A$2:$A$181,[1]Dates!$B$2:$B$181)</f>
        <v>2024-04-30</v>
      </c>
      <c r="K266">
        <f t="shared" si="12"/>
        <v>2024</v>
      </c>
      <c r="L266">
        <f t="shared" si="13"/>
        <v>4</v>
      </c>
      <c r="M266">
        <f t="shared" si="14"/>
        <v>30</v>
      </c>
      <c r="N266">
        <f>[1]Transactions!J266*[1]Transactions!K266</f>
        <v>42976</v>
      </c>
    </row>
    <row r="267" spans="9:14" x14ac:dyDescent="0.3">
      <c r="I267">
        <v>92</v>
      </c>
      <c r="J267" t="str">
        <f>_xlfn.XLOOKUP(I267,[1]Dates!$A$2:$A$181,[1]Dates!$B$2:$B$181)</f>
        <v>2024-04-02</v>
      </c>
      <c r="K267">
        <f t="shared" si="12"/>
        <v>2024</v>
      </c>
      <c r="L267">
        <f t="shared" si="13"/>
        <v>4</v>
      </c>
      <c r="M267">
        <f t="shared" si="14"/>
        <v>2</v>
      </c>
      <c r="N267">
        <f>[1]Transactions!J267*[1]Transactions!K267</f>
        <v>704</v>
      </c>
    </row>
    <row r="268" spans="9:14" x14ac:dyDescent="0.3">
      <c r="I268">
        <v>33</v>
      </c>
      <c r="J268" t="str">
        <f>_xlfn.XLOOKUP(I268,[1]Dates!$A$2:$A$181,[1]Dates!$B$2:$B$181)</f>
        <v>2024-02-03</v>
      </c>
      <c r="K268">
        <f t="shared" si="12"/>
        <v>2024</v>
      </c>
      <c r="L268">
        <f t="shared" si="13"/>
        <v>2</v>
      </c>
      <c r="M268">
        <f t="shared" si="14"/>
        <v>3</v>
      </c>
      <c r="N268">
        <f>[1]Transactions!J268*[1]Transactions!K268</f>
        <v>23904</v>
      </c>
    </row>
    <row r="269" spans="9:14" x14ac:dyDescent="0.3">
      <c r="I269">
        <v>98</v>
      </c>
      <c r="J269" t="str">
        <f>_xlfn.XLOOKUP(I269,[1]Dates!$A$2:$A$181,[1]Dates!$B$2:$B$181)</f>
        <v>2024-04-08</v>
      </c>
      <c r="K269">
        <f t="shared" si="12"/>
        <v>2024</v>
      </c>
      <c r="L269">
        <f t="shared" si="13"/>
        <v>4</v>
      </c>
      <c r="M269">
        <f t="shared" si="14"/>
        <v>8</v>
      </c>
      <c r="N269">
        <f>[1]Transactions!J269*[1]Transactions!K269</f>
        <v>16660</v>
      </c>
    </row>
    <row r="270" spans="9:14" x14ac:dyDescent="0.3">
      <c r="I270">
        <v>43</v>
      </c>
      <c r="J270" t="str">
        <f>_xlfn.XLOOKUP(I270,[1]Dates!$A$2:$A$181,[1]Dates!$B$2:$B$181)</f>
        <v>2024-02-13</v>
      </c>
      <c r="K270">
        <f t="shared" si="12"/>
        <v>2024</v>
      </c>
      <c r="L270">
        <f t="shared" si="13"/>
        <v>2</v>
      </c>
      <c r="M270">
        <f t="shared" si="14"/>
        <v>13</v>
      </c>
      <c r="N270">
        <f>[1]Transactions!J270*[1]Transactions!K270</f>
        <v>12939</v>
      </c>
    </row>
    <row r="271" spans="9:14" x14ac:dyDescent="0.3">
      <c r="I271">
        <v>121</v>
      </c>
      <c r="J271" t="str">
        <f>_xlfn.XLOOKUP(I271,[1]Dates!$A$2:$A$181,[1]Dates!$B$2:$B$181)</f>
        <v>2024-05-01</v>
      </c>
      <c r="K271">
        <f t="shared" si="12"/>
        <v>2024</v>
      </c>
      <c r="L271">
        <f t="shared" si="13"/>
        <v>5</v>
      </c>
      <c r="M271">
        <f t="shared" si="14"/>
        <v>1</v>
      </c>
      <c r="N271">
        <f>[1]Transactions!J271*[1]Transactions!K271</f>
        <v>111111</v>
      </c>
    </row>
    <row r="272" spans="9:14" x14ac:dyDescent="0.3">
      <c r="I272">
        <v>62</v>
      </c>
      <c r="J272" t="str">
        <f>_xlfn.XLOOKUP(I272,[1]Dates!$A$2:$A$181,[1]Dates!$B$2:$B$181)</f>
        <v>2024-03-03</v>
      </c>
      <c r="K272">
        <f t="shared" si="12"/>
        <v>2024</v>
      </c>
      <c r="L272">
        <f t="shared" si="13"/>
        <v>3</v>
      </c>
      <c r="M272">
        <f t="shared" si="14"/>
        <v>3</v>
      </c>
      <c r="N272">
        <f>[1]Transactions!J272*[1]Transactions!K272</f>
        <v>43120</v>
      </c>
    </row>
    <row r="273" spans="9:14" x14ac:dyDescent="0.3">
      <c r="I273">
        <v>145</v>
      </c>
      <c r="J273" t="str">
        <f>_xlfn.XLOOKUP(I273,[1]Dates!$A$2:$A$181,[1]Dates!$B$2:$B$181)</f>
        <v>2024-05-25</v>
      </c>
      <c r="K273">
        <f t="shared" si="12"/>
        <v>2024</v>
      </c>
      <c r="L273">
        <f t="shared" si="13"/>
        <v>5</v>
      </c>
      <c r="M273">
        <f t="shared" si="14"/>
        <v>25</v>
      </c>
      <c r="N273">
        <f>[1]Transactions!J273*[1]Transactions!K273</f>
        <v>71190</v>
      </c>
    </row>
    <row r="274" spans="9:14" x14ac:dyDescent="0.3">
      <c r="I274">
        <v>32</v>
      </c>
      <c r="J274" t="str">
        <f>_xlfn.XLOOKUP(I274,[1]Dates!$A$2:$A$181,[1]Dates!$B$2:$B$181)</f>
        <v>2024-02-02</v>
      </c>
      <c r="K274">
        <f t="shared" si="12"/>
        <v>2024</v>
      </c>
      <c r="L274">
        <f t="shared" si="13"/>
        <v>2</v>
      </c>
      <c r="M274">
        <f t="shared" si="14"/>
        <v>2</v>
      </c>
      <c r="N274">
        <f>[1]Transactions!J274*[1]Transactions!K274</f>
        <v>50880</v>
      </c>
    </row>
    <row r="275" spans="9:14" x14ac:dyDescent="0.3">
      <c r="I275">
        <v>45</v>
      </c>
      <c r="J275" t="str">
        <f>_xlfn.XLOOKUP(I275,[1]Dates!$A$2:$A$181,[1]Dates!$B$2:$B$181)</f>
        <v>2024-02-15</v>
      </c>
      <c r="K275">
        <f t="shared" si="12"/>
        <v>2024</v>
      </c>
      <c r="L275">
        <f t="shared" si="13"/>
        <v>2</v>
      </c>
      <c r="M275">
        <f t="shared" si="14"/>
        <v>15</v>
      </c>
      <c r="N275">
        <f>[1]Transactions!J275*[1]Transactions!K275</f>
        <v>69237</v>
      </c>
    </row>
    <row r="276" spans="9:14" x14ac:dyDescent="0.3">
      <c r="I276">
        <v>111</v>
      </c>
      <c r="J276" t="str">
        <f>_xlfn.XLOOKUP(I276,[1]Dates!$A$2:$A$181,[1]Dates!$B$2:$B$181)</f>
        <v>2024-04-21</v>
      </c>
      <c r="K276">
        <f t="shared" si="12"/>
        <v>2024</v>
      </c>
      <c r="L276">
        <f t="shared" si="13"/>
        <v>4</v>
      </c>
      <c r="M276">
        <f t="shared" si="14"/>
        <v>21</v>
      </c>
      <c r="N276">
        <f>[1]Transactions!J276*[1]Transactions!K276</f>
        <v>223768</v>
      </c>
    </row>
    <row r="277" spans="9:14" x14ac:dyDescent="0.3">
      <c r="I277">
        <v>45</v>
      </c>
      <c r="J277" t="str">
        <f>_xlfn.XLOOKUP(I277,[1]Dates!$A$2:$A$181,[1]Dates!$B$2:$B$181)</f>
        <v>2024-02-15</v>
      </c>
      <c r="K277">
        <f t="shared" si="12"/>
        <v>2024</v>
      </c>
      <c r="L277">
        <f t="shared" si="13"/>
        <v>2</v>
      </c>
      <c r="M277">
        <f t="shared" si="14"/>
        <v>15</v>
      </c>
      <c r="N277">
        <f>[1]Transactions!J277*[1]Transactions!K277</f>
        <v>59365</v>
      </c>
    </row>
    <row r="278" spans="9:14" x14ac:dyDescent="0.3">
      <c r="I278">
        <v>15</v>
      </c>
      <c r="J278" t="str">
        <f>_xlfn.XLOOKUP(I278,[1]Dates!$A$2:$A$181,[1]Dates!$B$2:$B$181)</f>
        <v>2024-01-16</v>
      </c>
      <c r="K278">
        <f t="shared" si="12"/>
        <v>2024</v>
      </c>
      <c r="L278">
        <f t="shared" si="13"/>
        <v>1</v>
      </c>
      <c r="M278">
        <f t="shared" si="14"/>
        <v>16</v>
      </c>
      <c r="N278">
        <f>[1]Transactions!J278*[1]Transactions!K278</f>
        <v>1700</v>
      </c>
    </row>
    <row r="279" spans="9:14" x14ac:dyDescent="0.3">
      <c r="I279">
        <v>167</v>
      </c>
      <c r="J279" t="str">
        <f>_xlfn.XLOOKUP(I279,[1]Dates!$A$2:$A$181,[1]Dates!$B$2:$B$181)</f>
        <v>2024-06-16</v>
      </c>
      <c r="K279">
        <f t="shared" si="12"/>
        <v>2024</v>
      </c>
      <c r="L279">
        <f t="shared" si="13"/>
        <v>6</v>
      </c>
      <c r="M279">
        <f t="shared" si="14"/>
        <v>16</v>
      </c>
      <c r="N279">
        <f>[1]Transactions!J279*[1]Transactions!K279</f>
        <v>13685</v>
      </c>
    </row>
    <row r="280" spans="9:14" x14ac:dyDescent="0.3">
      <c r="I280">
        <v>51</v>
      </c>
      <c r="J280" t="str">
        <f>_xlfn.XLOOKUP(I280,[1]Dates!$A$2:$A$181,[1]Dates!$B$2:$B$181)</f>
        <v>2024-02-21</v>
      </c>
      <c r="K280">
        <f t="shared" si="12"/>
        <v>2024</v>
      </c>
      <c r="L280">
        <f t="shared" si="13"/>
        <v>2</v>
      </c>
      <c r="M280">
        <f t="shared" si="14"/>
        <v>21</v>
      </c>
      <c r="N280">
        <f>[1]Transactions!J280*[1]Transactions!K280</f>
        <v>7130</v>
      </c>
    </row>
    <row r="281" spans="9:14" x14ac:dyDescent="0.3">
      <c r="I281">
        <v>75</v>
      </c>
      <c r="J281" t="str">
        <f>_xlfn.XLOOKUP(I281,[1]Dates!$A$2:$A$181,[1]Dates!$B$2:$B$181)</f>
        <v>2024-03-16</v>
      </c>
      <c r="K281">
        <f t="shared" si="12"/>
        <v>2024</v>
      </c>
      <c r="L281">
        <f t="shared" si="13"/>
        <v>3</v>
      </c>
      <c r="M281">
        <f t="shared" si="14"/>
        <v>16</v>
      </c>
      <c r="N281">
        <f>[1]Transactions!J281*[1]Transactions!K281</f>
        <v>34656</v>
      </c>
    </row>
    <row r="282" spans="9:14" x14ac:dyDescent="0.3">
      <c r="I282">
        <v>96</v>
      </c>
      <c r="J282" t="str">
        <f>_xlfn.XLOOKUP(I282,[1]Dates!$A$2:$A$181,[1]Dates!$B$2:$B$181)</f>
        <v>2024-04-06</v>
      </c>
      <c r="K282">
        <f t="shared" si="12"/>
        <v>2024</v>
      </c>
      <c r="L282">
        <f t="shared" si="13"/>
        <v>4</v>
      </c>
      <c r="M282">
        <f t="shared" si="14"/>
        <v>6</v>
      </c>
      <c r="N282">
        <f>[1]Transactions!J282*[1]Transactions!K282</f>
        <v>5943</v>
      </c>
    </row>
    <row r="283" spans="9:14" x14ac:dyDescent="0.3">
      <c r="I283">
        <v>136</v>
      </c>
      <c r="J283" t="str">
        <f>_xlfn.XLOOKUP(I283,[1]Dates!$A$2:$A$181,[1]Dates!$B$2:$B$181)</f>
        <v>2024-05-16</v>
      </c>
      <c r="K283">
        <f t="shared" si="12"/>
        <v>2024</v>
      </c>
      <c r="L283">
        <f t="shared" si="13"/>
        <v>5</v>
      </c>
      <c r="M283">
        <f t="shared" si="14"/>
        <v>16</v>
      </c>
      <c r="N283">
        <f>[1]Transactions!J283*[1]Transactions!K283</f>
        <v>2070</v>
      </c>
    </row>
    <row r="284" spans="9:14" x14ac:dyDescent="0.3">
      <c r="I284">
        <v>25</v>
      </c>
      <c r="J284" t="str">
        <f>_xlfn.XLOOKUP(I284,[1]Dates!$A$2:$A$181,[1]Dates!$B$2:$B$181)</f>
        <v>2024-01-26</v>
      </c>
      <c r="K284">
        <f t="shared" si="12"/>
        <v>2024</v>
      </c>
      <c r="L284">
        <f t="shared" si="13"/>
        <v>1</v>
      </c>
      <c r="M284">
        <f t="shared" si="14"/>
        <v>26</v>
      </c>
      <c r="N284">
        <f>[1]Transactions!J284*[1]Transactions!K284</f>
        <v>32804</v>
      </c>
    </row>
    <row r="285" spans="9:14" x14ac:dyDescent="0.3">
      <c r="I285">
        <v>74</v>
      </c>
      <c r="J285" t="str">
        <f>_xlfn.XLOOKUP(I285,[1]Dates!$A$2:$A$181,[1]Dates!$B$2:$B$181)</f>
        <v>2024-03-15</v>
      </c>
      <c r="K285">
        <f t="shared" si="12"/>
        <v>2024</v>
      </c>
      <c r="L285">
        <f t="shared" si="13"/>
        <v>3</v>
      </c>
      <c r="M285">
        <f t="shared" si="14"/>
        <v>15</v>
      </c>
      <c r="N285">
        <f>[1]Transactions!J285*[1]Transactions!K285</f>
        <v>153720</v>
      </c>
    </row>
    <row r="286" spans="9:14" x14ac:dyDescent="0.3">
      <c r="I286">
        <v>141</v>
      </c>
      <c r="J286" t="str">
        <f>_xlfn.XLOOKUP(I286,[1]Dates!$A$2:$A$181,[1]Dates!$B$2:$B$181)</f>
        <v>2024-05-21</v>
      </c>
      <c r="K286">
        <f t="shared" si="12"/>
        <v>2024</v>
      </c>
      <c r="L286">
        <f t="shared" si="13"/>
        <v>5</v>
      </c>
      <c r="M286">
        <f t="shared" si="14"/>
        <v>21</v>
      </c>
      <c r="N286">
        <f>[1]Transactions!J286*[1]Transactions!K286</f>
        <v>28980</v>
      </c>
    </row>
    <row r="287" spans="9:14" x14ac:dyDescent="0.3">
      <c r="I287">
        <v>45</v>
      </c>
      <c r="J287" t="str">
        <f>_xlfn.XLOOKUP(I287,[1]Dates!$A$2:$A$181,[1]Dates!$B$2:$B$181)</f>
        <v>2024-02-15</v>
      </c>
      <c r="K287">
        <f t="shared" si="12"/>
        <v>2024</v>
      </c>
      <c r="L287">
        <f t="shared" si="13"/>
        <v>2</v>
      </c>
      <c r="M287">
        <f t="shared" si="14"/>
        <v>15</v>
      </c>
      <c r="N287">
        <f>[1]Transactions!J287*[1]Transactions!K287</f>
        <v>44196</v>
      </c>
    </row>
    <row r="288" spans="9:14" x14ac:dyDescent="0.3">
      <c r="I288">
        <v>68</v>
      </c>
      <c r="J288" t="str">
        <f>_xlfn.XLOOKUP(I288,[1]Dates!$A$2:$A$181,[1]Dates!$B$2:$B$181)</f>
        <v>2024-03-09</v>
      </c>
      <c r="K288">
        <f t="shared" si="12"/>
        <v>2024</v>
      </c>
      <c r="L288">
        <f t="shared" si="13"/>
        <v>3</v>
      </c>
      <c r="M288">
        <f t="shared" si="14"/>
        <v>9</v>
      </c>
      <c r="N288">
        <f>[1]Transactions!J288*[1]Transactions!K288</f>
        <v>24024</v>
      </c>
    </row>
    <row r="289" spans="9:14" x14ac:dyDescent="0.3">
      <c r="I289">
        <v>76</v>
      </c>
      <c r="J289" t="str">
        <f>_xlfn.XLOOKUP(I289,[1]Dates!$A$2:$A$181,[1]Dates!$B$2:$B$181)</f>
        <v>2024-03-17</v>
      </c>
      <c r="K289">
        <f t="shared" si="12"/>
        <v>2024</v>
      </c>
      <c r="L289">
        <f t="shared" si="13"/>
        <v>3</v>
      </c>
      <c r="M289">
        <f t="shared" si="14"/>
        <v>17</v>
      </c>
      <c r="N289">
        <f>[1]Transactions!J289*[1]Transactions!K289</f>
        <v>33768</v>
      </c>
    </row>
    <row r="290" spans="9:14" x14ac:dyDescent="0.3">
      <c r="I290">
        <v>128</v>
      </c>
      <c r="J290" t="str">
        <f>_xlfn.XLOOKUP(I290,[1]Dates!$A$2:$A$181,[1]Dates!$B$2:$B$181)</f>
        <v>2024-05-08</v>
      </c>
      <c r="K290">
        <f t="shared" si="12"/>
        <v>2024</v>
      </c>
      <c r="L290">
        <f t="shared" si="13"/>
        <v>5</v>
      </c>
      <c r="M290">
        <f t="shared" si="14"/>
        <v>8</v>
      </c>
      <c r="N290">
        <f>[1]Transactions!J290*[1]Transactions!K290</f>
        <v>68440</v>
      </c>
    </row>
    <row r="291" spans="9:14" x14ac:dyDescent="0.3">
      <c r="I291">
        <v>128</v>
      </c>
      <c r="J291" t="str">
        <f>_xlfn.XLOOKUP(I291,[1]Dates!$A$2:$A$181,[1]Dates!$B$2:$B$181)</f>
        <v>2024-05-08</v>
      </c>
      <c r="K291">
        <f t="shared" si="12"/>
        <v>2024</v>
      </c>
      <c r="L291">
        <f t="shared" si="13"/>
        <v>5</v>
      </c>
      <c r="M291">
        <f t="shared" si="14"/>
        <v>8</v>
      </c>
      <c r="N291">
        <f>[1]Transactions!J291*[1]Transactions!K291</f>
        <v>626780</v>
      </c>
    </row>
    <row r="292" spans="9:14" x14ac:dyDescent="0.3">
      <c r="I292">
        <v>140</v>
      </c>
      <c r="J292" t="str">
        <f>_xlfn.XLOOKUP(I292,[1]Dates!$A$2:$A$181,[1]Dates!$B$2:$B$181)</f>
        <v>2024-05-20</v>
      </c>
      <c r="K292">
        <f t="shared" si="12"/>
        <v>2024</v>
      </c>
      <c r="L292">
        <f t="shared" si="13"/>
        <v>5</v>
      </c>
      <c r="M292">
        <f t="shared" si="14"/>
        <v>20</v>
      </c>
      <c r="N292">
        <f>[1]Transactions!J292*[1]Transactions!K292</f>
        <v>92560</v>
      </c>
    </row>
    <row r="293" spans="9:14" x14ac:dyDescent="0.3">
      <c r="I293">
        <v>136</v>
      </c>
      <c r="J293" t="str">
        <f>_xlfn.XLOOKUP(I293,[1]Dates!$A$2:$A$181,[1]Dates!$B$2:$B$181)</f>
        <v>2024-05-16</v>
      </c>
      <c r="K293">
        <f t="shared" si="12"/>
        <v>2024</v>
      </c>
      <c r="L293">
        <f t="shared" si="13"/>
        <v>5</v>
      </c>
      <c r="M293">
        <f t="shared" si="14"/>
        <v>16</v>
      </c>
      <c r="N293">
        <f>[1]Transactions!J293*[1]Transactions!K293</f>
        <v>150960</v>
      </c>
    </row>
    <row r="294" spans="9:14" x14ac:dyDescent="0.3">
      <c r="I294">
        <v>57</v>
      </c>
      <c r="J294" t="str">
        <f>_xlfn.XLOOKUP(I294,[1]Dates!$A$2:$A$181,[1]Dates!$B$2:$B$181)</f>
        <v>2024-02-27</v>
      </c>
      <c r="K294">
        <f t="shared" si="12"/>
        <v>2024</v>
      </c>
      <c r="L294">
        <f t="shared" si="13"/>
        <v>2</v>
      </c>
      <c r="M294">
        <f t="shared" si="14"/>
        <v>27</v>
      </c>
      <c r="N294">
        <f>[1]Transactions!J294*[1]Transactions!K294</f>
        <v>282</v>
      </c>
    </row>
    <row r="295" spans="9:14" x14ac:dyDescent="0.3">
      <c r="I295">
        <v>10</v>
      </c>
      <c r="J295" t="str">
        <f>_xlfn.XLOOKUP(I295,[1]Dates!$A$2:$A$181,[1]Dates!$B$2:$B$181)</f>
        <v>2024-01-11</v>
      </c>
      <c r="K295">
        <f t="shared" si="12"/>
        <v>2024</v>
      </c>
      <c r="L295">
        <f t="shared" si="13"/>
        <v>1</v>
      </c>
      <c r="M295">
        <f t="shared" si="14"/>
        <v>11</v>
      </c>
      <c r="N295">
        <f>[1]Transactions!J295*[1]Transactions!K295</f>
        <v>627105</v>
      </c>
    </row>
    <row r="296" spans="9:14" x14ac:dyDescent="0.3">
      <c r="I296">
        <v>79</v>
      </c>
      <c r="J296" t="str">
        <f>_xlfn.XLOOKUP(I296,[1]Dates!$A$2:$A$181,[1]Dates!$B$2:$B$181)</f>
        <v>2024-03-20</v>
      </c>
      <c r="K296">
        <f t="shared" si="12"/>
        <v>2024</v>
      </c>
      <c r="L296">
        <f t="shared" si="13"/>
        <v>3</v>
      </c>
      <c r="M296">
        <f t="shared" si="14"/>
        <v>20</v>
      </c>
      <c r="N296">
        <f>[1]Transactions!J296*[1]Transactions!K296</f>
        <v>2530</v>
      </c>
    </row>
    <row r="297" spans="9:14" x14ac:dyDescent="0.3">
      <c r="I297">
        <v>30</v>
      </c>
      <c r="J297" t="str">
        <f>_xlfn.XLOOKUP(I297,[1]Dates!$A$2:$A$181,[1]Dates!$B$2:$B$181)</f>
        <v>2024-01-31</v>
      </c>
      <c r="K297">
        <f t="shared" si="12"/>
        <v>2024</v>
      </c>
      <c r="L297">
        <f t="shared" si="13"/>
        <v>1</v>
      </c>
      <c r="M297">
        <f t="shared" si="14"/>
        <v>31</v>
      </c>
      <c r="N297">
        <f>[1]Transactions!J297*[1]Transactions!K297</f>
        <v>4620</v>
      </c>
    </row>
    <row r="298" spans="9:14" x14ac:dyDescent="0.3">
      <c r="I298">
        <v>109</v>
      </c>
      <c r="J298" t="str">
        <f>_xlfn.XLOOKUP(I298,[1]Dates!$A$2:$A$181,[1]Dates!$B$2:$B$181)</f>
        <v>2024-04-19</v>
      </c>
      <c r="K298">
        <f t="shared" si="12"/>
        <v>2024</v>
      </c>
      <c r="L298">
        <f t="shared" si="13"/>
        <v>4</v>
      </c>
      <c r="M298">
        <f t="shared" si="14"/>
        <v>19</v>
      </c>
      <c r="N298">
        <f>[1]Transactions!J298*[1]Transactions!K298</f>
        <v>9492</v>
      </c>
    </row>
    <row r="299" spans="9:14" x14ac:dyDescent="0.3">
      <c r="I299">
        <v>159</v>
      </c>
      <c r="J299" t="str">
        <f>_xlfn.XLOOKUP(I299,[1]Dates!$A$2:$A$181,[1]Dates!$B$2:$B$181)</f>
        <v>2024-06-08</v>
      </c>
      <c r="K299">
        <f t="shared" si="12"/>
        <v>2024</v>
      </c>
      <c r="L299">
        <f t="shared" si="13"/>
        <v>6</v>
      </c>
      <c r="M299">
        <f t="shared" si="14"/>
        <v>8</v>
      </c>
      <c r="N299">
        <f>[1]Transactions!J299*[1]Transactions!K299</f>
        <v>9270</v>
      </c>
    </row>
    <row r="300" spans="9:14" x14ac:dyDescent="0.3">
      <c r="I300">
        <v>132</v>
      </c>
      <c r="J300" t="str">
        <f>_xlfn.XLOOKUP(I300,[1]Dates!$A$2:$A$181,[1]Dates!$B$2:$B$181)</f>
        <v>2024-05-12</v>
      </c>
      <c r="K300">
        <f t="shared" si="12"/>
        <v>2024</v>
      </c>
      <c r="L300">
        <f t="shared" si="13"/>
        <v>5</v>
      </c>
      <c r="M300">
        <f t="shared" si="14"/>
        <v>12</v>
      </c>
      <c r="N300">
        <f>[1]Transactions!J300*[1]Transactions!K300</f>
        <v>1200</v>
      </c>
    </row>
    <row r="301" spans="9:14" x14ac:dyDescent="0.3">
      <c r="I301">
        <v>85</v>
      </c>
      <c r="J301" t="str">
        <f>_xlfn.XLOOKUP(I301,[1]Dates!$A$2:$A$181,[1]Dates!$B$2:$B$181)</f>
        <v>2024-03-26</v>
      </c>
      <c r="K301">
        <f t="shared" si="12"/>
        <v>2024</v>
      </c>
      <c r="L301">
        <f t="shared" si="13"/>
        <v>3</v>
      </c>
      <c r="M301">
        <f t="shared" si="14"/>
        <v>26</v>
      </c>
      <c r="N301">
        <f>[1]Transactions!J301*[1]Transactions!K301</f>
        <v>3645</v>
      </c>
    </row>
    <row r="302" spans="9:14" x14ac:dyDescent="0.3">
      <c r="I302">
        <v>81</v>
      </c>
      <c r="J302" t="str">
        <f>_xlfn.XLOOKUP(I302,[1]Dates!$A$2:$A$181,[1]Dates!$B$2:$B$181)</f>
        <v>2024-03-22</v>
      </c>
      <c r="K302">
        <f t="shared" si="12"/>
        <v>2024</v>
      </c>
      <c r="L302">
        <f t="shared" si="13"/>
        <v>3</v>
      </c>
      <c r="M302">
        <f t="shared" si="14"/>
        <v>22</v>
      </c>
      <c r="N302">
        <f>[1]Transactions!J302*[1]Transactions!K302</f>
        <v>4680</v>
      </c>
    </row>
    <row r="303" spans="9:14" x14ac:dyDescent="0.3">
      <c r="I303">
        <v>140</v>
      </c>
      <c r="J303" t="str">
        <f>_xlfn.XLOOKUP(I303,[1]Dates!$A$2:$A$181,[1]Dates!$B$2:$B$181)</f>
        <v>2024-05-20</v>
      </c>
      <c r="K303">
        <f t="shared" si="12"/>
        <v>2024</v>
      </c>
      <c r="L303">
        <f t="shared" si="13"/>
        <v>5</v>
      </c>
      <c r="M303">
        <f t="shared" si="14"/>
        <v>20</v>
      </c>
      <c r="N303">
        <f>[1]Transactions!J303*[1]Transactions!K303</f>
        <v>35424</v>
      </c>
    </row>
    <row r="304" spans="9:14" x14ac:dyDescent="0.3">
      <c r="I304">
        <v>21</v>
      </c>
      <c r="J304" t="str">
        <f>_xlfn.XLOOKUP(I304,[1]Dates!$A$2:$A$181,[1]Dates!$B$2:$B$181)</f>
        <v>2024-01-22</v>
      </c>
      <c r="K304">
        <f t="shared" si="12"/>
        <v>2024</v>
      </c>
      <c r="L304">
        <f t="shared" si="13"/>
        <v>1</v>
      </c>
      <c r="M304">
        <f t="shared" si="14"/>
        <v>22</v>
      </c>
      <c r="N304">
        <f>[1]Transactions!J304*[1]Transactions!K304</f>
        <v>2478</v>
      </c>
    </row>
    <row r="305" spans="9:14" x14ac:dyDescent="0.3">
      <c r="I305">
        <v>14</v>
      </c>
      <c r="J305" t="str">
        <f>_xlfn.XLOOKUP(I305,[1]Dates!$A$2:$A$181,[1]Dates!$B$2:$B$181)</f>
        <v>2024-01-15</v>
      </c>
      <c r="K305">
        <f t="shared" si="12"/>
        <v>2024</v>
      </c>
      <c r="L305">
        <f t="shared" si="13"/>
        <v>1</v>
      </c>
      <c r="M305">
        <f t="shared" si="14"/>
        <v>15</v>
      </c>
      <c r="N305">
        <f>[1]Transactions!J305*[1]Transactions!K305</f>
        <v>12210</v>
      </c>
    </row>
    <row r="306" spans="9:14" x14ac:dyDescent="0.3">
      <c r="I306">
        <v>119</v>
      </c>
      <c r="J306" t="str">
        <f>_xlfn.XLOOKUP(I306,[1]Dates!$A$2:$A$181,[1]Dates!$B$2:$B$181)</f>
        <v>2024-04-29</v>
      </c>
      <c r="K306">
        <f t="shared" si="12"/>
        <v>2024</v>
      </c>
      <c r="L306">
        <f t="shared" si="13"/>
        <v>4</v>
      </c>
      <c r="M306">
        <f t="shared" si="14"/>
        <v>29</v>
      </c>
      <c r="N306">
        <f>[1]Transactions!J306*[1]Transactions!K306</f>
        <v>1400</v>
      </c>
    </row>
    <row r="307" spans="9:14" x14ac:dyDescent="0.3">
      <c r="I307">
        <v>99</v>
      </c>
      <c r="J307" t="str">
        <f>_xlfn.XLOOKUP(I307,[1]Dates!$A$2:$A$181,[1]Dates!$B$2:$B$181)</f>
        <v>2024-04-09</v>
      </c>
      <c r="K307">
        <f t="shared" si="12"/>
        <v>2024</v>
      </c>
      <c r="L307">
        <f t="shared" si="13"/>
        <v>4</v>
      </c>
      <c r="M307">
        <f t="shared" si="14"/>
        <v>9</v>
      </c>
      <c r="N307">
        <f>[1]Transactions!J307*[1]Transactions!K307</f>
        <v>10736</v>
      </c>
    </row>
    <row r="308" spans="9:14" x14ac:dyDescent="0.3">
      <c r="I308">
        <v>55</v>
      </c>
      <c r="J308" t="str">
        <f>_xlfn.XLOOKUP(I308,[1]Dates!$A$2:$A$181,[1]Dates!$B$2:$B$181)</f>
        <v>2024-02-25</v>
      </c>
      <c r="K308">
        <f t="shared" si="12"/>
        <v>2024</v>
      </c>
      <c r="L308">
        <f t="shared" si="13"/>
        <v>2</v>
      </c>
      <c r="M308">
        <f t="shared" si="14"/>
        <v>25</v>
      </c>
      <c r="N308">
        <f>[1]Transactions!J308*[1]Transactions!K308</f>
        <v>7500</v>
      </c>
    </row>
    <row r="309" spans="9:14" x14ac:dyDescent="0.3">
      <c r="I309">
        <v>52</v>
      </c>
      <c r="J309" t="str">
        <f>_xlfn.XLOOKUP(I309,[1]Dates!$A$2:$A$181,[1]Dates!$B$2:$B$181)</f>
        <v>2024-02-22</v>
      </c>
      <c r="K309">
        <f t="shared" si="12"/>
        <v>2024</v>
      </c>
      <c r="L309">
        <f t="shared" si="13"/>
        <v>2</v>
      </c>
      <c r="M309">
        <f t="shared" si="14"/>
        <v>22</v>
      </c>
      <c r="N309">
        <f>[1]Transactions!J309*[1]Transactions!K309</f>
        <v>10440</v>
      </c>
    </row>
    <row r="310" spans="9:14" x14ac:dyDescent="0.3">
      <c r="I310">
        <v>10</v>
      </c>
      <c r="J310" t="str">
        <f>_xlfn.XLOOKUP(I310,[1]Dates!$A$2:$A$181,[1]Dates!$B$2:$B$181)</f>
        <v>2024-01-11</v>
      </c>
      <c r="K310">
        <f t="shared" si="12"/>
        <v>2024</v>
      </c>
      <c r="L310">
        <f t="shared" si="13"/>
        <v>1</v>
      </c>
      <c r="M310">
        <f t="shared" si="14"/>
        <v>11</v>
      </c>
      <c r="N310">
        <f>[1]Transactions!J310*[1]Transactions!K310</f>
        <v>202662</v>
      </c>
    </row>
    <row r="311" spans="9:14" x14ac:dyDescent="0.3">
      <c r="I311">
        <v>158</v>
      </c>
      <c r="J311" t="str">
        <f>_xlfn.XLOOKUP(I311,[1]Dates!$A$2:$A$181,[1]Dates!$B$2:$B$181)</f>
        <v>2024-06-07</v>
      </c>
      <c r="K311">
        <f t="shared" si="12"/>
        <v>2024</v>
      </c>
      <c r="L311">
        <f t="shared" si="13"/>
        <v>6</v>
      </c>
      <c r="M311">
        <f t="shared" si="14"/>
        <v>7</v>
      </c>
      <c r="N311">
        <f>[1]Transactions!J311*[1]Transactions!K311</f>
        <v>43250</v>
      </c>
    </row>
    <row r="312" spans="9:14" x14ac:dyDescent="0.3">
      <c r="I312">
        <v>100</v>
      </c>
      <c r="J312" t="str">
        <f>_xlfn.XLOOKUP(I312,[1]Dates!$A$2:$A$181,[1]Dates!$B$2:$B$181)</f>
        <v>2024-04-10</v>
      </c>
      <c r="K312">
        <f t="shared" si="12"/>
        <v>2024</v>
      </c>
      <c r="L312">
        <f t="shared" si="13"/>
        <v>4</v>
      </c>
      <c r="M312">
        <f t="shared" si="14"/>
        <v>10</v>
      </c>
      <c r="N312">
        <f>[1]Transactions!J312*[1]Transactions!K312</f>
        <v>381984</v>
      </c>
    </row>
    <row r="313" spans="9:14" x14ac:dyDescent="0.3">
      <c r="I313">
        <v>35</v>
      </c>
      <c r="J313" t="str">
        <f>_xlfn.XLOOKUP(I313,[1]Dates!$A$2:$A$181,[1]Dates!$B$2:$B$181)</f>
        <v>2024-02-05</v>
      </c>
      <c r="K313">
        <f t="shared" si="12"/>
        <v>2024</v>
      </c>
      <c r="L313">
        <f t="shared" si="13"/>
        <v>2</v>
      </c>
      <c r="M313">
        <f t="shared" si="14"/>
        <v>5</v>
      </c>
      <c r="N313">
        <f>[1]Transactions!J313*[1]Transactions!K313</f>
        <v>106797</v>
      </c>
    </row>
    <row r="314" spans="9:14" x14ac:dyDescent="0.3">
      <c r="I314">
        <v>16</v>
      </c>
      <c r="J314" t="str">
        <f>_xlfn.XLOOKUP(I314,[1]Dates!$A$2:$A$181,[1]Dates!$B$2:$B$181)</f>
        <v>2024-01-17</v>
      </c>
      <c r="K314">
        <f t="shared" si="12"/>
        <v>2024</v>
      </c>
      <c r="L314">
        <f t="shared" si="13"/>
        <v>1</v>
      </c>
      <c r="M314">
        <f t="shared" si="14"/>
        <v>17</v>
      </c>
      <c r="N314">
        <f>[1]Transactions!J314*[1]Transactions!K314</f>
        <v>56908</v>
      </c>
    </row>
    <row r="315" spans="9:14" x14ac:dyDescent="0.3">
      <c r="I315">
        <v>132</v>
      </c>
      <c r="J315" t="str">
        <f>_xlfn.XLOOKUP(I315,[1]Dates!$A$2:$A$181,[1]Dates!$B$2:$B$181)</f>
        <v>2024-05-12</v>
      </c>
      <c r="K315">
        <f t="shared" si="12"/>
        <v>2024</v>
      </c>
      <c r="L315">
        <f t="shared" si="13"/>
        <v>5</v>
      </c>
      <c r="M315">
        <f t="shared" si="14"/>
        <v>12</v>
      </c>
      <c r="N315">
        <f>[1]Transactions!J315*[1]Transactions!K315</f>
        <v>13244</v>
      </c>
    </row>
    <row r="316" spans="9:14" x14ac:dyDescent="0.3">
      <c r="I316">
        <v>19</v>
      </c>
      <c r="J316" t="str">
        <f>_xlfn.XLOOKUP(I316,[1]Dates!$A$2:$A$181,[1]Dates!$B$2:$B$181)</f>
        <v>2024-01-20</v>
      </c>
      <c r="K316">
        <f t="shared" si="12"/>
        <v>2024</v>
      </c>
      <c r="L316">
        <f t="shared" si="13"/>
        <v>1</v>
      </c>
      <c r="M316">
        <f t="shared" si="14"/>
        <v>20</v>
      </c>
      <c r="N316">
        <f>[1]Transactions!J316*[1]Transactions!K316</f>
        <v>23205</v>
      </c>
    </row>
    <row r="317" spans="9:14" x14ac:dyDescent="0.3">
      <c r="I317">
        <v>94</v>
      </c>
      <c r="J317" t="str">
        <f>_xlfn.XLOOKUP(I317,[1]Dates!$A$2:$A$181,[1]Dates!$B$2:$B$181)</f>
        <v>2024-04-04</v>
      </c>
      <c r="K317">
        <f t="shared" si="12"/>
        <v>2024</v>
      </c>
      <c r="L317">
        <f t="shared" si="13"/>
        <v>4</v>
      </c>
      <c r="M317">
        <f t="shared" si="14"/>
        <v>4</v>
      </c>
      <c r="N317">
        <f>[1]Transactions!J317*[1]Transactions!K317</f>
        <v>35028</v>
      </c>
    </row>
    <row r="318" spans="9:14" x14ac:dyDescent="0.3">
      <c r="I318">
        <v>76</v>
      </c>
      <c r="J318" t="str">
        <f>_xlfn.XLOOKUP(I318,[1]Dates!$A$2:$A$181,[1]Dates!$B$2:$B$181)</f>
        <v>2024-03-17</v>
      </c>
      <c r="K318">
        <f t="shared" si="12"/>
        <v>2024</v>
      </c>
      <c r="L318">
        <f t="shared" si="13"/>
        <v>3</v>
      </c>
      <c r="M318">
        <f t="shared" si="14"/>
        <v>17</v>
      </c>
      <c r="N318">
        <f>[1]Transactions!J318*[1]Transactions!K318</f>
        <v>10416</v>
      </c>
    </row>
    <row r="319" spans="9:14" x14ac:dyDescent="0.3">
      <c r="I319">
        <v>116</v>
      </c>
      <c r="J319" t="str">
        <f>_xlfn.XLOOKUP(I319,[1]Dates!$A$2:$A$181,[1]Dates!$B$2:$B$181)</f>
        <v>2024-04-26</v>
      </c>
      <c r="K319">
        <f t="shared" si="12"/>
        <v>2024</v>
      </c>
      <c r="L319">
        <f t="shared" si="13"/>
        <v>4</v>
      </c>
      <c r="M319">
        <f t="shared" si="14"/>
        <v>26</v>
      </c>
      <c r="N319">
        <f>[1]Transactions!J319*[1]Transactions!K319</f>
        <v>17442</v>
      </c>
    </row>
    <row r="320" spans="9:14" x14ac:dyDescent="0.3">
      <c r="I320">
        <v>126</v>
      </c>
      <c r="J320" t="str">
        <f>_xlfn.XLOOKUP(I320,[1]Dates!$A$2:$A$181,[1]Dates!$B$2:$B$181)</f>
        <v>2024-05-06</v>
      </c>
      <c r="K320">
        <f t="shared" si="12"/>
        <v>2024</v>
      </c>
      <c r="L320">
        <f t="shared" si="13"/>
        <v>5</v>
      </c>
      <c r="M320">
        <f t="shared" si="14"/>
        <v>6</v>
      </c>
      <c r="N320">
        <f>[1]Transactions!J320*[1]Transactions!K320</f>
        <v>142625</v>
      </c>
    </row>
    <row r="321" spans="9:14" x14ac:dyDescent="0.3">
      <c r="I321">
        <v>53</v>
      </c>
      <c r="J321" t="str">
        <f>_xlfn.XLOOKUP(I321,[1]Dates!$A$2:$A$181,[1]Dates!$B$2:$B$181)</f>
        <v>2024-02-23</v>
      </c>
      <c r="K321">
        <f t="shared" si="12"/>
        <v>2024</v>
      </c>
      <c r="L321">
        <f t="shared" si="13"/>
        <v>2</v>
      </c>
      <c r="M321">
        <f t="shared" si="14"/>
        <v>23</v>
      </c>
      <c r="N321">
        <f>[1]Transactions!J321*[1]Transactions!K321</f>
        <v>5152</v>
      </c>
    </row>
    <row r="322" spans="9:14" x14ac:dyDescent="0.3">
      <c r="I322">
        <v>176</v>
      </c>
      <c r="J322" t="str">
        <f>_xlfn.XLOOKUP(I322,[1]Dates!$A$2:$A$181,[1]Dates!$B$2:$B$181)</f>
        <v>2024-06-25</v>
      </c>
      <c r="K322">
        <f t="shared" si="12"/>
        <v>2024</v>
      </c>
      <c r="L322">
        <f t="shared" si="13"/>
        <v>6</v>
      </c>
      <c r="M322">
        <f t="shared" si="14"/>
        <v>25</v>
      </c>
      <c r="N322">
        <f>[1]Transactions!J322*[1]Transactions!K322</f>
        <v>103320</v>
      </c>
    </row>
    <row r="323" spans="9:14" x14ac:dyDescent="0.3">
      <c r="I323">
        <v>70</v>
      </c>
      <c r="J323" t="str">
        <f>_xlfn.XLOOKUP(I323,[1]Dates!$A$2:$A$181,[1]Dates!$B$2:$B$181)</f>
        <v>2024-03-11</v>
      </c>
      <c r="K323">
        <f t="shared" ref="K323:K386" si="15">YEAR(J323)</f>
        <v>2024</v>
      </c>
      <c r="L323">
        <f t="shared" ref="L323:L386" si="16">MONTH(J323)</f>
        <v>3</v>
      </c>
      <c r="M323">
        <f t="shared" ref="M323:M386" si="17">DAY(J323)</f>
        <v>11</v>
      </c>
      <c r="N323">
        <f>[1]Transactions!J323*[1]Transactions!K323</f>
        <v>6480</v>
      </c>
    </row>
    <row r="324" spans="9:14" x14ac:dyDescent="0.3">
      <c r="I324">
        <v>92</v>
      </c>
      <c r="J324" t="str">
        <f>_xlfn.XLOOKUP(I324,[1]Dates!$A$2:$A$181,[1]Dates!$B$2:$B$181)</f>
        <v>2024-04-02</v>
      </c>
      <c r="K324">
        <f t="shared" si="15"/>
        <v>2024</v>
      </c>
      <c r="L324">
        <f t="shared" si="16"/>
        <v>4</v>
      </c>
      <c r="M324">
        <f t="shared" si="17"/>
        <v>2</v>
      </c>
      <c r="N324">
        <f>[1]Transactions!J324*[1]Transactions!K324</f>
        <v>11286</v>
      </c>
    </row>
    <row r="325" spans="9:14" x14ac:dyDescent="0.3">
      <c r="I325">
        <v>22</v>
      </c>
      <c r="J325" t="str">
        <f>_xlfn.XLOOKUP(I325,[1]Dates!$A$2:$A$181,[1]Dates!$B$2:$B$181)</f>
        <v>2024-01-23</v>
      </c>
      <c r="K325">
        <f t="shared" si="15"/>
        <v>2024</v>
      </c>
      <c r="L325">
        <f t="shared" si="16"/>
        <v>1</v>
      </c>
      <c r="M325">
        <f t="shared" si="17"/>
        <v>23</v>
      </c>
      <c r="N325">
        <f>[1]Transactions!J325*[1]Transactions!K325</f>
        <v>56950</v>
      </c>
    </row>
    <row r="326" spans="9:14" x14ac:dyDescent="0.3">
      <c r="I326">
        <v>39</v>
      </c>
      <c r="J326" t="str">
        <f>_xlfn.XLOOKUP(I326,[1]Dates!$A$2:$A$181,[1]Dates!$B$2:$B$181)</f>
        <v>2024-02-09</v>
      </c>
      <c r="K326">
        <f t="shared" si="15"/>
        <v>2024</v>
      </c>
      <c r="L326">
        <f t="shared" si="16"/>
        <v>2</v>
      </c>
      <c r="M326">
        <f t="shared" si="17"/>
        <v>9</v>
      </c>
      <c r="N326">
        <f>[1]Transactions!J326*[1]Transactions!K326</f>
        <v>41952</v>
      </c>
    </row>
    <row r="327" spans="9:14" x14ac:dyDescent="0.3">
      <c r="I327">
        <v>29</v>
      </c>
      <c r="J327" t="str">
        <f>_xlfn.XLOOKUP(I327,[1]Dates!$A$2:$A$181,[1]Dates!$B$2:$B$181)</f>
        <v>2024-01-30</v>
      </c>
      <c r="K327">
        <f t="shared" si="15"/>
        <v>2024</v>
      </c>
      <c r="L327">
        <f t="shared" si="16"/>
        <v>1</v>
      </c>
      <c r="M327">
        <f t="shared" si="17"/>
        <v>30</v>
      </c>
      <c r="N327">
        <f>[1]Transactions!J327*[1]Transactions!K327</f>
        <v>26416</v>
      </c>
    </row>
    <row r="328" spans="9:14" x14ac:dyDescent="0.3">
      <c r="I328">
        <v>154</v>
      </c>
      <c r="J328" t="str">
        <f>_xlfn.XLOOKUP(I328,[1]Dates!$A$2:$A$181,[1]Dates!$B$2:$B$181)</f>
        <v>2024-06-03</v>
      </c>
      <c r="K328">
        <f t="shared" si="15"/>
        <v>2024</v>
      </c>
      <c r="L328">
        <f t="shared" si="16"/>
        <v>6</v>
      </c>
      <c r="M328">
        <f t="shared" si="17"/>
        <v>3</v>
      </c>
      <c r="N328">
        <f>[1]Transactions!J328*[1]Transactions!K328</f>
        <v>58653</v>
      </c>
    </row>
    <row r="329" spans="9:14" x14ac:dyDescent="0.3">
      <c r="I329">
        <v>90</v>
      </c>
      <c r="J329" t="str">
        <f>_xlfn.XLOOKUP(I329,[1]Dates!$A$2:$A$181,[1]Dates!$B$2:$B$181)</f>
        <v>2024-03-31</v>
      </c>
      <c r="K329">
        <f t="shared" si="15"/>
        <v>2024</v>
      </c>
      <c r="L329">
        <f t="shared" si="16"/>
        <v>3</v>
      </c>
      <c r="M329">
        <f t="shared" si="17"/>
        <v>31</v>
      </c>
      <c r="N329">
        <f>[1]Transactions!J329*[1]Transactions!K329</f>
        <v>3977</v>
      </c>
    </row>
    <row r="330" spans="9:14" x14ac:dyDescent="0.3">
      <c r="I330">
        <v>10</v>
      </c>
      <c r="J330" t="str">
        <f>_xlfn.XLOOKUP(I330,[1]Dates!$A$2:$A$181,[1]Dates!$B$2:$B$181)</f>
        <v>2024-01-11</v>
      </c>
      <c r="K330">
        <f t="shared" si="15"/>
        <v>2024</v>
      </c>
      <c r="L330">
        <f t="shared" si="16"/>
        <v>1</v>
      </c>
      <c r="M330">
        <f t="shared" si="17"/>
        <v>11</v>
      </c>
      <c r="N330">
        <f>[1]Transactions!J330*[1]Transactions!K330</f>
        <v>19584</v>
      </c>
    </row>
    <row r="331" spans="9:14" x14ac:dyDescent="0.3">
      <c r="I331">
        <v>44</v>
      </c>
      <c r="J331" t="str">
        <f>_xlfn.XLOOKUP(I331,[1]Dates!$A$2:$A$181,[1]Dates!$B$2:$B$181)</f>
        <v>2024-02-14</v>
      </c>
      <c r="K331">
        <f t="shared" si="15"/>
        <v>2024</v>
      </c>
      <c r="L331">
        <f t="shared" si="16"/>
        <v>2</v>
      </c>
      <c r="M331">
        <f t="shared" si="17"/>
        <v>14</v>
      </c>
      <c r="N331">
        <f>[1]Transactions!J331*[1]Transactions!K331</f>
        <v>75616</v>
      </c>
    </row>
    <row r="332" spans="9:14" x14ac:dyDescent="0.3">
      <c r="I332">
        <v>147</v>
      </c>
      <c r="J332" t="str">
        <f>_xlfn.XLOOKUP(I332,[1]Dates!$A$2:$A$181,[1]Dates!$B$2:$B$181)</f>
        <v>2024-05-27</v>
      </c>
      <c r="K332">
        <f t="shared" si="15"/>
        <v>2024</v>
      </c>
      <c r="L332">
        <f t="shared" si="16"/>
        <v>5</v>
      </c>
      <c r="M332">
        <f t="shared" si="17"/>
        <v>27</v>
      </c>
      <c r="N332">
        <f>[1]Transactions!J332*[1]Transactions!K332</f>
        <v>33756</v>
      </c>
    </row>
    <row r="333" spans="9:14" x14ac:dyDescent="0.3">
      <c r="I333">
        <v>175</v>
      </c>
      <c r="J333" t="str">
        <f>_xlfn.XLOOKUP(I333,[1]Dates!$A$2:$A$181,[1]Dates!$B$2:$B$181)</f>
        <v>2024-06-24</v>
      </c>
      <c r="K333">
        <f t="shared" si="15"/>
        <v>2024</v>
      </c>
      <c r="L333">
        <f t="shared" si="16"/>
        <v>6</v>
      </c>
      <c r="M333">
        <f t="shared" si="17"/>
        <v>24</v>
      </c>
      <c r="N333">
        <f>[1]Transactions!J333*[1]Transactions!K333</f>
        <v>84</v>
      </c>
    </row>
    <row r="334" spans="9:14" x14ac:dyDescent="0.3">
      <c r="I334">
        <v>130</v>
      </c>
      <c r="J334" t="str">
        <f>_xlfn.XLOOKUP(I334,[1]Dates!$A$2:$A$181,[1]Dates!$B$2:$B$181)</f>
        <v>2024-05-10</v>
      </c>
      <c r="K334">
        <f t="shared" si="15"/>
        <v>2024</v>
      </c>
      <c r="L334">
        <f t="shared" si="16"/>
        <v>5</v>
      </c>
      <c r="M334">
        <f t="shared" si="17"/>
        <v>10</v>
      </c>
      <c r="N334">
        <f>[1]Transactions!J334*[1]Transactions!K334</f>
        <v>300120</v>
      </c>
    </row>
    <row r="335" spans="9:14" x14ac:dyDescent="0.3">
      <c r="I335">
        <v>103</v>
      </c>
      <c r="J335" t="str">
        <f>_xlfn.XLOOKUP(I335,[1]Dates!$A$2:$A$181,[1]Dates!$B$2:$B$181)</f>
        <v>2024-04-13</v>
      </c>
      <c r="K335">
        <f t="shared" si="15"/>
        <v>2024</v>
      </c>
      <c r="L335">
        <f t="shared" si="16"/>
        <v>4</v>
      </c>
      <c r="M335">
        <f t="shared" si="17"/>
        <v>13</v>
      </c>
      <c r="N335">
        <f>[1]Transactions!J335*[1]Transactions!K335</f>
        <v>29748</v>
      </c>
    </row>
    <row r="336" spans="9:14" x14ac:dyDescent="0.3">
      <c r="I336">
        <v>145</v>
      </c>
      <c r="J336" t="str">
        <f>_xlfn.XLOOKUP(I336,[1]Dates!$A$2:$A$181,[1]Dates!$B$2:$B$181)</f>
        <v>2024-05-25</v>
      </c>
      <c r="K336">
        <f t="shared" si="15"/>
        <v>2024</v>
      </c>
      <c r="L336">
        <f t="shared" si="16"/>
        <v>5</v>
      </c>
      <c r="M336">
        <f t="shared" si="17"/>
        <v>25</v>
      </c>
      <c r="N336">
        <f>[1]Transactions!J336*[1]Transactions!K336</f>
        <v>2484</v>
      </c>
    </row>
    <row r="337" spans="9:14" x14ac:dyDescent="0.3">
      <c r="I337">
        <v>146</v>
      </c>
      <c r="J337" t="str">
        <f>_xlfn.XLOOKUP(I337,[1]Dates!$A$2:$A$181,[1]Dates!$B$2:$B$181)</f>
        <v>2024-05-26</v>
      </c>
      <c r="K337">
        <f t="shared" si="15"/>
        <v>2024</v>
      </c>
      <c r="L337">
        <f t="shared" si="16"/>
        <v>5</v>
      </c>
      <c r="M337">
        <f t="shared" si="17"/>
        <v>26</v>
      </c>
      <c r="N337">
        <f>[1]Transactions!J337*[1]Transactions!K337</f>
        <v>28305</v>
      </c>
    </row>
    <row r="338" spans="9:14" x14ac:dyDescent="0.3">
      <c r="I338">
        <v>136</v>
      </c>
      <c r="J338" t="str">
        <f>_xlfn.XLOOKUP(I338,[1]Dates!$A$2:$A$181,[1]Dates!$B$2:$B$181)</f>
        <v>2024-05-16</v>
      </c>
      <c r="K338">
        <f t="shared" si="15"/>
        <v>2024</v>
      </c>
      <c r="L338">
        <f t="shared" si="16"/>
        <v>5</v>
      </c>
      <c r="M338">
        <f t="shared" si="17"/>
        <v>16</v>
      </c>
      <c r="N338">
        <f>[1]Transactions!J338*[1]Transactions!K338</f>
        <v>31064</v>
      </c>
    </row>
    <row r="339" spans="9:14" x14ac:dyDescent="0.3">
      <c r="I339">
        <v>97</v>
      </c>
      <c r="J339" t="str">
        <f>_xlfn.XLOOKUP(I339,[1]Dates!$A$2:$A$181,[1]Dates!$B$2:$B$181)</f>
        <v>2024-04-07</v>
      </c>
      <c r="K339">
        <f t="shared" si="15"/>
        <v>2024</v>
      </c>
      <c r="L339">
        <f t="shared" si="16"/>
        <v>4</v>
      </c>
      <c r="M339">
        <f t="shared" si="17"/>
        <v>7</v>
      </c>
      <c r="N339">
        <f>[1]Transactions!J339*[1]Transactions!K339</f>
        <v>243540</v>
      </c>
    </row>
    <row r="340" spans="9:14" x14ac:dyDescent="0.3">
      <c r="I340">
        <v>58</v>
      </c>
      <c r="J340" t="str">
        <f>_xlfn.XLOOKUP(I340,[1]Dates!$A$2:$A$181,[1]Dates!$B$2:$B$181)</f>
        <v>2024-02-28</v>
      </c>
      <c r="K340">
        <f t="shared" si="15"/>
        <v>2024</v>
      </c>
      <c r="L340">
        <f t="shared" si="16"/>
        <v>2</v>
      </c>
      <c r="M340">
        <f t="shared" si="17"/>
        <v>28</v>
      </c>
      <c r="N340">
        <f>[1]Transactions!J340*[1]Transactions!K340</f>
        <v>128440</v>
      </c>
    </row>
    <row r="341" spans="9:14" x14ac:dyDescent="0.3">
      <c r="I341">
        <v>29</v>
      </c>
      <c r="J341" t="str">
        <f>_xlfn.XLOOKUP(I341,[1]Dates!$A$2:$A$181,[1]Dates!$B$2:$B$181)</f>
        <v>2024-01-30</v>
      </c>
      <c r="K341">
        <f t="shared" si="15"/>
        <v>2024</v>
      </c>
      <c r="L341">
        <f t="shared" si="16"/>
        <v>1</v>
      </c>
      <c r="M341">
        <f t="shared" si="17"/>
        <v>30</v>
      </c>
      <c r="N341">
        <f>[1]Transactions!J341*[1]Transactions!K341</f>
        <v>104440</v>
      </c>
    </row>
    <row r="342" spans="9:14" x14ac:dyDescent="0.3">
      <c r="I342">
        <v>117</v>
      </c>
      <c r="J342" t="str">
        <f>_xlfn.XLOOKUP(I342,[1]Dates!$A$2:$A$181,[1]Dates!$B$2:$B$181)</f>
        <v>2024-04-27</v>
      </c>
      <c r="K342">
        <f t="shared" si="15"/>
        <v>2024</v>
      </c>
      <c r="L342">
        <f t="shared" si="16"/>
        <v>4</v>
      </c>
      <c r="M342">
        <f t="shared" si="17"/>
        <v>27</v>
      </c>
      <c r="N342">
        <f>[1]Transactions!J342*[1]Transactions!K342</f>
        <v>38608</v>
      </c>
    </row>
    <row r="343" spans="9:14" x14ac:dyDescent="0.3">
      <c r="I343">
        <v>41</v>
      </c>
      <c r="J343" t="str">
        <f>_xlfn.XLOOKUP(I343,[1]Dates!$A$2:$A$181,[1]Dates!$B$2:$B$181)</f>
        <v>2024-02-11</v>
      </c>
      <c r="K343">
        <f t="shared" si="15"/>
        <v>2024</v>
      </c>
      <c r="L343">
        <f t="shared" si="16"/>
        <v>2</v>
      </c>
      <c r="M343">
        <f t="shared" si="17"/>
        <v>11</v>
      </c>
      <c r="N343">
        <f>[1]Transactions!J343*[1]Transactions!K343</f>
        <v>19008</v>
      </c>
    </row>
    <row r="344" spans="9:14" x14ac:dyDescent="0.3">
      <c r="I344">
        <v>113</v>
      </c>
      <c r="J344" t="str">
        <f>_xlfn.XLOOKUP(I344,[1]Dates!$A$2:$A$181,[1]Dates!$B$2:$B$181)</f>
        <v>2024-04-23</v>
      </c>
      <c r="K344">
        <f t="shared" si="15"/>
        <v>2024</v>
      </c>
      <c r="L344">
        <f t="shared" si="16"/>
        <v>4</v>
      </c>
      <c r="M344">
        <f t="shared" si="17"/>
        <v>23</v>
      </c>
      <c r="N344">
        <f>[1]Transactions!J344*[1]Transactions!K344</f>
        <v>83160</v>
      </c>
    </row>
    <row r="345" spans="9:14" x14ac:dyDescent="0.3">
      <c r="I345">
        <v>163</v>
      </c>
      <c r="J345" t="str">
        <f>_xlfn.XLOOKUP(I345,[1]Dates!$A$2:$A$181,[1]Dates!$B$2:$B$181)</f>
        <v>2024-06-12</v>
      </c>
      <c r="K345">
        <f t="shared" si="15"/>
        <v>2024</v>
      </c>
      <c r="L345">
        <f t="shared" si="16"/>
        <v>6</v>
      </c>
      <c r="M345">
        <f t="shared" si="17"/>
        <v>12</v>
      </c>
      <c r="N345">
        <f>[1]Transactions!J345*[1]Transactions!K345</f>
        <v>398125</v>
      </c>
    </row>
    <row r="346" spans="9:14" x14ac:dyDescent="0.3">
      <c r="I346">
        <v>66</v>
      </c>
      <c r="J346" t="str">
        <f>_xlfn.XLOOKUP(I346,[1]Dates!$A$2:$A$181,[1]Dates!$B$2:$B$181)</f>
        <v>2024-03-07</v>
      </c>
      <c r="K346">
        <f t="shared" si="15"/>
        <v>2024</v>
      </c>
      <c r="L346">
        <f t="shared" si="16"/>
        <v>3</v>
      </c>
      <c r="M346">
        <f t="shared" si="17"/>
        <v>7</v>
      </c>
      <c r="N346">
        <f>[1]Transactions!J346*[1]Transactions!K346</f>
        <v>20790</v>
      </c>
    </row>
    <row r="347" spans="9:14" x14ac:dyDescent="0.3">
      <c r="I347">
        <v>96</v>
      </c>
      <c r="J347" t="str">
        <f>_xlfn.XLOOKUP(I347,[1]Dates!$A$2:$A$181,[1]Dates!$B$2:$B$181)</f>
        <v>2024-04-06</v>
      </c>
      <c r="K347">
        <f t="shared" si="15"/>
        <v>2024</v>
      </c>
      <c r="L347">
        <f t="shared" si="16"/>
        <v>4</v>
      </c>
      <c r="M347">
        <f t="shared" si="17"/>
        <v>6</v>
      </c>
      <c r="N347">
        <f>[1]Transactions!J347*[1]Transactions!K347</f>
        <v>111520</v>
      </c>
    </row>
    <row r="348" spans="9:14" x14ac:dyDescent="0.3">
      <c r="I348">
        <v>123</v>
      </c>
      <c r="J348" t="str">
        <f>_xlfn.XLOOKUP(I348,[1]Dates!$A$2:$A$181,[1]Dates!$B$2:$B$181)</f>
        <v>2024-05-03</v>
      </c>
      <c r="K348">
        <f t="shared" si="15"/>
        <v>2024</v>
      </c>
      <c r="L348">
        <f t="shared" si="16"/>
        <v>5</v>
      </c>
      <c r="M348">
        <f t="shared" si="17"/>
        <v>3</v>
      </c>
      <c r="N348">
        <f>[1]Transactions!J348*[1]Transactions!K348</f>
        <v>30870</v>
      </c>
    </row>
    <row r="349" spans="9:14" x14ac:dyDescent="0.3">
      <c r="I349">
        <v>83</v>
      </c>
      <c r="J349" t="str">
        <f>_xlfn.XLOOKUP(I349,[1]Dates!$A$2:$A$181,[1]Dates!$B$2:$B$181)</f>
        <v>2024-03-24</v>
      </c>
      <c r="K349">
        <f t="shared" si="15"/>
        <v>2024</v>
      </c>
      <c r="L349">
        <f t="shared" si="16"/>
        <v>3</v>
      </c>
      <c r="M349">
        <f t="shared" si="17"/>
        <v>24</v>
      </c>
      <c r="N349">
        <f>[1]Transactions!J349*[1]Transactions!K349</f>
        <v>102595</v>
      </c>
    </row>
    <row r="350" spans="9:14" x14ac:dyDescent="0.3">
      <c r="I350">
        <v>173</v>
      </c>
      <c r="J350" t="str">
        <f>_xlfn.XLOOKUP(I350,[1]Dates!$A$2:$A$181,[1]Dates!$B$2:$B$181)</f>
        <v>2024-06-22</v>
      </c>
      <c r="K350">
        <f t="shared" si="15"/>
        <v>2024</v>
      </c>
      <c r="L350">
        <f t="shared" si="16"/>
        <v>6</v>
      </c>
      <c r="M350">
        <f t="shared" si="17"/>
        <v>22</v>
      </c>
      <c r="N350">
        <f>[1]Transactions!J350*[1]Transactions!K350</f>
        <v>42636</v>
      </c>
    </row>
    <row r="351" spans="9:14" x14ac:dyDescent="0.3">
      <c r="I351">
        <v>57</v>
      </c>
      <c r="J351" t="str">
        <f>_xlfn.XLOOKUP(I351,[1]Dates!$A$2:$A$181,[1]Dates!$B$2:$B$181)</f>
        <v>2024-02-27</v>
      </c>
      <c r="K351">
        <f t="shared" si="15"/>
        <v>2024</v>
      </c>
      <c r="L351">
        <f t="shared" si="16"/>
        <v>2</v>
      </c>
      <c r="M351">
        <f t="shared" si="17"/>
        <v>27</v>
      </c>
      <c r="N351">
        <f>[1]Transactions!J351*[1]Transactions!K351</f>
        <v>2924</v>
      </c>
    </row>
    <row r="352" spans="9:14" x14ac:dyDescent="0.3">
      <c r="I352">
        <v>45</v>
      </c>
      <c r="J352" t="str">
        <f>_xlfn.XLOOKUP(I352,[1]Dates!$A$2:$A$181,[1]Dates!$B$2:$B$181)</f>
        <v>2024-02-15</v>
      </c>
      <c r="K352">
        <f t="shared" si="15"/>
        <v>2024</v>
      </c>
      <c r="L352">
        <f t="shared" si="16"/>
        <v>2</v>
      </c>
      <c r="M352">
        <f t="shared" si="17"/>
        <v>15</v>
      </c>
      <c r="N352">
        <f>[1]Transactions!J352*[1]Transactions!K352</f>
        <v>20252</v>
      </c>
    </row>
    <row r="353" spans="9:14" x14ac:dyDescent="0.3">
      <c r="I353">
        <v>113</v>
      </c>
      <c r="J353" t="str">
        <f>_xlfn.XLOOKUP(I353,[1]Dates!$A$2:$A$181,[1]Dates!$B$2:$B$181)</f>
        <v>2024-04-23</v>
      </c>
      <c r="K353">
        <f t="shared" si="15"/>
        <v>2024</v>
      </c>
      <c r="L353">
        <f t="shared" si="16"/>
        <v>4</v>
      </c>
      <c r="M353">
        <f t="shared" si="17"/>
        <v>23</v>
      </c>
      <c r="N353">
        <f>[1]Transactions!J353*[1]Transactions!K353</f>
        <v>468</v>
      </c>
    </row>
    <row r="354" spans="9:14" x14ac:dyDescent="0.3">
      <c r="I354">
        <v>138</v>
      </c>
      <c r="J354" t="str">
        <f>_xlfn.XLOOKUP(I354,[1]Dates!$A$2:$A$181,[1]Dates!$B$2:$B$181)</f>
        <v>2024-05-18</v>
      </c>
      <c r="K354">
        <f t="shared" si="15"/>
        <v>2024</v>
      </c>
      <c r="L354">
        <f t="shared" si="16"/>
        <v>5</v>
      </c>
      <c r="M354">
        <f t="shared" si="17"/>
        <v>18</v>
      </c>
      <c r="N354">
        <f>[1]Transactions!J354*[1]Transactions!K354</f>
        <v>335650</v>
      </c>
    </row>
    <row r="355" spans="9:14" x14ac:dyDescent="0.3">
      <c r="I355">
        <v>18</v>
      </c>
      <c r="J355" t="str">
        <f>_xlfn.XLOOKUP(I355,[1]Dates!$A$2:$A$181,[1]Dates!$B$2:$B$181)</f>
        <v>2024-01-19</v>
      </c>
      <c r="K355">
        <f t="shared" si="15"/>
        <v>2024</v>
      </c>
      <c r="L355">
        <f t="shared" si="16"/>
        <v>1</v>
      </c>
      <c r="M355">
        <f t="shared" si="17"/>
        <v>19</v>
      </c>
      <c r="N355">
        <f>[1]Transactions!J355*[1]Transactions!K355</f>
        <v>21900</v>
      </c>
    </row>
    <row r="356" spans="9:14" x14ac:dyDescent="0.3">
      <c r="I356">
        <v>168</v>
      </c>
      <c r="J356" t="str">
        <f>_xlfn.XLOOKUP(I356,[1]Dates!$A$2:$A$181,[1]Dates!$B$2:$B$181)</f>
        <v>2024-06-17</v>
      </c>
      <c r="K356">
        <f t="shared" si="15"/>
        <v>2024</v>
      </c>
      <c r="L356">
        <f t="shared" si="16"/>
        <v>6</v>
      </c>
      <c r="M356">
        <f t="shared" si="17"/>
        <v>17</v>
      </c>
      <c r="N356">
        <f>[1]Transactions!J356*[1]Transactions!K356</f>
        <v>20034</v>
      </c>
    </row>
    <row r="357" spans="9:14" x14ac:dyDescent="0.3">
      <c r="I357">
        <v>39</v>
      </c>
      <c r="J357" t="str">
        <f>_xlfn.XLOOKUP(I357,[1]Dates!$A$2:$A$181,[1]Dates!$B$2:$B$181)</f>
        <v>2024-02-09</v>
      </c>
      <c r="K357">
        <f t="shared" si="15"/>
        <v>2024</v>
      </c>
      <c r="L357">
        <f t="shared" si="16"/>
        <v>2</v>
      </c>
      <c r="M357">
        <f t="shared" si="17"/>
        <v>9</v>
      </c>
      <c r="N357">
        <f>[1]Transactions!J357*[1]Transactions!K357</f>
        <v>104960</v>
      </c>
    </row>
    <row r="358" spans="9:14" x14ac:dyDescent="0.3">
      <c r="I358">
        <v>8</v>
      </c>
      <c r="J358" t="str">
        <f>_xlfn.XLOOKUP(I358,[1]Dates!$A$2:$A$181,[1]Dates!$B$2:$B$181)</f>
        <v>2024-01-09</v>
      </c>
      <c r="K358">
        <f t="shared" si="15"/>
        <v>2024</v>
      </c>
      <c r="L358">
        <f t="shared" si="16"/>
        <v>1</v>
      </c>
      <c r="M358">
        <f t="shared" si="17"/>
        <v>9</v>
      </c>
      <c r="N358">
        <f>[1]Transactions!J358*[1]Transactions!K358</f>
        <v>11651</v>
      </c>
    </row>
    <row r="359" spans="9:14" x14ac:dyDescent="0.3">
      <c r="I359">
        <v>41</v>
      </c>
      <c r="J359" t="str">
        <f>_xlfn.XLOOKUP(I359,[1]Dates!$A$2:$A$181,[1]Dates!$B$2:$B$181)</f>
        <v>2024-02-11</v>
      </c>
      <c r="K359">
        <f t="shared" si="15"/>
        <v>2024</v>
      </c>
      <c r="L359">
        <f t="shared" si="16"/>
        <v>2</v>
      </c>
      <c r="M359">
        <f t="shared" si="17"/>
        <v>11</v>
      </c>
      <c r="N359">
        <f>[1]Transactions!J359*[1]Transactions!K359</f>
        <v>21360</v>
      </c>
    </row>
    <row r="360" spans="9:14" x14ac:dyDescent="0.3">
      <c r="I360">
        <v>79</v>
      </c>
      <c r="J360" t="str">
        <f>_xlfn.XLOOKUP(I360,[1]Dates!$A$2:$A$181,[1]Dates!$B$2:$B$181)</f>
        <v>2024-03-20</v>
      </c>
      <c r="K360">
        <f t="shared" si="15"/>
        <v>2024</v>
      </c>
      <c r="L360">
        <f t="shared" si="16"/>
        <v>3</v>
      </c>
      <c r="M360">
        <f t="shared" si="17"/>
        <v>20</v>
      </c>
      <c r="N360">
        <f>[1]Transactions!J360*[1]Transactions!K360</f>
        <v>168752</v>
      </c>
    </row>
    <row r="361" spans="9:14" x14ac:dyDescent="0.3">
      <c r="I361">
        <v>7</v>
      </c>
      <c r="J361" t="str">
        <f>_xlfn.XLOOKUP(I361,[1]Dates!$A$2:$A$181,[1]Dates!$B$2:$B$181)</f>
        <v>2024-01-08</v>
      </c>
      <c r="K361">
        <f t="shared" si="15"/>
        <v>2024</v>
      </c>
      <c r="L361">
        <f t="shared" si="16"/>
        <v>1</v>
      </c>
      <c r="M361">
        <f t="shared" si="17"/>
        <v>8</v>
      </c>
      <c r="N361">
        <f>[1]Transactions!J361*[1]Transactions!K361</f>
        <v>369</v>
      </c>
    </row>
    <row r="362" spans="9:14" x14ac:dyDescent="0.3">
      <c r="I362">
        <v>75</v>
      </c>
      <c r="J362" t="str">
        <f>_xlfn.XLOOKUP(I362,[1]Dates!$A$2:$A$181,[1]Dates!$B$2:$B$181)</f>
        <v>2024-03-16</v>
      </c>
      <c r="K362">
        <f t="shared" si="15"/>
        <v>2024</v>
      </c>
      <c r="L362">
        <f t="shared" si="16"/>
        <v>3</v>
      </c>
      <c r="M362">
        <f t="shared" si="17"/>
        <v>16</v>
      </c>
      <c r="N362">
        <f>[1]Transactions!J362*[1]Transactions!K362</f>
        <v>55560</v>
      </c>
    </row>
    <row r="363" spans="9:14" x14ac:dyDescent="0.3">
      <c r="I363">
        <v>149</v>
      </c>
      <c r="J363" t="str">
        <f>_xlfn.XLOOKUP(I363,[1]Dates!$A$2:$A$181,[1]Dates!$B$2:$B$181)</f>
        <v>2024-05-29</v>
      </c>
      <c r="K363">
        <f t="shared" si="15"/>
        <v>2024</v>
      </c>
      <c r="L363">
        <f t="shared" si="16"/>
        <v>5</v>
      </c>
      <c r="M363">
        <f t="shared" si="17"/>
        <v>29</v>
      </c>
      <c r="N363">
        <f>[1]Transactions!J363*[1]Transactions!K363</f>
        <v>28032</v>
      </c>
    </row>
    <row r="364" spans="9:14" x14ac:dyDescent="0.3">
      <c r="I364">
        <v>159</v>
      </c>
      <c r="J364" t="str">
        <f>_xlfn.XLOOKUP(I364,[1]Dates!$A$2:$A$181,[1]Dates!$B$2:$B$181)</f>
        <v>2024-06-08</v>
      </c>
      <c r="K364">
        <f t="shared" si="15"/>
        <v>2024</v>
      </c>
      <c r="L364">
        <f t="shared" si="16"/>
        <v>6</v>
      </c>
      <c r="M364">
        <f t="shared" si="17"/>
        <v>8</v>
      </c>
      <c r="N364">
        <f>[1]Transactions!J364*[1]Transactions!K364</f>
        <v>40020</v>
      </c>
    </row>
    <row r="365" spans="9:14" x14ac:dyDescent="0.3">
      <c r="I365">
        <v>25</v>
      </c>
      <c r="J365" t="str">
        <f>_xlfn.XLOOKUP(I365,[1]Dates!$A$2:$A$181,[1]Dates!$B$2:$B$181)</f>
        <v>2024-01-26</v>
      </c>
      <c r="K365">
        <f t="shared" si="15"/>
        <v>2024</v>
      </c>
      <c r="L365">
        <f t="shared" si="16"/>
        <v>1</v>
      </c>
      <c r="M365">
        <f t="shared" si="17"/>
        <v>26</v>
      </c>
      <c r="N365">
        <f>[1]Transactions!J365*[1]Transactions!K365</f>
        <v>62280</v>
      </c>
    </row>
    <row r="366" spans="9:14" x14ac:dyDescent="0.3">
      <c r="I366">
        <v>29</v>
      </c>
      <c r="J366" t="str">
        <f>_xlfn.XLOOKUP(I366,[1]Dates!$A$2:$A$181,[1]Dates!$B$2:$B$181)</f>
        <v>2024-01-30</v>
      </c>
      <c r="K366">
        <f t="shared" si="15"/>
        <v>2024</v>
      </c>
      <c r="L366">
        <f t="shared" si="16"/>
        <v>1</v>
      </c>
      <c r="M366">
        <f t="shared" si="17"/>
        <v>30</v>
      </c>
      <c r="N366">
        <f>[1]Transactions!J366*[1]Transactions!K366</f>
        <v>30044</v>
      </c>
    </row>
    <row r="367" spans="9:14" x14ac:dyDescent="0.3">
      <c r="I367">
        <v>3</v>
      </c>
      <c r="J367" t="str">
        <f>_xlfn.XLOOKUP(I367,[1]Dates!$A$2:$A$181,[1]Dates!$B$2:$B$181)</f>
        <v>2024-01-04</v>
      </c>
      <c r="K367">
        <f t="shared" si="15"/>
        <v>2024</v>
      </c>
      <c r="L367">
        <f t="shared" si="16"/>
        <v>1</v>
      </c>
      <c r="M367">
        <f t="shared" si="17"/>
        <v>4</v>
      </c>
      <c r="N367">
        <f>[1]Transactions!J367*[1]Transactions!K367</f>
        <v>71280</v>
      </c>
    </row>
    <row r="368" spans="9:14" x14ac:dyDescent="0.3">
      <c r="I368">
        <v>81</v>
      </c>
      <c r="J368" t="str">
        <f>_xlfn.XLOOKUP(I368,[1]Dates!$A$2:$A$181,[1]Dates!$B$2:$B$181)</f>
        <v>2024-03-22</v>
      </c>
      <c r="K368">
        <f t="shared" si="15"/>
        <v>2024</v>
      </c>
      <c r="L368">
        <f t="shared" si="16"/>
        <v>3</v>
      </c>
      <c r="M368">
        <f t="shared" si="17"/>
        <v>22</v>
      </c>
      <c r="N368">
        <f>[1]Transactions!J368*[1]Transactions!K368</f>
        <v>448840</v>
      </c>
    </row>
    <row r="369" spans="9:14" x14ac:dyDescent="0.3">
      <c r="I369">
        <v>128</v>
      </c>
      <c r="J369" t="str">
        <f>_xlfn.XLOOKUP(I369,[1]Dates!$A$2:$A$181,[1]Dates!$B$2:$B$181)</f>
        <v>2024-05-08</v>
      </c>
      <c r="K369">
        <f t="shared" si="15"/>
        <v>2024</v>
      </c>
      <c r="L369">
        <f t="shared" si="16"/>
        <v>5</v>
      </c>
      <c r="M369">
        <f t="shared" si="17"/>
        <v>8</v>
      </c>
      <c r="N369">
        <f>[1]Transactions!J369*[1]Transactions!K369</f>
        <v>223288</v>
      </c>
    </row>
    <row r="370" spans="9:14" x14ac:dyDescent="0.3">
      <c r="I370">
        <v>54</v>
      </c>
      <c r="J370" t="str">
        <f>_xlfn.XLOOKUP(I370,[1]Dates!$A$2:$A$181,[1]Dates!$B$2:$B$181)</f>
        <v>2024-02-24</v>
      </c>
      <c r="K370">
        <f t="shared" si="15"/>
        <v>2024</v>
      </c>
      <c r="L370">
        <f t="shared" si="16"/>
        <v>2</v>
      </c>
      <c r="M370">
        <f t="shared" si="17"/>
        <v>24</v>
      </c>
      <c r="N370">
        <f>[1]Transactions!J370*[1]Transactions!K370</f>
        <v>4016</v>
      </c>
    </row>
    <row r="371" spans="9:14" x14ac:dyDescent="0.3">
      <c r="I371">
        <v>125</v>
      </c>
      <c r="J371" t="str">
        <f>_xlfn.XLOOKUP(I371,[1]Dates!$A$2:$A$181,[1]Dates!$B$2:$B$181)</f>
        <v>2024-05-05</v>
      </c>
      <c r="K371">
        <f t="shared" si="15"/>
        <v>2024</v>
      </c>
      <c r="L371">
        <f t="shared" si="16"/>
        <v>5</v>
      </c>
      <c r="M371">
        <f t="shared" si="17"/>
        <v>5</v>
      </c>
      <c r="N371">
        <f>[1]Transactions!J371*[1]Transactions!K371</f>
        <v>23920</v>
      </c>
    </row>
    <row r="372" spans="9:14" x14ac:dyDescent="0.3">
      <c r="I372">
        <v>39</v>
      </c>
      <c r="J372" t="str">
        <f>_xlfn.XLOOKUP(I372,[1]Dates!$A$2:$A$181,[1]Dates!$B$2:$B$181)</f>
        <v>2024-02-09</v>
      </c>
      <c r="K372">
        <f t="shared" si="15"/>
        <v>2024</v>
      </c>
      <c r="L372">
        <f t="shared" si="16"/>
        <v>2</v>
      </c>
      <c r="M372">
        <f t="shared" si="17"/>
        <v>9</v>
      </c>
      <c r="N372">
        <f>[1]Transactions!J372*[1]Transactions!K372</f>
        <v>4940</v>
      </c>
    </row>
    <row r="373" spans="9:14" x14ac:dyDescent="0.3">
      <c r="I373">
        <v>41</v>
      </c>
      <c r="J373" t="str">
        <f>_xlfn.XLOOKUP(I373,[1]Dates!$A$2:$A$181,[1]Dates!$B$2:$B$181)</f>
        <v>2024-02-11</v>
      </c>
      <c r="K373">
        <f t="shared" si="15"/>
        <v>2024</v>
      </c>
      <c r="L373">
        <f t="shared" si="16"/>
        <v>2</v>
      </c>
      <c r="M373">
        <f t="shared" si="17"/>
        <v>11</v>
      </c>
      <c r="N373">
        <f>[1]Transactions!J373*[1]Transactions!K373</f>
        <v>78604</v>
      </c>
    </row>
    <row r="374" spans="9:14" x14ac:dyDescent="0.3">
      <c r="I374">
        <v>21</v>
      </c>
      <c r="J374" t="str">
        <f>_xlfn.XLOOKUP(I374,[1]Dates!$A$2:$A$181,[1]Dates!$B$2:$B$181)</f>
        <v>2024-01-22</v>
      </c>
      <c r="K374">
        <f t="shared" si="15"/>
        <v>2024</v>
      </c>
      <c r="L374">
        <f t="shared" si="16"/>
        <v>1</v>
      </c>
      <c r="M374">
        <f t="shared" si="17"/>
        <v>22</v>
      </c>
      <c r="N374">
        <f>[1]Transactions!J374*[1]Transactions!K374</f>
        <v>38073</v>
      </c>
    </row>
    <row r="375" spans="9:14" x14ac:dyDescent="0.3">
      <c r="I375">
        <v>151</v>
      </c>
      <c r="J375" t="str">
        <f>_xlfn.XLOOKUP(I375,[1]Dates!$A$2:$A$181,[1]Dates!$B$2:$B$181)</f>
        <v>2024-05-31</v>
      </c>
      <c r="K375">
        <f t="shared" si="15"/>
        <v>2024</v>
      </c>
      <c r="L375">
        <f t="shared" si="16"/>
        <v>5</v>
      </c>
      <c r="M375">
        <f t="shared" si="17"/>
        <v>31</v>
      </c>
      <c r="N375">
        <f>[1]Transactions!J375*[1]Transactions!K375</f>
        <v>36600</v>
      </c>
    </row>
    <row r="376" spans="9:14" x14ac:dyDescent="0.3">
      <c r="I376">
        <v>140</v>
      </c>
      <c r="J376" t="str">
        <f>_xlfn.XLOOKUP(I376,[1]Dates!$A$2:$A$181,[1]Dates!$B$2:$B$181)</f>
        <v>2024-05-20</v>
      </c>
      <c r="K376">
        <f t="shared" si="15"/>
        <v>2024</v>
      </c>
      <c r="L376">
        <f t="shared" si="16"/>
        <v>5</v>
      </c>
      <c r="M376">
        <f t="shared" si="17"/>
        <v>20</v>
      </c>
      <c r="N376">
        <f>[1]Transactions!J376*[1]Transactions!K376</f>
        <v>120096</v>
      </c>
    </row>
    <row r="377" spans="9:14" x14ac:dyDescent="0.3">
      <c r="I377">
        <v>107</v>
      </c>
      <c r="J377" t="str">
        <f>_xlfn.XLOOKUP(I377,[1]Dates!$A$2:$A$181,[1]Dates!$B$2:$B$181)</f>
        <v>2024-04-17</v>
      </c>
      <c r="K377">
        <f t="shared" si="15"/>
        <v>2024</v>
      </c>
      <c r="L377">
        <f t="shared" si="16"/>
        <v>4</v>
      </c>
      <c r="M377">
        <f t="shared" si="17"/>
        <v>17</v>
      </c>
      <c r="N377">
        <f>[1]Transactions!J377*[1]Transactions!K377</f>
        <v>122010</v>
      </c>
    </row>
    <row r="378" spans="9:14" x14ac:dyDescent="0.3">
      <c r="I378">
        <v>154</v>
      </c>
      <c r="J378" t="str">
        <f>_xlfn.XLOOKUP(I378,[1]Dates!$A$2:$A$181,[1]Dates!$B$2:$B$181)</f>
        <v>2024-06-03</v>
      </c>
      <c r="K378">
        <f t="shared" si="15"/>
        <v>2024</v>
      </c>
      <c r="L378">
        <f t="shared" si="16"/>
        <v>6</v>
      </c>
      <c r="M378">
        <f t="shared" si="17"/>
        <v>3</v>
      </c>
      <c r="N378">
        <f>[1]Transactions!J378*[1]Transactions!K378</f>
        <v>1680</v>
      </c>
    </row>
    <row r="379" spans="9:14" x14ac:dyDescent="0.3">
      <c r="I379">
        <v>163</v>
      </c>
      <c r="J379" t="str">
        <f>_xlfn.XLOOKUP(I379,[1]Dates!$A$2:$A$181,[1]Dates!$B$2:$B$181)</f>
        <v>2024-06-12</v>
      </c>
      <c r="K379">
        <f t="shared" si="15"/>
        <v>2024</v>
      </c>
      <c r="L379">
        <f t="shared" si="16"/>
        <v>6</v>
      </c>
      <c r="M379">
        <f t="shared" si="17"/>
        <v>12</v>
      </c>
      <c r="N379">
        <f>[1]Transactions!J379*[1]Transactions!K379</f>
        <v>573480</v>
      </c>
    </row>
    <row r="380" spans="9:14" x14ac:dyDescent="0.3">
      <c r="I380">
        <v>18</v>
      </c>
      <c r="J380" t="str">
        <f>_xlfn.XLOOKUP(I380,[1]Dates!$A$2:$A$181,[1]Dates!$B$2:$B$181)</f>
        <v>2024-01-19</v>
      </c>
      <c r="K380">
        <f t="shared" si="15"/>
        <v>2024</v>
      </c>
      <c r="L380">
        <f t="shared" si="16"/>
        <v>1</v>
      </c>
      <c r="M380">
        <f t="shared" si="17"/>
        <v>19</v>
      </c>
      <c r="N380">
        <f>[1]Transactions!J380*[1]Transactions!K380</f>
        <v>11513</v>
      </c>
    </row>
    <row r="381" spans="9:14" x14ac:dyDescent="0.3">
      <c r="I381">
        <v>160</v>
      </c>
      <c r="J381" t="str">
        <f>_xlfn.XLOOKUP(I381,[1]Dates!$A$2:$A$181,[1]Dates!$B$2:$B$181)</f>
        <v>2024-06-09</v>
      </c>
      <c r="K381">
        <f t="shared" si="15"/>
        <v>2024</v>
      </c>
      <c r="L381">
        <f t="shared" si="16"/>
        <v>6</v>
      </c>
      <c r="M381">
        <f t="shared" si="17"/>
        <v>9</v>
      </c>
      <c r="N381">
        <f>[1]Transactions!J381*[1]Transactions!K381</f>
        <v>235720</v>
      </c>
    </row>
    <row r="382" spans="9:14" x14ac:dyDescent="0.3">
      <c r="I382">
        <v>41</v>
      </c>
      <c r="J382" t="str">
        <f>_xlfn.XLOOKUP(I382,[1]Dates!$A$2:$A$181,[1]Dates!$B$2:$B$181)</f>
        <v>2024-02-11</v>
      </c>
      <c r="K382">
        <f t="shared" si="15"/>
        <v>2024</v>
      </c>
      <c r="L382">
        <f t="shared" si="16"/>
        <v>2</v>
      </c>
      <c r="M382">
        <f t="shared" si="17"/>
        <v>11</v>
      </c>
      <c r="N382">
        <f>[1]Transactions!J382*[1]Transactions!K382</f>
        <v>34736</v>
      </c>
    </row>
    <row r="383" spans="9:14" x14ac:dyDescent="0.3">
      <c r="I383">
        <v>52</v>
      </c>
      <c r="J383" t="str">
        <f>_xlfn.XLOOKUP(I383,[1]Dates!$A$2:$A$181,[1]Dates!$B$2:$B$181)</f>
        <v>2024-02-22</v>
      </c>
      <c r="K383">
        <f t="shared" si="15"/>
        <v>2024</v>
      </c>
      <c r="L383">
        <f t="shared" si="16"/>
        <v>2</v>
      </c>
      <c r="M383">
        <f t="shared" si="17"/>
        <v>22</v>
      </c>
      <c r="N383">
        <f>[1]Transactions!J383*[1]Transactions!K383</f>
        <v>51436</v>
      </c>
    </row>
    <row r="384" spans="9:14" x14ac:dyDescent="0.3">
      <c r="I384">
        <v>119</v>
      </c>
      <c r="J384" t="str">
        <f>_xlfn.XLOOKUP(I384,[1]Dates!$A$2:$A$181,[1]Dates!$B$2:$B$181)</f>
        <v>2024-04-29</v>
      </c>
      <c r="K384">
        <f t="shared" si="15"/>
        <v>2024</v>
      </c>
      <c r="L384">
        <f t="shared" si="16"/>
        <v>4</v>
      </c>
      <c r="M384">
        <f t="shared" si="17"/>
        <v>29</v>
      </c>
      <c r="N384">
        <f>[1]Transactions!J384*[1]Transactions!K384</f>
        <v>641448</v>
      </c>
    </row>
    <row r="385" spans="9:14" x14ac:dyDescent="0.3">
      <c r="I385">
        <v>77</v>
      </c>
      <c r="J385" t="str">
        <f>_xlfn.XLOOKUP(I385,[1]Dates!$A$2:$A$181,[1]Dates!$B$2:$B$181)</f>
        <v>2024-03-18</v>
      </c>
      <c r="K385">
        <f t="shared" si="15"/>
        <v>2024</v>
      </c>
      <c r="L385">
        <f t="shared" si="16"/>
        <v>3</v>
      </c>
      <c r="M385">
        <f t="shared" si="17"/>
        <v>18</v>
      </c>
      <c r="N385">
        <f>[1]Transactions!J385*[1]Transactions!K385</f>
        <v>14094</v>
      </c>
    </row>
    <row r="386" spans="9:14" x14ac:dyDescent="0.3">
      <c r="I386">
        <v>167</v>
      </c>
      <c r="J386" t="str">
        <f>_xlfn.XLOOKUP(I386,[1]Dates!$A$2:$A$181,[1]Dates!$B$2:$B$181)</f>
        <v>2024-06-16</v>
      </c>
      <c r="K386">
        <f t="shared" si="15"/>
        <v>2024</v>
      </c>
      <c r="L386">
        <f t="shared" si="16"/>
        <v>6</v>
      </c>
      <c r="M386">
        <f t="shared" si="17"/>
        <v>16</v>
      </c>
      <c r="N386">
        <f>[1]Transactions!J386*[1]Transactions!K386</f>
        <v>10295</v>
      </c>
    </row>
    <row r="387" spans="9:14" x14ac:dyDescent="0.3">
      <c r="I387">
        <v>170</v>
      </c>
      <c r="J387" t="str">
        <f>_xlfn.XLOOKUP(I387,[1]Dates!$A$2:$A$181,[1]Dates!$B$2:$B$181)</f>
        <v>2024-06-19</v>
      </c>
      <c r="K387">
        <f t="shared" ref="K387:K450" si="18">YEAR(J387)</f>
        <v>2024</v>
      </c>
      <c r="L387">
        <f t="shared" ref="L387:L450" si="19">MONTH(J387)</f>
        <v>6</v>
      </c>
      <c r="M387">
        <f t="shared" ref="M387:M450" si="20">DAY(J387)</f>
        <v>19</v>
      </c>
      <c r="N387">
        <f>[1]Transactions!J387*[1]Transactions!K387</f>
        <v>50061</v>
      </c>
    </row>
    <row r="388" spans="9:14" x14ac:dyDescent="0.3">
      <c r="I388">
        <v>156</v>
      </c>
      <c r="J388" t="str">
        <f>_xlfn.XLOOKUP(I388,[1]Dates!$A$2:$A$181,[1]Dates!$B$2:$B$181)</f>
        <v>2024-06-05</v>
      </c>
      <c r="K388">
        <f t="shared" si="18"/>
        <v>2024</v>
      </c>
      <c r="L388">
        <f t="shared" si="19"/>
        <v>6</v>
      </c>
      <c r="M388">
        <f t="shared" si="20"/>
        <v>5</v>
      </c>
      <c r="N388">
        <f>[1]Transactions!J388*[1]Transactions!K388</f>
        <v>2915</v>
      </c>
    </row>
    <row r="389" spans="9:14" x14ac:dyDescent="0.3">
      <c r="I389">
        <v>13</v>
      </c>
      <c r="J389" t="str">
        <f>_xlfn.XLOOKUP(I389,[1]Dates!$A$2:$A$181,[1]Dates!$B$2:$B$181)</f>
        <v>2024-01-14</v>
      </c>
      <c r="K389">
        <f t="shared" si="18"/>
        <v>2024</v>
      </c>
      <c r="L389">
        <f t="shared" si="19"/>
        <v>1</v>
      </c>
      <c r="M389">
        <f t="shared" si="20"/>
        <v>14</v>
      </c>
      <c r="N389">
        <f>[1]Transactions!J389*[1]Transactions!K389</f>
        <v>40736</v>
      </c>
    </row>
    <row r="390" spans="9:14" x14ac:dyDescent="0.3">
      <c r="I390">
        <v>106</v>
      </c>
      <c r="J390" t="str">
        <f>_xlfn.XLOOKUP(I390,[1]Dates!$A$2:$A$181,[1]Dates!$B$2:$B$181)</f>
        <v>2024-04-16</v>
      </c>
      <c r="K390">
        <f t="shared" si="18"/>
        <v>2024</v>
      </c>
      <c r="L390">
        <f t="shared" si="19"/>
        <v>4</v>
      </c>
      <c r="M390">
        <f t="shared" si="20"/>
        <v>16</v>
      </c>
      <c r="N390">
        <f>[1]Transactions!J390*[1]Transactions!K390</f>
        <v>4216</v>
      </c>
    </row>
    <row r="391" spans="9:14" x14ac:dyDescent="0.3">
      <c r="I391">
        <v>147</v>
      </c>
      <c r="J391" t="str">
        <f>_xlfn.XLOOKUP(I391,[1]Dates!$A$2:$A$181,[1]Dates!$B$2:$B$181)</f>
        <v>2024-05-27</v>
      </c>
      <c r="K391">
        <f t="shared" si="18"/>
        <v>2024</v>
      </c>
      <c r="L391">
        <f t="shared" si="19"/>
        <v>5</v>
      </c>
      <c r="M391">
        <f t="shared" si="20"/>
        <v>27</v>
      </c>
      <c r="N391">
        <f>[1]Transactions!J391*[1]Transactions!K391</f>
        <v>2352</v>
      </c>
    </row>
    <row r="392" spans="9:14" x14ac:dyDescent="0.3">
      <c r="I392">
        <v>96</v>
      </c>
      <c r="J392" t="str">
        <f>_xlfn.XLOOKUP(I392,[1]Dates!$A$2:$A$181,[1]Dates!$B$2:$B$181)</f>
        <v>2024-04-06</v>
      </c>
      <c r="K392">
        <f t="shared" si="18"/>
        <v>2024</v>
      </c>
      <c r="L392">
        <f t="shared" si="19"/>
        <v>4</v>
      </c>
      <c r="M392">
        <f t="shared" si="20"/>
        <v>6</v>
      </c>
      <c r="N392">
        <f>[1]Transactions!J392*[1]Transactions!K392</f>
        <v>108</v>
      </c>
    </row>
    <row r="393" spans="9:14" x14ac:dyDescent="0.3">
      <c r="I393">
        <v>23</v>
      </c>
      <c r="J393" t="str">
        <f>_xlfn.XLOOKUP(I393,[1]Dates!$A$2:$A$181,[1]Dates!$B$2:$B$181)</f>
        <v>2024-01-24</v>
      </c>
      <c r="K393">
        <f t="shared" si="18"/>
        <v>2024</v>
      </c>
      <c r="L393">
        <f t="shared" si="19"/>
        <v>1</v>
      </c>
      <c r="M393">
        <f t="shared" si="20"/>
        <v>24</v>
      </c>
      <c r="N393">
        <f>[1]Transactions!J393*[1]Transactions!K393</f>
        <v>931</v>
      </c>
    </row>
    <row r="394" spans="9:14" x14ac:dyDescent="0.3">
      <c r="I394">
        <v>107</v>
      </c>
      <c r="J394" t="str">
        <f>_xlfn.XLOOKUP(I394,[1]Dates!$A$2:$A$181,[1]Dates!$B$2:$B$181)</f>
        <v>2024-04-17</v>
      </c>
      <c r="K394">
        <f t="shared" si="18"/>
        <v>2024</v>
      </c>
      <c r="L394">
        <f t="shared" si="19"/>
        <v>4</v>
      </c>
      <c r="M394">
        <f t="shared" si="20"/>
        <v>17</v>
      </c>
      <c r="N394">
        <f>[1]Transactions!J394*[1]Transactions!K394</f>
        <v>9396</v>
      </c>
    </row>
    <row r="395" spans="9:14" x14ac:dyDescent="0.3">
      <c r="I395">
        <v>62</v>
      </c>
      <c r="J395" t="str">
        <f>_xlfn.XLOOKUP(I395,[1]Dates!$A$2:$A$181,[1]Dates!$B$2:$B$181)</f>
        <v>2024-03-03</v>
      </c>
      <c r="K395">
        <f t="shared" si="18"/>
        <v>2024</v>
      </c>
      <c r="L395">
        <f t="shared" si="19"/>
        <v>3</v>
      </c>
      <c r="M395">
        <f t="shared" si="20"/>
        <v>3</v>
      </c>
      <c r="N395">
        <f>[1]Transactions!J395*[1]Transactions!K395</f>
        <v>113100</v>
      </c>
    </row>
    <row r="396" spans="9:14" x14ac:dyDescent="0.3">
      <c r="I396">
        <v>147</v>
      </c>
      <c r="J396" t="str">
        <f>_xlfn.XLOOKUP(I396,[1]Dates!$A$2:$A$181,[1]Dates!$B$2:$B$181)</f>
        <v>2024-05-27</v>
      </c>
      <c r="K396">
        <f t="shared" si="18"/>
        <v>2024</v>
      </c>
      <c r="L396">
        <f t="shared" si="19"/>
        <v>5</v>
      </c>
      <c r="M396">
        <f t="shared" si="20"/>
        <v>27</v>
      </c>
      <c r="N396">
        <f>[1]Transactions!J396*[1]Transactions!K396</f>
        <v>206307</v>
      </c>
    </row>
    <row r="397" spans="9:14" x14ac:dyDescent="0.3">
      <c r="I397">
        <v>113</v>
      </c>
      <c r="J397" t="str">
        <f>_xlfn.XLOOKUP(I397,[1]Dates!$A$2:$A$181,[1]Dates!$B$2:$B$181)</f>
        <v>2024-04-23</v>
      </c>
      <c r="K397">
        <f t="shared" si="18"/>
        <v>2024</v>
      </c>
      <c r="L397">
        <f t="shared" si="19"/>
        <v>4</v>
      </c>
      <c r="M397">
        <f t="shared" si="20"/>
        <v>23</v>
      </c>
      <c r="N397">
        <f>[1]Transactions!J397*[1]Transactions!K397</f>
        <v>11808</v>
      </c>
    </row>
    <row r="398" spans="9:14" x14ac:dyDescent="0.3">
      <c r="I398">
        <v>1</v>
      </c>
      <c r="J398" t="str">
        <f>_xlfn.XLOOKUP(I398,[1]Dates!$A$2:$A$181,[1]Dates!$B$2:$B$181)</f>
        <v>2024-01-02</v>
      </c>
      <c r="K398">
        <f t="shared" si="18"/>
        <v>2024</v>
      </c>
      <c r="L398">
        <f t="shared" si="19"/>
        <v>1</v>
      </c>
      <c r="M398">
        <f t="shared" si="20"/>
        <v>2</v>
      </c>
      <c r="N398">
        <f>[1]Transactions!J398*[1]Transactions!K398</f>
        <v>3264</v>
      </c>
    </row>
    <row r="399" spans="9:14" x14ac:dyDescent="0.3">
      <c r="I399">
        <v>123</v>
      </c>
      <c r="J399" t="str">
        <f>_xlfn.XLOOKUP(I399,[1]Dates!$A$2:$A$181,[1]Dates!$B$2:$B$181)</f>
        <v>2024-05-03</v>
      </c>
      <c r="K399">
        <f t="shared" si="18"/>
        <v>2024</v>
      </c>
      <c r="L399">
        <f t="shared" si="19"/>
        <v>5</v>
      </c>
      <c r="M399">
        <f t="shared" si="20"/>
        <v>3</v>
      </c>
      <c r="N399">
        <f>[1]Transactions!J399*[1]Transactions!K399</f>
        <v>21420</v>
      </c>
    </row>
    <row r="400" spans="9:14" x14ac:dyDescent="0.3">
      <c r="I400">
        <v>129</v>
      </c>
      <c r="J400" t="str">
        <f>_xlfn.XLOOKUP(I400,[1]Dates!$A$2:$A$181,[1]Dates!$B$2:$B$181)</f>
        <v>2024-05-09</v>
      </c>
      <c r="K400">
        <f t="shared" si="18"/>
        <v>2024</v>
      </c>
      <c r="L400">
        <f t="shared" si="19"/>
        <v>5</v>
      </c>
      <c r="M400">
        <f t="shared" si="20"/>
        <v>9</v>
      </c>
      <c r="N400">
        <f>[1]Transactions!J400*[1]Transactions!K400</f>
        <v>27060</v>
      </c>
    </row>
    <row r="401" spans="9:14" x14ac:dyDescent="0.3">
      <c r="I401">
        <v>158</v>
      </c>
      <c r="J401" t="str">
        <f>_xlfn.XLOOKUP(I401,[1]Dates!$A$2:$A$181,[1]Dates!$B$2:$B$181)</f>
        <v>2024-06-07</v>
      </c>
      <c r="K401">
        <f t="shared" si="18"/>
        <v>2024</v>
      </c>
      <c r="L401">
        <f t="shared" si="19"/>
        <v>6</v>
      </c>
      <c r="M401">
        <f t="shared" si="20"/>
        <v>7</v>
      </c>
      <c r="N401">
        <f>[1]Transactions!J401*[1]Transactions!K401</f>
        <v>10416</v>
      </c>
    </row>
    <row r="402" spans="9:14" x14ac:dyDescent="0.3">
      <c r="I402">
        <v>40</v>
      </c>
      <c r="J402" t="str">
        <f>_xlfn.XLOOKUP(I402,[1]Dates!$A$2:$A$181,[1]Dates!$B$2:$B$181)</f>
        <v>2024-02-10</v>
      </c>
      <c r="K402">
        <f t="shared" si="18"/>
        <v>2024</v>
      </c>
      <c r="L402">
        <f t="shared" si="19"/>
        <v>2</v>
      </c>
      <c r="M402">
        <f t="shared" si="20"/>
        <v>10</v>
      </c>
      <c r="N402">
        <f>[1]Transactions!J402*[1]Transactions!K402</f>
        <v>8084</v>
      </c>
    </row>
    <row r="403" spans="9:14" x14ac:dyDescent="0.3">
      <c r="I403">
        <v>42</v>
      </c>
      <c r="J403" t="str">
        <f>_xlfn.XLOOKUP(I403,[1]Dates!$A$2:$A$181,[1]Dates!$B$2:$B$181)</f>
        <v>2024-02-12</v>
      </c>
      <c r="K403">
        <f t="shared" si="18"/>
        <v>2024</v>
      </c>
      <c r="L403">
        <f t="shared" si="19"/>
        <v>2</v>
      </c>
      <c r="M403">
        <f t="shared" si="20"/>
        <v>12</v>
      </c>
      <c r="N403">
        <f>[1]Transactions!J403*[1]Transactions!K403</f>
        <v>50358</v>
      </c>
    </row>
    <row r="404" spans="9:14" x14ac:dyDescent="0.3">
      <c r="I404">
        <v>138</v>
      </c>
      <c r="J404" t="str">
        <f>_xlfn.XLOOKUP(I404,[1]Dates!$A$2:$A$181,[1]Dates!$B$2:$B$181)</f>
        <v>2024-05-18</v>
      </c>
      <c r="K404">
        <f t="shared" si="18"/>
        <v>2024</v>
      </c>
      <c r="L404">
        <f t="shared" si="19"/>
        <v>5</v>
      </c>
      <c r="M404">
        <f t="shared" si="20"/>
        <v>18</v>
      </c>
      <c r="N404">
        <f>[1]Transactions!J404*[1]Transactions!K404</f>
        <v>13338</v>
      </c>
    </row>
    <row r="405" spans="9:14" x14ac:dyDescent="0.3">
      <c r="I405">
        <v>157</v>
      </c>
      <c r="J405" t="str">
        <f>_xlfn.XLOOKUP(I405,[1]Dates!$A$2:$A$181,[1]Dates!$B$2:$B$181)</f>
        <v>2024-06-06</v>
      </c>
      <c r="K405">
        <f t="shared" si="18"/>
        <v>2024</v>
      </c>
      <c r="L405">
        <f t="shared" si="19"/>
        <v>6</v>
      </c>
      <c r="M405">
        <f t="shared" si="20"/>
        <v>6</v>
      </c>
      <c r="N405">
        <f>[1]Transactions!J405*[1]Transactions!K405</f>
        <v>12236</v>
      </c>
    </row>
    <row r="406" spans="9:14" x14ac:dyDescent="0.3">
      <c r="I406">
        <v>91</v>
      </c>
      <c r="J406" t="str">
        <f>_xlfn.XLOOKUP(I406,[1]Dates!$A$2:$A$181,[1]Dates!$B$2:$B$181)</f>
        <v>2024-04-01</v>
      </c>
      <c r="K406">
        <f t="shared" si="18"/>
        <v>2024</v>
      </c>
      <c r="L406">
        <f t="shared" si="19"/>
        <v>4</v>
      </c>
      <c r="M406">
        <f t="shared" si="20"/>
        <v>1</v>
      </c>
      <c r="N406">
        <f>[1]Transactions!J406*[1]Transactions!K406</f>
        <v>23004</v>
      </c>
    </row>
    <row r="407" spans="9:14" x14ac:dyDescent="0.3">
      <c r="I407">
        <v>131</v>
      </c>
      <c r="J407" t="str">
        <f>_xlfn.XLOOKUP(I407,[1]Dates!$A$2:$A$181,[1]Dates!$B$2:$B$181)</f>
        <v>2024-05-11</v>
      </c>
      <c r="K407">
        <f t="shared" si="18"/>
        <v>2024</v>
      </c>
      <c r="L407">
        <f t="shared" si="19"/>
        <v>5</v>
      </c>
      <c r="M407">
        <f t="shared" si="20"/>
        <v>11</v>
      </c>
      <c r="N407">
        <f>[1]Transactions!J407*[1]Transactions!K407</f>
        <v>5600</v>
      </c>
    </row>
    <row r="408" spans="9:14" x14ac:dyDescent="0.3">
      <c r="I408">
        <v>53</v>
      </c>
      <c r="J408" t="str">
        <f>_xlfn.XLOOKUP(I408,[1]Dates!$A$2:$A$181,[1]Dates!$B$2:$B$181)</f>
        <v>2024-02-23</v>
      </c>
      <c r="K408">
        <f t="shared" si="18"/>
        <v>2024</v>
      </c>
      <c r="L408">
        <f t="shared" si="19"/>
        <v>2</v>
      </c>
      <c r="M408">
        <f t="shared" si="20"/>
        <v>23</v>
      </c>
      <c r="N408">
        <f>[1]Transactions!J408*[1]Transactions!K408</f>
        <v>32495</v>
      </c>
    </row>
    <row r="409" spans="9:14" x14ac:dyDescent="0.3">
      <c r="I409">
        <v>44</v>
      </c>
      <c r="J409" t="str">
        <f>_xlfn.XLOOKUP(I409,[1]Dates!$A$2:$A$181,[1]Dates!$B$2:$B$181)</f>
        <v>2024-02-14</v>
      </c>
      <c r="K409">
        <f t="shared" si="18"/>
        <v>2024</v>
      </c>
      <c r="L409">
        <f t="shared" si="19"/>
        <v>2</v>
      </c>
      <c r="M409">
        <f t="shared" si="20"/>
        <v>14</v>
      </c>
      <c r="N409">
        <f>[1]Transactions!J409*[1]Transactions!K409</f>
        <v>173840</v>
      </c>
    </row>
    <row r="410" spans="9:14" x14ac:dyDescent="0.3">
      <c r="I410">
        <v>70</v>
      </c>
      <c r="J410" t="str">
        <f>_xlfn.XLOOKUP(I410,[1]Dates!$A$2:$A$181,[1]Dates!$B$2:$B$181)</f>
        <v>2024-03-11</v>
      </c>
      <c r="K410">
        <f t="shared" si="18"/>
        <v>2024</v>
      </c>
      <c r="L410">
        <f t="shared" si="19"/>
        <v>3</v>
      </c>
      <c r="M410">
        <f t="shared" si="20"/>
        <v>11</v>
      </c>
      <c r="N410">
        <f>[1]Transactions!J410*[1]Transactions!K410</f>
        <v>12321</v>
      </c>
    </row>
    <row r="411" spans="9:14" x14ac:dyDescent="0.3">
      <c r="I411">
        <v>96</v>
      </c>
      <c r="J411" t="str">
        <f>_xlfn.XLOOKUP(I411,[1]Dates!$A$2:$A$181,[1]Dates!$B$2:$B$181)</f>
        <v>2024-04-06</v>
      </c>
      <c r="K411">
        <f t="shared" si="18"/>
        <v>2024</v>
      </c>
      <c r="L411">
        <f t="shared" si="19"/>
        <v>4</v>
      </c>
      <c r="M411">
        <f t="shared" si="20"/>
        <v>6</v>
      </c>
      <c r="N411">
        <f>[1]Transactions!J411*[1]Transactions!K411</f>
        <v>1460</v>
      </c>
    </row>
    <row r="412" spans="9:14" x14ac:dyDescent="0.3">
      <c r="I412">
        <v>55</v>
      </c>
      <c r="J412" t="str">
        <f>_xlfn.XLOOKUP(I412,[1]Dates!$A$2:$A$181,[1]Dates!$B$2:$B$181)</f>
        <v>2024-02-25</v>
      </c>
      <c r="K412">
        <f t="shared" si="18"/>
        <v>2024</v>
      </c>
      <c r="L412">
        <f t="shared" si="19"/>
        <v>2</v>
      </c>
      <c r="M412">
        <f t="shared" si="20"/>
        <v>25</v>
      </c>
      <c r="N412">
        <f>[1]Transactions!J412*[1]Transactions!K412</f>
        <v>19765</v>
      </c>
    </row>
    <row r="413" spans="9:14" x14ac:dyDescent="0.3">
      <c r="I413">
        <v>165</v>
      </c>
      <c r="J413" t="str">
        <f>_xlfn.XLOOKUP(I413,[1]Dates!$A$2:$A$181,[1]Dates!$B$2:$B$181)</f>
        <v>2024-06-14</v>
      </c>
      <c r="K413">
        <f t="shared" si="18"/>
        <v>2024</v>
      </c>
      <c r="L413">
        <f t="shared" si="19"/>
        <v>6</v>
      </c>
      <c r="M413">
        <f t="shared" si="20"/>
        <v>14</v>
      </c>
      <c r="N413">
        <f>[1]Transactions!J413*[1]Transactions!K413</f>
        <v>166824</v>
      </c>
    </row>
    <row r="414" spans="9:14" x14ac:dyDescent="0.3">
      <c r="I414">
        <v>62</v>
      </c>
      <c r="J414" t="str">
        <f>_xlfn.XLOOKUP(I414,[1]Dates!$A$2:$A$181,[1]Dates!$B$2:$B$181)</f>
        <v>2024-03-03</v>
      </c>
      <c r="K414">
        <f t="shared" si="18"/>
        <v>2024</v>
      </c>
      <c r="L414">
        <f t="shared" si="19"/>
        <v>3</v>
      </c>
      <c r="M414">
        <f t="shared" si="20"/>
        <v>3</v>
      </c>
      <c r="N414">
        <f>[1]Transactions!J414*[1]Transactions!K414</f>
        <v>40068</v>
      </c>
    </row>
    <row r="415" spans="9:14" x14ac:dyDescent="0.3">
      <c r="I415">
        <v>125</v>
      </c>
      <c r="J415" t="str">
        <f>_xlfn.XLOOKUP(I415,[1]Dates!$A$2:$A$181,[1]Dates!$B$2:$B$181)</f>
        <v>2024-05-05</v>
      </c>
      <c r="K415">
        <f t="shared" si="18"/>
        <v>2024</v>
      </c>
      <c r="L415">
        <f t="shared" si="19"/>
        <v>5</v>
      </c>
      <c r="M415">
        <f t="shared" si="20"/>
        <v>5</v>
      </c>
      <c r="N415">
        <f>[1]Transactions!J415*[1]Transactions!K415</f>
        <v>126140</v>
      </c>
    </row>
    <row r="416" spans="9:14" x14ac:dyDescent="0.3">
      <c r="I416">
        <v>144</v>
      </c>
      <c r="J416" t="str">
        <f>_xlfn.XLOOKUP(I416,[1]Dates!$A$2:$A$181,[1]Dates!$B$2:$B$181)</f>
        <v>2024-05-24</v>
      </c>
      <c r="K416">
        <f t="shared" si="18"/>
        <v>2024</v>
      </c>
      <c r="L416">
        <f t="shared" si="19"/>
        <v>5</v>
      </c>
      <c r="M416">
        <f t="shared" si="20"/>
        <v>24</v>
      </c>
      <c r="N416">
        <f>[1]Transactions!J416*[1]Transactions!K416</f>
        <v>46620</v>
      </c>
    </row>
    <row r="417" spans="9:14" x14ac:dyDescent="0.3">
      <c r="I417">
        <v>119</v>
      </c>
      <c r="J417" t="str">
        <f>_xlfn.XLOOKUP(I417,[1]Dates!$A$2:$A$181,[1]Dates!$B$2:$B$181)</f>
        <v>2024-04-29</v>
      </c>
      <c r="K417">
        <f t="shared" si="18"/>
        <v>2024</v>
      </c>
      <c r="L417">
        <f t="shared" si="19"/>
        <v>4</v>
      </c>
      <c r="M417">
        <f t="shared" si="20"/>
        <v>29</v>
      </c>
      <c r="N417">
        <f>[1]Transactions!J417*[1]Transactions!K417</f>
        <v>16443</v>
      </c>
    </row>
    <row r="418" spans="9:14" x14ac:dyDescent="0.3">
      <c r="I418">
        <v>92</v>
      </c>
      <c r="J418" t="str">
        <f>_xlfn.XLOOKUP(I418,[1]Dates!$A$2:$A$181,[1]Dates!$B$2:$B$181)</f>
        <v>2024-04-02</v>
      </c>
      <c r="K418">
        <f t="shared" si="18"/>
        <v>2024</v>
      </c>
      <c r="L418">
        <f t="shared" si="19"/>
        <v>4</v>
      </c>
      <c r="M418">
        <f t="shared" si="20"/>
        <v>2</v>
      </c>
      <c r="N418">
        <f>[1]Transactions!J418*[1]Transactions!K418</f>
        <v>6688</v>
      </c>
    </row>
    <row r="419" spans="9:14" x14ac:dyDescent="0.3">
      <c r="I419">
        <v>70</v>
      </c>
      <c r="J419" t="str">
        <f>_xlfn.XLOOKUP(I419,[1]Dates!$A$2:$A$181,[1]Dates!$B$2:$B$181)</f>
        <v>2024-03-11</v>
      </c>
      <c r="K419">
        <f t="shared" si="18"/>
        <v>2024</v>
      </c>
      <c r="L419">
        <f t="shared" si="19"/>
        <v>3</v>
      </c>
      <c r="M419">
        <f t="shared" si="20"/>
        <v>11</v>
      </c>
      <c r="N419">
        <f>[1]Transactions!J419*[1]Transactions!K419</f>
        <v>59496</v>
      </c>
    </row>
    <row r="420" spans="9:14" x14ac:dyDescent="0.3">
      <c r="I420">
        <v>124</v>
      </c>
      <c r="J420" t="str">
        <f>_xlfn.XLOOKUP(I420,[1]Dates!$A$2:$A$181,[1]Dates!$B$2:$B$181)</f>
        <v>2024-05-04</v>
      </c>
      <c r="K420">
        <f t="shared" si="18"/>
        <v>2024</v>
      </c>
      <c r="L420">
        <f t="shared" si="19"/>
        <v>5</v>
      </c>
      <c r="M420">
        <f t="shared" si="20"/>
        <v>4</v>
      </c>
      <c r="N420">
        <f>[1]Transactions!J420*[1]Transactions!K420</f>
        <v>14308</v>
      </c>
    </row>
    <row r="421" spans="9:14" x14ac:dyDescent="0.3">
      <c r="I421">
        <v>78</v>
      </c>
      <c r="J421" t="str">
        <f>_xlfn.XLOOKUP(I421,[1]Dates!$A$2:$A$181,[1]Dates!$B$2:$B$181)</f>
        <v>2024-03-19</v>
      </c>
      <c r="K421">
        <f t="shared" si="18"/>
        <v>2024</v>
      </c>
      <c r="L421">
        <f t="shared" si="19"/>
        <v>3</v>
      </c>
      <c r="M421">
        <f t="shared" si="20"/>
        <v>19</v>
      </c>
      <c r="N421">
        <f>[1]Transactions!J421*[1]Transactions!K421</f>
        <v>25296</v>
      </c>
    </row>
    <row r="422" spans="9:14" x14ac:dyDescent="0.3">
      <c r="I422">
        <v>49</v>
      </c>
      <c r="J422" t="str">
        <f>_xlfn.XLOOKUP(I422,[1]Dates!$A$2:$A$181,[1]Dates!$B$2:$B$181)</f>
        <v>2024-02-19</v>
      </c>
      <c r="K422">
        <f t="shared" si="18"/>
        <v>2024</v>
      </c>
      <c r="L422">
        <f t="shared" si="19"/>
        <v>2</v>
      </c>
      <c r="M422">
        <f t="shared" si="20"/>
        <v>19</v>
      </c>
      <c r="N422">
        <f>[1]Transactions!J422*[1]Transactions!K422</f>
        <v>39672</v>
      </c>
    </row>
    <row r="423" spans="9:14" x14ac:dyDescent="0.3">
      <c r="I423">
        <v>74</v>
      </c>
      <c r="J423" t="str">
        <f>_xlfn.XLOOKUP(I423,[1]Dates!$A$2:$A$181,[1]Dates!$B$2:$B$181)</f>
        <v>2024-03-15</v>
      </c>
      <c r="K423">
        <f t="shared" si="18"/>
        <v>2024</v>
      </c>
      <c r="L423">
        <f t="shared" si="19"/>
        <v>3</v>
      </c>
      <c r="M423">
        <f t="shared" si="20"/>
        <v>15</v>
      </c>
      <c r="N423">
        <f>[1]Transactions!J423*[1]Transactions!K423</f>
        <v>37932</v>
      </c>
    </row>
    <row r="424" spans="9:14" x14ac:dyDescent="0.3">
      <c r="I424">
        <v>133</v>
      </c>
      <c r="J424" t="str">
        <f>_xlfn.XLOOKUP(I424,[1]Dates!$A$2:$A$181,[1]Dates!$B$2:$B$181)</f>
        <v>2024-05-13</v>
      </c>
      <c r="K424">
        <f t="shared" si="18"/>
        <v>2024</v>
      </c>
      <c r="L424">
        <f t="shared" si="19"/>
        <v>5</v>
      </c>
      <c r="M424">
        <f t="shared" si="20"/>
        <v>13</v>
      </c>
      <c r="N424">
        <f>[1]Transactions!J424*[1]Transactions!K424</f>
        <v>72240</v>
      </c>
    </row>
    <row r="425" spans="9:14" x14ac:dyDescent="0.3">
      <c r="I425">
        <v>21</v>
      </c>
      <c r="J425" t="str">
        <f>_xlfn.XLOOKUP(I425,[1]Dates!$A$2:$A$181,[1]Dates!$B$2:$B$181)</f>
        <v>2024-01-22</v>
      </c>
      <c r="K425">
        <f t="shared" si="18"/>
        <v>2024</v>
      </c>
      <c r="L425">
        <f t="shared" si="19"/>
        <v>1</v>
      </c>
      <c r="M425">
        <f t="shared" si="20"/>
        <v>22</v>
      </c>
      <c r="N425">
        <f>[1]Transactions!J425*[1]Transactions!K425</f>
        <v>29700</v>
      </c>
    </row>
    <row r="426" spans="9:14" x14ac:dyDescent="0.3">
      <c r="I426">
        <v>51</v>
      </c>
      <c r="J426" t="str">
        <f>_xlfn.XLOOKUP(I426,[1]Dates!$A$2:$A$181,[1]Dates!$B$2:$B$181)</f>
        <v>2024-02-21</v>
      </c>
      <c r="K426">
        <f t="shared" si="18"/>
        <v>2024</v>
      </c>
      <c r="L426">
        <f t="shared" si="19"/>
        <v>2</v>
      </c>
      <c r="M426">
        <f t="shared" si="20"/>
        <v>21</v>
      </c>
      <c r="N426">
        <f>[1]Transactions!J426*[1]Transactions!K426</f>
        <v>6912</v>
      </c>
    </row>
    <row r="427" spans="9:14" x14ac:dyDescent="0.3">
      <c r="I427">
        <v>28</v>
      </c>
      <c r="J427" t="str">
        <f>_xlfn.XLOOKUP(I427,[1]Dates!$A$2:$A$181,[1]Dates!$B$2:$B$181)</f>
        <v>2024-01-29</v>
      </c>
      <c r="K427">
        <f t="shared" si="18"/>
        <v>2024</v>
      </c>
      <c r="L427">
        <f t="shared" si="19"/>
        <v>1</v>
      </c>
      <c r="M427">
        <f t="shared" si="20"/>
        <v>29</v>
      </c>
      <c r="N427">
        <f>[1]Transactions!J427*[1]Transactions!K427</f>
        <v>40700</v>
      </c>
    </row>
    <row r="428" spans="9:14" x14ac:dyDescent="0.3">
      <c r="I428">
        <v>50</v>
      </c>
      <c r="J428" t="str">
        <f>_xlfn.XLOOKUP(I428,[1]Dates!$A$2:$A$181,[1]Dates!$B$2:$B$181)</f>
        <v>2024-02-20</v>
      </c>
      <c r="K428">
        <f t="shared" si="18"/>
        <v>2024</v>
      </c>
      <c r="L428">
        <f t="shared" si="19"/>
        <v>2</v>
      </c>
      <c r="M428">
        <f t="shared" si="20"/>
        <v>20</v>
      </c>
      <c r="N428">
        <f>[1]Transactions!J428*[1]Transactions!K428</f>
        <v>33810</v>
      </c>
    </row>
    <row r="429" spans="9:14" x14ac:dyDescent="0.3">
      <c r="I429">
        <v>168</v>
      </c>
      <c r="J429" t="str">
        <f>_xlfn.XLOOKUP(I429,[1]Dates!$A$2:$A$181,[1]Dates!$B$2:$B$181)</f>
        <v>2024-06-17</v>
      </c>
      <c r="K429">
        <f t="shared" si="18"/>
        <v>2024</v>
      </c>
      <c r="L429">
        <f t="shared" si="19"/>
        <v>6</v>
      </c>
      <c r="M429">
        <f t="shared" si="20"/>
        <v>17</v>
      </c>
      <c r="N429">
        <f>[1]Transactions!J429*[1]Transactions!K429</f>
        <v>11232</v>
      </c>
    </row>
    <row r="430" spans="9:14" x14ac:dyDescent="0.3">
      <c r="I430">
        <v>43</v>
      </c>
      <c r="J430" t="str">
        <f>_xlfn.XLOOKUP(I430,[1]Dates!$A$2:$A$181,[1]Dates!$B$2:$B$181)</f>
        <v>2024-02-13</v>
      </c>
      <c r="K430">
        <f t="shared" si="18"/>
        <v>2024</v>
      </c>
      <c r="L430">
        <f t="shared" si="19"/>
        <v>2</v>
      </c>
      <c r="M430">
        <f t="shared" si="20"/>
        <v>13</v>
      </c>
      <c r="N430">
        <f>[1]Transactions!J430*[1]Transactions!K430</f>
        <v>277550</v>
      </c>
    </row>
    <row r="431" spans="9:14" x14ac:dyDescent="0.3">
      <c r="I431">
        <v>44</v>
      </c>
      <c r="J431" t="str">
        <f>_xlfn.XLOOKUP(I431,[1]Dates!$A$2:$A$181,[1]Dates!$B$2:$B$181)</f>
        <v>2024-02-14</v>
      </c>
      <c r="K431">
        <f t="shared" si="18"/>
        <v>2024</v>
      </c>
      <c r="L431">
        <f t="shared" si="19"/>
        <v>2</v>
      </c>
      <c r="M431">
        <f t="shared" si="20"/>
        <v>14</v>
      </c>
      <c r="N431">
        <f>[1]Transactions!J431*[1]Transactions!K431</f>
        <v>18720</v>
      </c>
    </row>
    <row r="432" spans="9:14" x14ac:dyDescent="0.3">
      <c r="I432">
        <v>48</v>
      </c>
      <c r="J432" t="str">
        <f>_xlfn.XLOOKUP(I432,[1]Dates!$A$2:$A$181,[1]Dates!$B$2:$B$181)</f>
        <v>2024-02-18</v>
      </c>
      <c r="K432">
        <f t="shared" si="18"/>
        <v>2024</v>
      </c>
      <c r="L432">
        <f t="shared" si="19"/>
        <v>2</v>
      </c>
      <c r="M432">
        <f t="shared" si="20"/>
        <v>18</v>
      </c>
      <c r="N432">
        <f>[1]Transactions!J432*[1]Transactions!K432</f>
        <v>33000</v>
      </c>
    </row>
    <row r="433" spans="9:14" x14ac:dyDescent="0.3">
      <c r="I433">
        <v>112</v>
      </c>
      <c r="J433" t="str">
        <f>_xlfn.XLOOKUP(I433,[1]Dates!$A$2:$A$181,[1]Dates!$B$2:$B$181)</f>
        <v>2024-04-22</v>
      </c>
      <c r="K433">
        <f t="shared" si="18"/>
        <v>2024</v>
      </c>
      <c r="L433">
        <f t="shared" si="19"/>
        <v>4</v>
      </c>
      <c r="M433">
        <f t="shared" si="20"/>
        <v>22</v>
      </c>
      <c r="N433">
        <f>[1]Transactions!J433*[1]Transactions!K433</f>
        <v>153424</v>
      </c>
    </row>
    <row r="434" spans="9:14" x14ac:dyDescent="0.3">
      <c r="I434">
        <v>163</v>
      </c>
      <c r="J434" t="str">
        <f>_xlfn.XLOOKUP(I434,[1]Dates!$A$2:$A$181,[1]Dates!$B$2:$B$181)</f>
        <v>2024-06-12</v>
      </c>
      <c r="K434">
        <f t="shared" si="18"/>
        <v>2024</v>
      </c>
      <c r="L434">
        <f t="shared" si="19"/>
        <v>6</v>
      </c>
      <c r="M434">
        <f t="shared" si="20"/>
        <v>12</v>
      </c>
      <c r="N434">
        <f>[1]Transactions!J434*[1]Transactions!K434</f>
        <v>94520</v>
      </c>
    </row>
    <row r="435" spans="9:14" x14ac:dyDescent="0.3">
      <c r="I435">
        <v>32</v>
      </c>
      <c r="J435" t="str">
        <f>_xlfn.XLOOKUP(I435,[1]Dates!$A$2:$A$181,[1]Dates!$B$2:$B$181)</f>
        <v>2024-02-02</v>
      </c>
      <c r="K435">
        <f t="shared" si="18"/>
        <v>2024</v>
      </c>
      <c r="L435">
        <f t="shared" si="19"/>
        <v>2</v>
      </c>
      <c r="M435">
        <f t="shared" si="20"/>
        <v>2</v>
      </c>
      <c r="N435">
        <f>[1]Transactions!J435*[1]Transactions!K435</f>
        <v>6448</v>
      </c>
    </row>
    <row r="436" spans="9:14" x14ac:dyDescent="0.3">
      <c r="I436">
        <v>56</v>
      </c>
      <c r="J436" t="str">
        <f>_xlfn.XLOOKUP(I436,[1]Dates!$A$2:$A$181,[1]Dates!$B$2:$B$181)</f>
        <v>2024-02-26</v>
      </c>
      <c r="K436">
        <f t="shared" si="18"/>
        <v>2024</v>
      </c>
      <c r="L436">
        <f t="shared" si="19"/>
        <v>2</v>
      </c>
      <c r="M436">
        <f t="shared" si="20"/>
        <v>26</v>
      </c>
      <c r="N436">
        <f>[1]Transactions!J436*[1]Transactions!K436</f>
        <v>37710</v>
      </c>
    </row>
    <row r="437" spans="9:14" x14ac:dyDescent="0.3">
      <c r="I437">
        <v>58</v>
      </c>
      <c r="J437" t="str">
        <f>_xlfn.XLOOKUP(I437,[1]Dates!$A$2:$A$181,[1]Dates!$B$2:$B$181)</f>
        <v>2024-02-28</v>
      </c>
      <c r="K437">
        <f t="shared" si="18"/>
        <v>2024</v>
      </c>
      <c r="L437">
        <f t="shared" si="19"/>
        <v>2</v>
      </c>
      <c r="M437">
        <f t="shared" si="20"/>
        <v>28</v>
      </c>
      <c r="N437">
        <f>[1]Transactions!J437*[1]Transactions!K437</f>
        <v>310650</v>
      </c>
    </row>
    <row r="438" spans="9:14" x14ac:dyDescent="0.3">
      <c r="I438">
        <v>38</v>
      </c>
      <c r="J438" t="str">
        <f>_xlfn.XLOOKUP(I438,[1]Dates!$A$2:$A$181,[1]Dates!$B$2:$B$181)</f>
        <v>2024-02-08</v>
      </c>
      <c r="K438">
        <f t="shared" si="18"/>
        <v>2024</v>
      </c>
      <c r="L438">
        <f t="shared" si="19"/>
        <v>2</v>
      </c>
      <c r="M438">
        <f t="shared" si="20"/>
        <v>8</v>
      </c>
      <c r="N438">
        <f>[1]Transactions!J438*[1]Transactions!K438</f>
        <v>31046</v>
      </c>
    </row>
    <row r="439" spans="9:14" x14ac:dyDescent="0.3">
      <c r="I439">
        <v>2</v>
      </c>
      <c r="J439" t="str">
        <f>_xlfn.XLOOKUP(I439,[1]Dates!$A$2:$A$181,[1]Dates!$B$2:$B$181)</f>
        <v>2024-01-03</v>
      </c>
      <c r="K439">
        <f t="shared" si="18"/>
        <v>2024</v>
      </c>
      <c r="L439">
        <f t="shared" si="19"/>
        <v>1</v>
      </c>
      <c r="M439">
        <f t="shared" si="20"/>
        <v>3</v>
      </c>
      <c r="N439">
        <f>[1]Transactions!J439*[1]Transactions!K439</f>
        <v>105570</v>
      </c>
    </row>
    <row r="440" spans="9:14" x14ac:dyDescent="0.3">
      <c r="I440">
        <v>109</v>
      </c>
      <c r="J440" t="str">
        <f>_xlfn.XLOOKUP(I440,[1]Dates!$A$2:$A$181,[1]Dates!$B$2:$B$181)</f>
        <v>2024-04-19</v>
      </c>
      <c r="K440">
        <f t="shared" si="18"/>
        <v>2024</v>
      </c>
      <c r="L440">
        <f t="shared" si="19"/>
        <v>4</v>
      </c>
      <c r="M440">
        <f t="shared" si="20"/>
        <v>19</v>
      </c>
      <c r="N440">
        <f>[1]Transactions!J440*[1]Transactions!K440</f>
        <v>7248</v>
      </c>
    </row>
    <row r="441" spans="9:14" x14ac:dyDescent="0.3">
      <c r="I441">
        <v>170</v>
      </c>
      <c r="J441" t="str">
        <f>_xlfn.XLOOKUP(I441,[1]Dates!$A$2:$A$181,[1]Dates!$B$2:$B$181)</f>
        <v>2024-06-19</v>
      </c>
      <c r="K441">
        <f t="shared" si="18"/>
        <v>2024</v>
      </c>
      <c r="L441">
        <f t="shared" si="19"/>
        <v>6</v>
      </c>
      <c r="M441">
        <f t="shared" si="20"/>
        <v>19</v>
      </c>
      <c r="N441">
        <f>[1]Transactions!J441*[1]Transactions!K441</f>
        <v>7290</v>
      </c>
    </row>
    <row r="442" spans="9:14" x14ac:dyDescent="0.3">
      <c r="I442">
        <v>122</v>
      </c>
      <c r="J442" t="str">
        <f>_xlfn.XLOOKUP(I442,[1]Dates!$A$2:$A$181,[1]Dates!$B$2:$B$181)</f>
        <v>2024-05-02</v>
      </c>
      <c r="K442">
        <f t="shared" si="18"/>
        <v>2024</v>
      </c>
      <c r="L442">
        <f t="shared" si="19"/>
        <v>5</v>
      </c>
      <c r="M442">
        <f t="shared" si="20"/>
        <v>2</v>
      </c>
      <c r="N442">
        <f>[1]Transactions!J442*[1]Transactions!K442</f>
        <v>3848</v>
      </c>
    </row>
    <row r="443" spans="9:14" x14ac:dyDescent="0.3">
      <c r="I443">
        <v>131</v>
      </c>
      <c r="J443" t="str">
        <f>_xlfn.XLOOKUP(I443,[1]Dates!$A$2:$A$181,[1]Dates!$B$2:$B$181)</f>
        <v>2024-05-11</v>
      </c>
      <c r="K443">
        <f t="shared" si="18"/>
        <v>2024</v>
      </c>
      <c r="L443">
        <f t="shared" si="19"/>
        <v>5</v>
      </c>
      <c r="M443">
        <f t="shared" si="20"/>
        <v>11</v>
      </c>
      <c r="N443">
        <f>[1]Transactions!J443*[1]Transactions!K443</f>
        <v>4428</v>
      </c>
    </row>
    <row r="444" spans="9:14" x14ac:dyDescent="0.3">
      <c r="I444">
        <v>173</v>
      </c>
      <c r="J444" t="str">
        <f>_xlfn.XLOOKUP(I444,[1]Dates!$A$2:$A$181,[1]Dates!$B$2:$B$181)</f>
        <v>2024-06-22</v>
      </c>
      <c r="K444">
        <f t="shared" si="18"/>
        <v>2024</v>
      </c>
      <c r="L444">
        <f t="shared" si="19"/>
        <v>6</v>
      </c>
      <c r="M444">
        <f t="shared" si="20"/>
        <v>22</v>
      </c>
      <c r="N444">
        <f>[1]Transactions!J444*[1]Transactions!K444</f>
        <v>30228</v>
      </c>
    </row>
    <row r="445" spans="9:14" x14ac:dyDescent="0.3">
      <c r="I445">
        <v>121</v>
      </c>
      <c r="J445" t="str">
        <f>_xlfn.XLOOKUP(I445,[1]Dates!$A$2:$A$181,[1]Dates!$B$2:$B$181)</f>
        <v>2024-05-01</v>
      </c>
      <c r="K445">
        <f t="shared" si="18"/>
        <v>2024</v>
      </c>
      <c r="L445">
        <f t="shared" si="19"/>
        <v>5</v>
      </c>
      <c r="M445">
        <f t="shared" si="20"/>
        <v>1</v>
      </c>
      <c r="N445">
        <f>[1]Transactions!J445*[1]Transactions!K445</f>
        <v>1216</v>
      </c>
    </row>
    <row r="446" spans="9:14" x14ac:dyDescent="0.3">
      <c r="I446">
        <v>145</v>
      </c>
      <c r="J446" t="str">
        <f>_xlfn.XLOOKUP(I446,[1]Dates!$A$2:$A$181,[1]Dates!$B$2:$B$181)</f>
        <v>2024-05-25</v>
      </c>
      <c r="K446">
        <f t="shared" si="18"/>
        <v>2024</v>
      </c>
      <c r="L446">
        <f t="shared" si="19"/>
        <v>5</v>
      </c>
      <c r="M446">
        <f t="shared" si="20"/>
        <v>25</v>
      </c>
      <c r="N446">
        <f>[1]Transactions!J446*[1]Transactions!K446</f>
        <v>57780</v>
      </c>
    </row>
    <row r="447" spans="9:14" x14ac:dyDescent="0.3">
      <c r="I447">
        <v>93</v>
      </c>
      <c r="J447" t="str">
        <f>_xlfn.XLOOKUP(I447,[1]Dates!$A$2:$A$181,[1]Dates!$B$2:$B$181)</f>
        <v>2024-04-03</v>
      </c>
      <c r="K447">
        <f t="shared" si="18"/>
        <v>2024</v>
      </c>
      <c r="L447">
        <f t="shared" si="19"/>
        <v>4</v>
      </c>
      <c r="M447">
        <f t="shared" si="20"/>
        <v>3</v>
      </c>
      <c r="N447">
        <f>[1]Transactions!J447*[1]Transactions!K447</f>
        <v>24912</v>
      </c>
    </row>
    <row r="448" spans="9:14" x14ac:dyDescent="0.3">
      <c r="I448">
        <v>12</v>
      </c>
      <c r="J448" t="str">
        <f>_xlfn.XLOOKUP(I448,[1]Dates!$A$2:$A$181,[1]Dates!$B$2:$B$181)</f>
        <v>2024-01-13</v>
      </c>
      <c r="K448">
        <f t="shared" si="18"/>
        <v>2024</v>
      </c>
      <c r="L448">
        <f t="shared" si="19"/>
        <v>1</v>
      </c>
      <c r="M448">
        <f t="shared" si="20"/>
        <v>13</v>
      </c>
      <c r="N448">
        <f>[1]Transactions!J448*[1]Transactions!K448</f>
        <v>285940</v>
      </c>
    </row>
    <row r="449" spans="9:14" x14ac:dyDescent="0.3">
      <c r="I449">
        <v>116</v>
      </c>
      <c r="J449" t="str">
        <f>_xlfn.XLOOKUP(I449,[1]Dates!$A$2:$A$181,[1]Dates!$B$2:$B$181)</f>
        <v>2024-04-26</v>
      </c>
      <c r="K449">
        <f t="shared" si="18"/>
        <v>2024</v>
      </c>
      <c r="L449">
        <f t="shared" si="19"/>
        <v>4</v>
      </c>
      <c r="M449">
        <f t="shared" si="20"/>
        <v>26</v>
      </c>
      <c r="N449">
        <f>[1]Transactions!J449*[1]Transactions!K449</f>
        <v>12324</v>
      </c>
    </row>
    <row r="450" spans="9:14" x14ac:dyDescent="0.3">
      <c r="I450">
        <v>74</v>
      </c>
      <c r="J450" t="str">
        <f>_xlfn.XLOOKUP(I450,[1]Dates!$A$2:$A$181,[1]Dates!$B$2:$B$181)</f>
        <v>2024-03-15</v>
      </c>
      <c r="K450">
        <f t="shared" si="18"/>
        <v>2024</v>
      </c>
      <c r="L450">
        <f t="shared" si="19"/>
        <v>3</v>
      </c>
      <c r="M450">
        <f t="shared" si="20"/>
        <v>15</v>
      </c>
      <c r="N450">
        <f>[1]Transactions!J450*[1]Transactions!K450</f>
        <v>232650</v>
      </c>
    </row>
    <row r="451" spans="9:14" x14ac:dyDescent="0.3">
      <c r="I451">
        <v>20</v>
      </c>
      <c r="J451" t="str">
        <f>_xlfn.XLOOKUP(I451,[1]Dates!$A$2:$A$181,[1]Dates!$B$2:$B$181)</f>
        <v>2024-01-21</v>
      </c>
      <c r="K451">
        <f t="shared" ref="K451:K501" si="21">YEAR(J451)</f>
        <v>2024</v>
      </c>
      <c r="L451">
        <f t="shared" ref="L451:L501" si="22">MONTH(J451)</f>
        <v>1</v>
      </c>
      <c r="M451">
        <f t="shared" ref="M451:M501" si="23">DAY(J451)</f>
        <v>21</v>
      </c>
      <c r="N451">
        <f>[1]Transactions!J451*[1]Transactions!K451</f>
        <v>29187</v>
      </c>
    </row>
    <row r="452" spans="9:14" x14ac:dyDescent="0.3">
      <c r="I452">
        <v>102</v>
      </c>
      <c r="J452" t="str">
        <f>_xlfn.XLOOKUP(I452,[1]Dates!$A$2:$A$181,[1]Dates!$B$2:$B$181)</f>
        <v>2024-04-12</v>
      </c>
      <c r="K452">
        <f t="shared" si="21"/>
        <v>2024</v>
      </c>
      <c r="L452">
        <f t="shared" si="22"/>
        <v>4</v>
      </c>
      <c r="M452">
        <f t="shared" si="23"/>
        <v>12</v>
      </c>
      <c r="N452">
        <f>[1]Transactions!J452*[1]Transactions!K452</f>
        <v>195825</v>
      </c>
    </row>
    <row r="453" spans="9:14" x14ac:dyDescent="0.3">
      <c r="I453">
        <v>54</v>
      </c>
      <c r="J453" t="str">
        <f>_xlfn.XLOOKUP(I453,[1]Dates!$A$2:$A$181,[1]Dates!$B$2:$B$181)</f>
        <v>2024-02-24</v>
      </c>
      <c r="K453">
        <f t="shared" si="21"/>
        <v>2024</v>
      </c>
      <c r="L453">
        <f t="shared" si="22"/>
        <v>2</v>
      </c>
      <c r="M453">
        <f t="shared" si="23"/>
        <v>24</v>
      </c>
      <c r="N453">
        <f>[1]Transactions!J453*[1]Transactions!K453</f>
        <v>280</v>
      </c>
    </row>
    <row r="454" spans="9:14" x14ac:dyDescent="0.3">
      <c r="I454">
        <v>166</v>
      </c>
      <c r="J454" t="str">
        <f>_xlfn.XLOOKUP(I454,[1]Dates!$A$2:$A$181,[1]Dates!$B$2:$B$181)</f>
        <v>2024-06-15</v>
      </c>
      <c r="K454">
        <f t="shared" si="21"/>
        <v>2024</v>
      </c>
      <c r="L454">
        <f t="shared" si="22"/>
        <v>6</v>
      </c>
      <c r="M454">
        <f t="shared" si="23"/>
        <v>15</v>
      </c>
      <c r="N454">
        <f>[1]Transactions!J454*[1]Transactions!K454</f>
        <v>37932</v>
      </c>
    </row>
    <row r="455" spans="9:14" x14ac:dyDescent="0.3">
      <c r="I455">
        <v>90</v>
      </c>
      <c r="J455" t="str">
        <f>_xlfn.XLOOKUP(I455,[1]Dates!$A$2:$A$181,[1]Dates!$B$2:$B$181)</f>
        <v>2024-03-31</v>
      </c>
      <c r="K455">
        <f t="shared" si="21"/>
        <v>2024</v>
      </c>
      <c r="L455">
        <f t="shared" si="22"/>
        <v>3</v>
      </c>
      <c r="M455">
        <f t="shared" si="23"/>
        <v>31</v>
      </c>
      <c r="N455">
        <f>[1]Transactions!J455*[1]Transactions!K455</f>
        <v>24400</v>
      </c>
    </row>
    <row r="456" spans="9:14" x14ac:dyDescent="0.3">
      <c r="I456">
        <v>29</v>
      </c>
      <c r="J456" t="str">
        <f>_xlfn.XLOOKUP(I456,[1]Dates!$A$2:$A$181,[1]Dates!$B$2:$B$181)</f>
        <v>2024-01-30</v>
      </c>
      <c r="K456">
        <f t="shared" si="21"/>
        <v>2024</v>
      </c>
      <c r="L456">
        <f t="shared" si="22"/>
        <v>1</v>
      </c>
      <c r="M456">
        <f t="shared" si="23"/>
        <v>30</v>
      </c>
      <c r="N456">
        <f>[1]Transactions!J456*[1]Transactions!K456</f>
        <v>8050</v>
      </c>
    </row>
    <row r="457" spans="9:14" x14ac:dyDescent="0.3">
      <c r="I457">
        <v>89</v>
      </c>
      <c r="J457" t="str">
        <f>_xlfn.XLOOKUP(I457,[1]Dates!$A$2:$A$181,[1]Dates!$B$2:$B$181)</f>
        <v>2024-03-30</v>
      </c>
      <c r="K457">
        <f t="shared" si="21"/>
        <v>2024</v>
      </c>
      <c r="L457">
        <f t="shared" si="22"/>
        <v>3</v>
      </c>
      <c r="M457">
        <f t="shared" si="23"/>
        <v>30</v>
      </c>
      <c r="N457">
        <f>[1]Transactions!J457*[1]Transactions!K457</f>
        <v>64521</v>
      </c>
    </row>
    <row r="458" spans="9:14" x14ac:dyDescent="0.3">
      <c r="I458">
        <v>170</v>
      </c>
      <c r="J458" t="str">
        <f>_xlfn.XLOOKUP(I458,[1]Dates!$A$2:$A$181,[1]Dates!$B$2:$B$181)</f>
        <v>2024-06-19</v>
      </c>
      <c r="K458">
        <f t="shared" si="21"/>
        <v>2024</v>
      </c>
      <c r="L458">
        <f t="shared" si="22"/>
        <v>6</v>
      </c>
      <c r="M458">
        <f t="shared" si="23"/>
        <v>19</v>
      </c>
      <c r="N458">
        <f>[1]Transactions!J458*[1]Transactions!K458</f>
        <v>62784</v>
      </c>
    </row>
    <row r="459" spans="9:14" x14ac:dyDescent="0.3">
      <c r="I459">
        <v>44</v>
      </c>
      <c r="J459" t="str">
        <f>_xlfn.XLOOKUP(I459,[1]Dates!$A$2:$A$181,[1]Dates!$B$2:$B$181)</f>
        <v>2024-02-14</v>
      </c>
      <c r="K459">
        <f t="shared" si="21"/>
        <v>2024</v>
      </c>
      <c r="L459">
        <f t="shared" si="22"/>
        <v>2</v>
      </c>
      <c r="M459">
        <f t="shared" si="23"/>
        <v>14</v>
      </c>
      <c r="N459">
        <f>[1]Transactions!J459*[1]Transactions!K459</f>
        <v>211200</v>
      </c>
    </row>
    <row r="460" spans="9:14" x14ac:dyDescent="0.3">
      <c r="I460">
        <v>115</v>
      </c>
      <c r="J460" t="str">
        <f>_xlfn.XLOOKUP(I460,[1]Dates!$A$2:$A$181,[1]Dates!$B$2:$B$181)</f>
        <v>2024-04-25</v>
      </c>
      <c r="K460">
        <f t="shared" si="21"/>
        <v>2024</v>
      </c>
      <c r="L460">
        <f t="shared" si="22"/>
        <v>4</v>
      </c>
      <c r="M460">
        <f t="shared" si="23"/>
        <v>25</v>
      </c>
      <c r="N460">
        <f>[1]Transactions!J460*[1]Transactions!K460</f>
        <v>63438</v>
      </c>
    </row>
    <row r="461" spans="9:14" x14ac:dyDescent="0.3">
      <c r="I461">
        <v>59</v>
      </c>
      <c r="J461" t="str">
        <f>_xlfn.XLOOKUP(I461,[1]Dates!$A$2:$A$181,[1]Dates!$B$2:$B$181)</f>
        <v>2024-02-29</v>
      </c>
      <c r="K461">
        <f t="shared" si="21"/>
        <v>2024</v>
      </c>
      <c r="L461">
        <f t="shared" si="22"/>
        <v>2</v>
      </c>
      <c r="M461">
        <f t="shared" si="23"/>
        <v>29</v>
      </c>
      <c r="N461">
        <f>[1]Transactions!J461*[1]Transactions!K461</f>
        <v>136000</v>
      </c>
    </row>
    <row r="462" spans="9:14" x14ac:dyDescent="0.3">
      <c r="I462">
        <v>173</v>
      </c>
      <c r="J462" t="str">
        <f>_xlfn.XLOOKUP(I462,[1]Dates!$A$2:$A$181,[1]Dates!$B$2:$B$181)</f>
        <v>2024-06-22</v>
      </c>
      <c r="K462">
        <f t="shared" si="21"/>
        <v>2024</v>
      </c>
      <c r="L462">
        <f t="shared" si="22"/>
        <v>6</v>
      </c>
      <c r="M462">
        <f t="shared" si="23"/>
        <v>22</v>
      </c>
      <c r="N462">
        <f>[1]Transactions!J462*[1]Transactions!K462</f>
        <v>85968</v>
      </c>
    </row>
    <row r="463" spans="9:14" x14ac:dyDescent="0.3">
      <c r="I463">
        <v>51</v>
      </c>
      <c r="J463" t="str">
        <f>_xlfn.XLOOKUP(I463,[1]Dates!$A$2:$A$181,[1]Dates!$B$2:$B$181)</f>
        <v>2024-02-21</v>
      </c>
      <c r="K463">
        <f t="shared" si="21"/>
        <v>2024</v>
      </c>
      <c r="L463">
        <f t="shared" si="22"/>
        <v>2</v>
      </c>
      <c r="M463">
        <f t="shared" si="23"/>
        <v>21</v>
      </c>
      <c r="N463">
        <f>[1]Transactions!J463*[1]Transactions!K463</f>
        <v>7505</v>
      </c>
    </row>
    <row r="464" spans="9:14" x14ac:dyDescent="0.3">
      <c r="I464">
        <v>54</v>
      </c>
      <c r="J464" t="str">
        <f>_xlfn.XLOOKUP(I464,[1]Dates!$A$2:$A$181,[1]Dates!$B$2:$B$181)</f>
        <v>2024-02-24</v>
      </c>
      <c r="K464">
        <f t="shared" si="21"/>
        <v>2024</v>
      </c>
      <c r="L464">
        <f t="shared" si="22"/>
        <v>2</v>
      </c>
      <c r="M464">
        <f t="shared" si="23"/>
        <v>24</v>
      </c>
      <c r="N464">
        <f>[1]Transactions!J464*[1]Transactions!K464</f>
        <v>278388</v>
      </c>
    </row>
    <row r="465" spans="9:14" x14ac:dyDescent="0.3">
      <c r="I465">
        <v>171</v>
      </c>
      <c r="J465" t="str">
        <f>_xlfn.XLOOKUP(I465,[1]Dates!$A$2:$A$181,[1]Dates!$B$2:$B$181)</f>
        <v>2024-06-20</v>
      </c>
      <c r="K465">
        <f t="shared" si="21"/>
        <v>2024</v>
      </c>
      <c r="L465">
        <f t="shared" si="22"/>
        <v>6</v>
      </c>
      <c r="M465">
        <f t="shared" si="23"/>
        <v>20</v>
      </c>
      <c r="N465">
        <f>[1]Transactions!J465*[1]Transactions!K465</f>
        <v>38796</v>
      </c>
    </row>
    <row r="466" spans="9:14" x14ac:dyDescent="0.3">
      <c r="I466">
        <v>95</v>
      </c>
      <c r="J466" t="str">
        <f>_xlfn.XLOOKUP(I466,[1]Dates!$A$2:$A$181,[1]Dates!$B$2:$B$181)</f>
        <v>2024-04-05</v>
      </c>
      <c r="K466">
        <f t="shared" si="21"/>
        <v>2024</v>
      </c>
      <c r="L466">
        <f t="shared" si="22"/>
        <v>4</v>
      </c>
      <c r="M466">
        <f t="shared" si="23"/>
        <v>5</v>
      </c>
      <c r="N466">
        <f>[1]Transactions!J466*[1]Transactions!K466</f>
        <v>21590</v>
      </c>
    </row>
    <row r="467" spans="9:14" x14ac:dyDescent="0.3">
      <c r="I467">
        <v>50</v>
      </c>
      <c r="J467" t="str">
        <f>_xlfn.XLOOKUP(I467,[1]Dates!$A$2:$A$181,[1]Dates!$B$2:$B$181)</f>
        <v>2024-02-20</v>
      </c>
      <c r="K467">
        <f t="shared" si="21"/>
        <v>2024</v>
      </c>
      <c r="L467">
        <f t="shared" si="22"/>
        <v>2</v>
      </c>
      <c r="M467">
        <f t="shared" si="23"/>
        <v>20</v>
      </c>
      <c r="N467">
        <f>[1]Transactions!J467*[1]Transactions!K467</f>
        <v>56430</v>
      </c>
    </row>
    <row r="468" spans="9:14" x14ac:dyDescent="0.3">
      <c r="I468">
        <v>177</v>
      </c>
      <c r="J468" t="str">
        <f>_xlfn.XLOOKUP(I468,[1]Dates!$A$2:$A$181,[1]Dates!$B$2:$B$181)</f>
        <v>2024-06-26</v>
      </c>
      <c r="K468">
        <f t="shared" si="21"/>
        <v>2024</v>
      </c>
      <c r="L468">
        <f t="shared" si="22"/>
        <v>6</v>
      </c>
      <c r="M468">
        <f t="shared" si="23"/>
        <v>26</v>
      </c>
      <c r="N468">
        <f>[1]Transactions!J468*[1]Transactions!K468</f>
        <v>69530</v>
      </c>
    </row>
    <row r="469" spans="9:14" x14ac:dyDescent="0.3">
      <c r="I469">
        <v>81</v>
      </c>
      <c r="J469" t="str">
        <f>_xlfn.XLOOKUP(I469,[1]Dates!$A$2:$A$181,[1]Dates!$B$2:$B$181)</f>
        <v>2024-03-22</v>
      </c>
      <c r="K469">
        <f t="shared" si="21"/>
        <v>2024</v>
      </c>
      <c r="L469">
        <f t="shared" si="22"/>
        <v>3</v>
      </c>
      <c r="M469">
        <f t="shared" si="23"/>
        <v>22</v>
      </c>
      <c r="N469">
        <f>[1]Transactions!J469*[1]Transactions!K469</f>
        <v>226176</v>
      </c>
    </row>
    <row r="470" spans="9:14" x14ac:dyDescent="0.3">
      <c r="I470">
        <v>45</v>
      </c>
      <c r="J470" t="str">
        <f>_xlfn.XLOOKUP(I470,[1]Dates!$A$2:$A$181,[1]Dates!$B$2:$B$181)</f>
        <v>2024-02-15</v>
      </c>
      <c r="K470">
        <f t="shared" si="21"/>
        <v>2024</v>
      </c>
      <c r="L470">
        <f t="shared" si="22"/>
        <v>2</v>
      </c>
      <c r="M470">
        <f t="shared" si="23"/>
        <v>15</v>
      </c>
      <c r="N470">
        <f>[1]Transactions!J470*[1]Transactions!K470</f>
        <v>4160</v>
      </c>
    </row>
    <row r="471" spans="9:14" x14ac:dyDescent="0.3">
      <c r="I471">
        <v>15</v>
      </c>
      <c r="J471" t="str">
        <f>_xlfn.XLOOKUP(I471,[1]Dates!$A$2:$A$181,[1]Dates!$B$2:$B$181)</f>
        <v>2024-01-16</v>
      </c>
      <c r="K471">
        <f t="shared" si="21"/>
        <v>2024</v>
      </c>
      <c r="L471">
        <f t="shared" si="22"/>
        <v>1</v>
      </c>
      <c r="M471">
        <f t="shared" si="23"/>
        <v>16</v>
      </c>
      <c r="N471">
        <f>[1]Transactions!J471*[1]Transactions!K471</f>
        <v>213144</v>
      </c>
    </row>
    <row r="472" spans="9:14" x14ac:dyDescent="0.3">
      <c r="I472">
        <v>103</v>
      </c>
      <c r="J472" t="str">
        <f>_xlfn.XLOOKUP(I472,[1]Dates!$A$2:$A$181,[1]Dates!$B$2:$B$181)</f>
        <v>2024-04-13</v>
      </c>
      <c r="K472">
        <f t="shared" si="21"/>
        <v>2024</v>
      </c>
      <c r="L472">
        <f t="shared" si="22"/>
        <v>4</v>
      </c>
      <c r="M472">
        <f t="shared" si="23"/>
        <v>13</v>
      </c>
      <c r="N472">
        <f>[1]Transactions!J472*[1]Transactions!K472</f>
        <v>8600</v>
      </c>
    </row>
    <row r="473" spans="9:14" x14ac:dyDescent="0.3">
      <c r="I473">
        <v>180</v>
      </c>
      <c r="J473" t="str">
        <f>_xlfn.XLOOKUP(I473,[1]Dates!$A$2:$A$181,[1]Dates!$B$2:$B$181)</f>
        <v>2024-06-29</v>
      </c>
      <c r="K473">
        <f t="shared" si="21"/>
        <v>2024</v>
      </c>
      <c r="L473">
        <f t="shared" si="22"/>
        <v>6</v>
      </c>
      <c r="M473">
        <f t="shared" si="23"/>
        <v>29</v>
      </c>
      <c r="N473">
        <f>[1]Transactions!J473*[1]Transactions!K473</f>
        <v>8991</v>
      </c>
    </row>
    <row r="474" spans="9:14" x14ac:dyDescent="0.3">
      <c r="I474">
        <v>147</v>
      </c>
      <c r="J474" t="str">
        <f>_xlfn.XLOOKUP(I474,[1]Dates!$A$2:$A$181,[1]Dates!$B$2:$B$181)</f>
        <v>2024-05-27</v>
      </c>
      <c r="K474">
        <f t="shared" si="21"/>
        <v>2024</v>
      </c>
      <c r="L474">
        <f t="shared" si="22"/>
        <v>5</v>
      </c>
      <c r="M474">
        <f t="shared" si="23"/>
        <v>27</v>
      </c>
      <c r="N474">
        <f>[1]Transactions!J474*[1]Transactions!K474</f>
        <v>9408</v>
      </c>
    </row>
    <row r="475" spans="9:14" x14ac:dyDescent="0.3">
      <c r="I475">
        <v>142</v>
      </c>
      <c r="J475" t="str">
        <f>_xlfn.XLOOKUP(I475,[1]Dates!$A$2:$A$181,[1]Dates!$B$2:$B$181)</f>
        <v>2024-05-22</v>
      </c>
      <c r="K475">
        <f t="shared" si="21"/>
        <v>2024</v>
      </c>
      <c r="L475">
        <f t="shared" si="22"/>
        <v>5</v>
      </c>
      <c r="M475">
        <f t="shared" si="23"/>
        <v>22</v>
      </c>
      <c r="N475">
        <f>[1]Transactions!J475*[1]Transactions!K475</f>
        <v>3878</v>
      </c>
    </row>
    <row r="476" spans="9:14" x14ac:dyDescent="0.3">
      <c r="I476">
        <v>135</v>
      </c>
      <c r="J476" t="str">
        <f>_xlfn.XLOOKUP(I476,[1]Dates!$A$2:$A$181,[1]Dates!$B$2:$B$181)</f>
        <v>2024-05-15</v>
      </c>
      <c r="K476">
        <f t="shared" si="21"/>
        <v>2024</v>
      </c>
      <c r="L476">
        <f t="shared" si="22"/>
        <v>5</v>
      </c>
      <c r="M476">
        <f t="shared" si="23"/>
        <v>15</v>
      </c>
      <c r="N476">
        <f>[1]Transactions!J476*[1]Transactions!K476</f>
        <v>125660</v>
      </c>
    </row>
    <row r="477" spans="9:14" x14ac:dyDescent="0.3">
      <c r="I477">
        <v>138</v>
      </c>
      <c r="J477" t="str">
        <f>_xlfn.XLOOKUP(I477,[1]Dates!$A$2:$A$181,[1]Dates!$B$2:$B$181)</f>
        <v>2024-05-18</v>
      </c>
      <c r="K477">
        <f t="shared" si="21"/>
        <v>2024</v>
      </c>
      <c r="L477">
        <f t="shared" si="22"/>
        <v>5</v>
      </c>
      <c r="M477">
        <f t="shared" si="23"/>
        <v>18</v>
      </c>
      <c r="N477">
        <f>[1]Transactions!J477*[1]Transactions!K477</f>
        <v>136940</v>
      </c>
    </row>
    <row r="478" spans="9:14" x14ac:dyDescent="0.3">
      <c r="I478">
        <v>88</v>
      </c>
      <c r="J478" t="str">
        <f>_xlfn.XLOOKUP(I478,[1]Dates!$A$2:$A$181,[1]Dates!$B$2:$B$181)</f>
        <v>2024-03-29</v>
      </c>
      <c r="K478">
        <f t="shared" si="21"/>
        <v>2024</v>
      </c>
      <c r="L478">
        <f t="shared" si="22"/>
        <v>3</v>
      </c>
      <c r="M478">
        <f t="shared" si="23"/>
        <v>29</v>
      </c>
      <c r="N478">
        <f>[1]Transactions!J478*[1]Transactions!K478</f>
        <v>40908</v>
      </c>
    </row>
    <row r="479" spans="9:14" x14ac:dyDescent="0.3">
      <c r="I479">
        <v>34</v>
      </c>
      <c r="J479" t="str">
        <f>_xlfn.XLOOKUP(I479,[1]Dates!$A$2:$A$181,[1]Dates!$B$2:$B$181)</f>
        <v>2024-02-04</v>
      </c>
      <c r="K479">
        <f t="shared" si="21"/>
        <v>2024</v>
      </c>
      <c r="L479">
        <f t="shared" si="22"/>
        <v>2</v>
      </c>
      <c r="M479">
        <f t="shared" si="23"/>
        <v>4</v>
      </c>
      <c r="N479">
        <f>[1]Transactions!J479*[1]Transactions!K479</f>
        <v>40825</v>
      </c>
    </row>
    <row r="480" spans="9:14" x14ac:dyDescent="0.3">
      <c r="I480">
        <v>157</v>
      </c>
      <c r="J480" t="str">
        <f>_xlfn.XLOOKUP(I480,[1]Dates!$A$2:$A$181,[1]Dates!$B$2:$B$181)</f>
        <v>2024-06-06</v>
      </c>
      <c r="K480">
        <f t="shared" si="21"/>
        <v>2024</v>
      </c>
      <c r="L480">
        <f t="shared" si="22"/>
        <v>6</v>
      </c>
      <c r="M480">
        <f t="shared" si="23"/>
        <v>6</v>
      </c>
      <c r="N480">
        <f>[1]Transactions!J480*[1]Transactions!K480</f>
        <v>8525</v>
      </c>
    </row>
    <row r="481" spans="9:14" x14ac:dyDescent="0.3">
      <c r="I481">
        <v>116</v>
      </c>
      <c r="J481" t="str">
        <f>_xlfn.XLOOKUP(I481,[1]Dates!$A$2:$A$181,[1]Dates!$B$2:$B$181)</f>
        <v>2024-04-26</v>
      </c>
      <c r="K481">
        <f t="shared" si="21"/>
        <v>2024</v>
      </c>
      <c r="L481">
        <f t="shared" si="22"/>
        <v>4</v>
      </c>
      <c r="M481">
        <f t="shared" si="23"/>
        <v>26</v>
      </c>
      <c r="N481">
        <f>[1]Transactions!J481*[1]Transactions!K481</f>
        <v>144500</v>
      </c>
    </row>
    <row r="482" spans="9:14" x14ac:dyDescent="0.3">
      <c r="I482">
        <v>131</v>
      </c>
      <c r="J482" t="str">
        <f>_xlfn.XLOOKUP(I482,[1]Dates!$A$2:$A$181,[1]Dates!$B$2:$B$181)</f>
        <v>2024-05-11</v>
      </c>
      <c r="K482">
        <f t="shared" si="21"/>
        <v>2024</v>
      </c>
      <c r="L482">
        <f t="shared" si="22"/>
        <v>5</v>
      </c>
      <c r="M482">
        <f t="shared" si="23"/>
        <v>11</v>
      </c>
      <c r="N482">
        <f>[1]Transactions!J482*[1]Transactions!K482</f>
        <v>76857</v>
      </c>
    </row>
    <row r="483" spans="9:14" x14ac:dyDescent="0.3">
      <c r="I483">
        <v>157</v>
      </c>
      <c r="J483" t="str">
        <f>_xlfn.XLOOKUP(I483,[1]Dates!$A$2:$A$181,[1]Dates!$B$2:$B$181)</f>
        <v>2024-06-06</v>
      </c>
      <c r="K483">
        <f t="shared" si="21"/>
        <v>2024</v>
      </c>
      <c r="L483">
        <f t="shared" si="22"/>
        <v>6</v>
      </c>
      <c r="M483">
        <f t="shared" si="23"/>
        <v>6</v>
      </c>
      <c r="N483">
        <f>[1]Transactions!J483*[1]Transactions!K483</f>
        <v>13790</v>
      </c>
    </row>
    <row r="484" spans="9:14" x14ac:dyDescent="0.3">
      <c r="I484">
        <v>44</v>
      </c>
      <c r="J484" t="str">
        <f>_xlfn.XLOOKUP(I484,[1]Dates!$A$2:$A$181,[1]Dates!$B$2:$B$181)</f>
        <v>2024-02-14</v>
      </c>
      <c r="K484">
        <f t="shared" si="21"/>
        <v>2024</v>
      </c>
      <c r="L484">
        <f t="shared" si="22"/>
        <v>2</v>
      </c>
      <c r="M484">
        <f t="shared" si="23"/>
        <v>14</v>
      </c>
      <c r="N484">
        <f>[1]Transactions!J484*[1]Transactions!K484</f>
        <v>24940</v>
      </c>
    </row>
    <row r="485" spans="9:14" x14ac:dyDescent="0.3">
      <c r="I485">
        <v>28</v>
      </c>
      <c r="J485" t="str">
        <f>_xlfn.XLOOKUP(I485,[1]Dates!$A$2:$A$181,[1]Dates!$B$2:$B$181)</f>
        <v>2024-01-29</v>
      </c>
      <c r="K485">
        <f t="shared" si="21"/>
        <v>2024</v>
      </c>
      <c r="L485">
        <f t="shared" si="22"/>
        <v>1</v>
      </c>
      <c r="M485">
        <f t="shared" si="23"/>
        <v>29</v>
      </c>
      <c r="N485">
        <f>[1]Transactions!J485*[1]Transactions!K485</f>
        <v>162680</v>
      </c>
    </row>
    <row r="486" spans="9:14" x14ac:dyDescent="0.3">
      <c r="I486">
        <v>17</v>
      </c>
      <c r="J486" t="str">
        <f>_xlfn.XLOOKUP(I486,[1]Dates!$A$2:$A$181,[1]Dates!$B$2:$B$181)</f>
        <v>2024-01-18</v>
      </c>
      <c r="K486">
        <f t="shared" si="21"/>
        <v>2024</v>
      </c>
      <c r="L486">
        <f t="shared" si="22"/>
        <v>1</v>
      </c>
      <c r="M486">
        <f t="shared" si="23"/>
        <v>18</v>
      </c>
      <c r="N486">
        <f>[1]Transactions!J486*[1]Transactions!K486</f>
        <v>123984</v>
      </c>
    </row>
    <row r="487" spans="9:14" x14ac:dyDescent="0.3">
      <c r="I487">
        <v>152</v>
      </c>
      <c r="J487" t="str">
        <f>_xlfn.XLOOKUP(I487,[1]Dates!$A$2:$A$181,[1]Dates!$B$2:$B$181)</f>
        <v>2024-06-01</v>
      </c>
      <c r="K487">
        <f t="shared" si="21"/>
        <v>2024</v>
      </c>
      <c r="L487">
        <f t="shared" si="22"/>
        <v>6</v>
      </c>
      <c r="M487">
        <f t="shared" si="23"/>
        <v>1</v>
      </c>
      <c r="N487">
        <f>[1]Transactions!J487*[1]Transactions!K487</f>
        <v>6440</v>
      </c>
    </row>
    <row r="488" spans="9:14" x14ac:dyDescent="0.3">
      <c r="I488">
        <v>15</v>
      </c>
      <c r="J488" t="str">
        <f>_xlfn.XLOOKUP(I488,[1]Dates!$A$2:$A$181,[1]Dates!$B$2:$B$181)</f>
        <v>2024-01-16</v>
      </c>
      <c r="K488">
        <f t="shared" si="21"/>
        <v>2024</v>
      </c>
      <c r="L488">
        <f t="shared" si="22"/>
        <v>1</v>
      </c>
      <c r="M488">
        <f t="shared" si="23"/>
        <v>16</v>
      </c>
      <c r="N488">
        <f>[1]Transactions!J488*[1]Transactions!K488</f>
        <v>33210</v>
      </c>
    </row>
    <row r="489" spans="9:14" x14ac:dyDescent="0.3">
      <c r="I489">
        <v>54</v>
      </c>
      <c r="J489" t="str">
        <f>_xlfn.XLOOKUP(I489,[1]Dates!$A$2:$A$181,[1]Dates!$B$2:$B$181)</f>
        <v>2024-02-24</v>
      </c>
      <c r="K489">
        <f t="shared" si="21"/>
        <v>2024</v>
      </c>
      <c r="L489">
        <f t="shared" si="22"/>
        <v>2</v>
      </c>
      <c r="M489">
        <f t="shared" si="23"/>
        <v>24</v>
      </c>
      <c r="N489">
        <f>[1]Transactions!J489*[1]Transactions!K489</f>
        <v>10638</v>
      </c>
    </row>
    <row r="490" spans="9:14" x14ac:dyDescent="0.3">
      <c r="I490">
        <v>76</v>
      </c>
      <c r="J490" t="str">
        <f>_xlfn.XLOOKUP(I490,[1]Dates!$A$2:$A$181,[1]Dates!$B$2:$B$181)</f>
        <v>2024-03-17</v>
      </c>
      <c r="K490">
        <f t="shared" si="21"/>
        <v>2024</v>
      </c>
      <c r="L490">
        <f t="shared" si="22"/>
        <v>3</v>
      </c>
      <c r="M490">
        <f t="shared" si="23"/>
        <v>17</v>
      </c>
      <c r="N490">
        <f>[1]Transactions!J490*[1]Transactions!K490</f>
        <v>6450</v>
      </c>
    </row>
    <row r="491" spans="9:14" x14ac:dyDescent="0.3">
      <c r="I491">
        <v>113</v>
      </c>
      <c r="J491" t="str">
        <f>_xlfn.XLOOKUP(I491,[1]Dates!$A$2:$A$181,[1]Dates!$B$2:$B$181)</f>
        <v>2024-04-23</v>
      </c>
      <c r="K491">
        <f t="shared" si="21"/>
        <v>2024</v>
      </c>
      <c r="L491">
        <f t="shared" si="22"/>
        <v>4</v>
      </c>
      <c r="M491">
        <f t="shared" si="23"/>
        <v>23</v>
      </c>
      <c r="N491">
        <f>[1]Transactions!J491*[1]Transactions!K491</f>
        <v>8601</v>
      </c>
    </row>
    <row r="492" spans="9:14" x14ac:dyDescent="0.3">
      <c r="I492">
        <v>100</v>
      </c>
      <c r="J492" t="str">
        <f>_xlfn.XLOOKUP(I492,[1]Dates!$A$2:$A$181,[1]Dates!$B$2:$B$181)</f>
        <v>2024-04-10</v>
      </c>
      <c r="K492">
        <f t="shared" si="21"/>
        <v>2024</v>
      </c>
      <c r="L492">
        <f t="shared" si="22"/>
        <v>4</v>
      </c>
      <c r="M492">
        <f t="shared" si="23"/>
        <v>10</v>
      </c>
      <c r="N492">
        <f>[1]Transactions!J492*[1]Transactions!K492</f>
        <v>3930</v>
      </c>
    </row>
    <row r="493" spans="9:14" x14ac:dyDescent="0.3">
      <c r="I493">
        <v>54</v>
      </c>
      <c r="J493" t="str">
        <f>_xlfn.XLOOKUP(I493,[1]Dates!$A$2:$A$181,[1]Dates!$B$2:$B$181)</f>
        <v>2024-02-24</v>
      </c>
      <c r="K493">
        <f t="shared" si="21"/>
        <v>2024</v>
      </c>
      <c r="L493">
        <f t="shared" si="22"/>
        <v>2</v>
      </c>
      <c r="M493">
        <f t="shared" si="23"/>
        <v>24</v>
      </c>
      <c r="N493">
        <f>[1]Transactions!J493*[1]Transactions!K493</f>
        <v>100926</v>
      </c>
    </row>
    <row r="494" spans="9:14" x14ac:dyDescent="0.3">
      <c r="I494">
        <v>22</v>
      </c>
      <c r="J494" t="str">
        <f>_xlfn.XLOOKUP(I494,[1]Dates!$A$2:$A$181,[1]Dates!$B$2:$B$181)</f>
        <v>2024-01-23</v>
      </c>
      <c r="K494">
        <f t="shared" si="21"/>
        <v>2024</v>
      </c>
      <c r="L494">
        <f t="shared" si="22"/>
        <v>1</v>
      </c>
      <c r="M494">
        <f t="shared" si="23"/>
        <v>23</v>
      </c>
      <c r="N494">
        <f>[1]Transactions!J494*[1]Transactions!K494</f>
        <v>14552</v>
      </c>
    </row>
    <row r="495" spans="9:14" x14ac:dyDescent="0.3">
      <c r="I495">
        <v>107</v>
      </c>
      <c r="J495" t="str">
        <f>_xlfn.XLOOKUP(I495,[1]Dates!$A$2:$A$181,[1]Dates!$B$2:$B$181)</f>
        <v>2024-04-17</v>
      </c>
      <c r="K495">
        <f t="shared" si="21"/>
        <v>2024</v>
      </c>
      <c r="L495">
        <f t="shared" si="22"/>
        <v>4</v>
      </c>
      <c r="M495">
        <f t="shared" si="23"/>
        <v>17</v>
      </c>
      <c r="N495">
        <f>[1]Transactions!J495*[1]Transactions!K495</f>
        <v>16170</v>
      </c>
    </row>
    <row r="496" spans="9:14" x14ac:dyDescent="0.3">
      <c r="I496">
        <v>141</v>
      </c>
      <c r="J496" t="str">
        <f>_xlfn.XLOOKUP(I496,[1]Dates!$A$2:$A$181,[1]Dates!$B$2:$B$181)</f>
        <v>2024-05-21</v>
      </c>
      <c r="K496">
        <f t="shared" si="21"/>
        <v>2024</v>
      </c>
      <c r="L496">
        <f t="shared" si="22"/>
        <v>5</v>
      </c>
      <c r="M496">
        <f t="shared" si="23"/>
        <v>21</v>
      </c>
      <c r="N496">
        <f>[1]Transactions!J496*[1]Transactions!K496</f>
        <v>105075</v>
      </c>
    </row>
    <row r="497" spans="9:14" x14ac:dyDescent="0.3">
      <c r="I497">
        <v>143</v>
      </c>
      <c r="J497" t="str">
        <f>_xlfn.XLOOKUP(I497,[1]Dates!$A$2:$A$181,[1]Dates!$B$2:$B$181)</f>
        <v>2024-05-23</v>
      </c>
      <c r="K497">
        <f t="shared" si="21"/>
        <v>2024</v>
      </c>
      <c r="L497">
        <f t="shared" si="22"/>
        <v>5</v>
      </c>
      <c r="M497">
        <f t="shared" si="23"/>
        <v>23</v>
      </c>
      <c r="N497">
        <f>[1]Transactions!J497*[1]Transactions!K497</f>
        <v>94640</v>
      </c>
    </row>
    <row r="498" spans="9:14" x14ac:dyDescent="0.3">
      <c r="I498">
        <v>163</v>
      </c>
      <c r="J498" t="str">
        <f>_xlfn.XLOOKUP(I498,[1]Dates!$A$2:$A$181,[1]Dates!$B$2:$B$181)</f>
        <v>2024-06-12</v>
      </c>
      <c r="K498">
        <f t="shared" si="21"/>
        <v>2024</v>
      </c>
      <c r="L498">
        <f t="shared" si="22"/>
        <v>6</v>
      </c>
      <c r="M498">
        <f t="shared" si="23"/>
        <v>12</v>
      </c>
      <c r="N498">
        <f>[1]Transactions!J498*[1]Transactions!K498</f>
        <v>292100</v>
      </c>
    </row>
    <row r="499" spans="9:14" x14ac:dyDescent="0.3">
      <c r="I499">
        <v>129</v>
      </c>
      <c r="J499" t="str">
        <f>_xlfn.XLOOKUP(I499,[1]Dates!$A$2:$A$181,[1]Dates!$B$2:$B$181)</f>
        <v>2024-05-09</v>
      </c>
      <c r="K499">
        <f t="shared" si="21"/>
        <v>2024</v>
      </c>
      <c r="L499">
        <f t="shared" si="22"/>
        <v>5</v>
      </c>
      <c r="M499">
        <f t="shared" si="23"/>
        <v>9</v>
      </c>
      <c r="N499">
        <f>[1]Transactions!J499*[1]Transactions!K499</f>
        <v>34965</v>
      </c>
    </row>
    <row r="500" spans="9:14" x14ac:dyDescent="0.3">
      <c r="I500">
        <v>91</v>
      </c>
      <c r="J500" t="str">
        <f>_xlfn.XLOOKUP(I500,[1]Dates!$A$2:$A$181,[1]Dates!$B$2:$B$181)</f>
        <v>2024-04-01</v>
      </c>
      <c r="K500">
        <f t="shared" si="21"/>
        <v>2024</v>
      </c>
      <c r="L500">
        <f t="shared" si="22"/>
        <v>4</v>
      </c>
      <c r="M500">
        <f t="shared" si="23"/>
        <v>1</v>
      </c>
      <c r="N500">
        <f>[1]Transactions!J500*[1]Transactions!K500</f>
        <v>6039</v>
      </c>
    </row>
    <row r="501" spans="9:14" x14ac:dyDescent="0.3">
      <c r="I501">
        <v>52</v>
      </c>
      <c r="J501" t="str">
        <f>_xlfn.XLOOKUP(I501,[1]Dates!$A$2:$A$181,[1]Dates!$B$2:$B$181)</f>
        <v>2024-02-22</v>
      </c>
      <c r="K501">
        <f t="shared" si="21"/>
        <v>2024</v>
      </c>
      <c r="L501">
        <f t="shared" si="22"/>
        <v>2</v>
      </c>
      <c r="M501">
        <f t="shared" si="23"/>
        <v>22</v>
      </c>
      <c r="N501">
        <f>[1]Transactions!J501*[1]Transactions!K501</f>
        <v>73425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23D5-B8F4-4C31-AC50-168A26269D89}">
  <dimension ref="A1:G101"/>
  <sheetViews>
    <sheetView workbookViewId="0">
      <selection sqref="A1:G101"/>
    </sheetView>
  </sheetViews>
  <sheetFormatPr defaultRowHeight="14.4" x14ac:dyDescent="0.3"/>
  <sheetData>
    <row r="1" spans="1:7" ht="15" thickBot="1" x14ac:dyDescent="0.35">
      <c r="A1" t="s">
        <v>216</v>
      </c>
      <c r="B1" t="s">
        <v>217</v>
      </c>
      <c r="C1" t="s">
        <v>218</v>
      </c>
      <c r="D1" t="s">
        <v>219</v>
      </c>
      <c r="E1" t="s">
        <v>220</v>
      </c>
      <c r="F1" s="1" t="s">
        <v>4</v>
      </c>
      <c r="G1" s="1" t="s">
        <v>13</v>
      </c>
    </row>
    <row r="2" spans="1:7" ht="15" thickTop="1" x14ac:dyDescent="0.3">
      <c r="A2">
        <v>1</v>
      </c>
      <c r="B2" t="s">
        <v>221</v>
      </c>
      <c r="C2" t="s">
        <v>222</v>
      </c>
      <c r="D2" t="s">
        <v>223</v>
      </c>
      <c r="E2">
        <v>68</v>
      </c>
      <c r="F2" s="2">
        <v>26</v>
      </c>
      <c r="G2" s="2">
        <f>[1]Transactions!C2*[1]Transactions!D2</f>
        <v>3040</v>
      </c>
    </row>
    <row r="3" spans="1:7" x14ac:dyDescent="0.3">
      <c r="A3">
        <v>2</v>
      </c>
      <c r="B3" t="s">
        <v>224</v>
      </c>
      <c r="C3" t="s">
        <v>225</v>
      </c>
      <c r="D3" t="s">
        <v>223</v>
      </c>
      <c r="E3">
        <v>223</v>
      </c>
      <c r="F3" s="3">
        <v>22</v>
      </c>
      <c r="G3" s="3">
        <f>[1]Transactions!C3*[1]Transactions!D3</f>
        <v>17280</v>
      </c>
    </row>
    <row r="4" spans="1:7" x14ac:dyDescent="0.3">
      <c r="A4">
        <v>3</v>
      </c>
      <c r="B4" t="s">
        <v>226</v>
      </c>
      <c r="C4" t="s">
        <v>225</v>
      </c>
      <c r="D4" t="s">
        <v>223</v>
      </c>
      <c r="E4">
        <v>357</v>
      </c>
      <c r="F4" s="2">
        <v>2</v>
      </c>
      <c r="G4" s="2">
        <f>[1]Transactions!C4*[1]Transactions!D4</f>
        <v>6888</v>
      </c>
    </row>
    <row r="5" spans="1:7" x14ac:dyDescent="0.3">
      <c r="A5">
        <v>4</v>
      </c>
      <c r="B5" t="s">
        <v>227</v>
      </c>
      <c r="C5" t="s">
        <v>228</v>
      </c>
      <c r="D5" t="s">
        <v>229</v>
      </c>
      <c r="E5">
        <v>459</v>
      </c>
      <c r="F5" s="3">
        <v>26</v>
      </c>
      <c r="G5" s="3">
        <f>[1]Transactions!C5*[1]Transactions!D5</f>
        <v>4346</v>
      </c>
    </row>
    <row r="6" spans="1:7" x14ac:dyDescent="0.3">
      <c r="A6">
        <v>5</v>
      </c>
      <c r="B6" t="s">
        <v>230</v>
      </c>
      <c r="C6" t="s">
        <v>228</v>
      </c>
      <c r="D6" t="s">
        <v>223</v>
      </c>
      <c r="E6">
        <v>127</v>
      </c>
      <c r="F6" s="2">
        <v>12</v>
      </c>
      <c r="G6" s="2">
        <f>[1]Transactions!C6*[1]Transactions!D6</f>
        <v>1445</v>
      </c>
    </row>
    <row r="7" spans="1:7" x14ac:dyDescent="0.3">
      <c r="A7">
        <v>6</v>
      </c>
      <c r="B7" t="s">
        <v>231</v>
      </c>
      <c r="C7" t="s">
        <v>222</v>
      </c>
      <c r="D7" t="s">
        <v>223</v>
      </c>
      <c r="E7">
        <v>492</v>
      </c>
      <c r="F7" s="3">
        <v>22</v>
      </c>
      <c r="G7" s="3">
        <f>[1]Transactions!C7*[1]Transactions!D7</f>
        <v>7332</v>
      </c>
    </row>
    <row r="8" spans="1:7" x14ac:dyDescent="0.3">
      <c r="A8">
        <v>7</v>
      </c>
      <c r="B8" t="s">
        <v>232</v>
      </c>
      <c r="C8" t="s">
        <v>225</v>
      </c>
      <c r="D8" t="s">
        <v>229</v>
      </c>
      <c r="E8">
        <v>65</v>
      </c>
      <c r="F8" s="2">
        <v>17</v>
      </c>
      <c r="G8" s="2">
        <f>[1]Transactions!C8*[1]Transactions!D8</f>
        <v>3528</v>
      </c>
    </row>
    <row r="9" spans="1:7" x14ac:dyDescent="0.3">
      <c r="A9">
        <v>8</v>
      </c>
      <c r="B9" t="s">
        <v>233</v>
      </c>
      <c r="C9" t="s">
        <v>225</v>
      </c>
      <c r="D9" t="s">
        <v>229</v>
      </c>
      <c r="E9">
        <v>293</v>
      </c>
      <c r="F9" s="3">
        <v>21</v>
      </c>
      <c r="G9" s="3">
        <f>[1]Transactions!C9*[1]Transactions!D9</f>
        <v>210</v>
      </c>
    </row>
    <row r="10" spans="1:7" x14ac:dyDescent="0.3">
      <c r="A10">
        <v>9</v>
      </c>
      <c r="B10" t="s">
        <v>234</v>
      </c>
      <c r="C10" t="s">
        <v>235</v>
      </c>
      <c r="D10" t="s">
        <v>223</v>
      </c>
      <c r="E10">
        <v>121</v>
      </c>
      <c r="F10" s="2">
        <v>13</v>
      </c>
      <c r="G10" s="2">
        <f>[1]Transactions!C10*[1]Transactions!D10</f>
        <v>11408</v>
      </c>
    </row>
    <row r="11" spans="1:7" x14ac:dyDescent="0.3">
      <c r="A11">
        <v>10</v>
      </c>
      <c r="B11" t="s">
        <v>236</v>
      </c>
      <c r="C11" t="s">
        <v>237</v>
      </c>
      <c r="D11" t="s">
        <v>229</v>
      </c>
      <c r="E11">
        <v>268</v>
      </c>
      <c r="F11" s="3">
        <v>3</v>
      </c>
      <c r="G11" s="3">
        <f>[1]Transactions!C11*[1]Transactions!D11</f>
        <v>2068</v>
      </c>
    </row>
    <row r="12" spans="1:7" x14ac:dyDescent="0.3">
      <c r="A12">
        <v>11</v>
      </c>
      <c r="B12" t="s">
        <v>238</v>
      </c>
      <c r="C12" t="s">
        <v>237</v>
      </c>
      <c r="D12" t="s">
        <v>229</v>
      </c>
      <c r="E12">
        <v>373</v>
      </c>
      <c r="F12" s="2">
        <v>27</v>
      </c>
      <c r="G12" s="2">
        <f>[1]Transactions!C12*[1]Transactions!D12</f>
        <v>3612</v>
      </c>
    </row>
    <row r="13" spans="1:7" x14ac:dyDescent="0.3">
      <c r="A13">
        <v>12</v>
      </c>
      <c r="B13" t="s">
        <v>239</v>
      </c>
      <c r="C13" t="s">
        <v>237</v>
      </c>
      <c r="D13" t="s">
        <v>240</v>
      </c>
      <c r="E13">
        <v>61</v>
      </c>
      <c r="F13" s="3">
        <v>8</v>
      </c>
      <c r="G13" s="3">
        <f>[1]Transactions!C13*[1]Transactions!D13</f>
        <v>11060</v>
      </c>
    </row>
    <row r="14" spans="1:7" x14ac:dyDescent="0.3">
      <c r="A14">
        <v>13</v>
      </c>
      <c r="B14" t="s">
        <v>241</v>
      </c>
      <c r="C14" t="s">
        <v>225</v>
      </c>
      <c r="D14" t="s">
        <v>223</v>
      </c>
      <c r="E14">
        <v>34</v>
      </c>
      <c r="F14" s="2">
        <v>11</v>
      </c>
      <c r="G14" s="2">
        <f>[1]Transactions!C14*[1]Transactions!D14</f>
        <v>88</v>
      </c>
    </row>
    <row r="15" spans="1:7" x14ac:dyDescent="0.3">
      <c r="A15">
        <v>14</v>
      </c>
      <c r="B15" t="s">
        <v>242</v>
      </c>
      <c r="C15" t="s">
        <v>237</v>
      </c>
      <c r="D15" t="s">
        <v>243</v>
      </c>
      <c r="E15">
        <v>290</v>
      </c>
      <c r="F15" s="3">
        <v>27</v>
      </c>
      <c r="G15" s="3">
        <f>[1]Transactions!C15*[1]Transactions!D15</f>
        <v>5368</v>
      </c>
    </row>
    <row r="16" spans="1:7" x14ac:dyDescent="0.3">
      <c r="A16">
        <v>15</v>
      </c>
      <c r="B16" t="s">
        <v>244</v>
      </c>
      <c r="C16" t="s">
        <v>222</v>
      </c>
      <c r="D16" t="s">
        <v>243</v>
      </c>
      <c r="E16">
        <v>214</v>
      </c>
      <c r="F16" s="2">
        <v>30</v>
      </c>
      <c r="G16" s="2">
        <f>[1]Transactions!C16*[1]Transactions!D16</f>
        <v>4420</v>
      </c>
    </row>
    <row r="17" spans="1:7" x14ac:dyDescent="0.3">
      <c r="A17">
        <v>16</v>
      </c>
      <c r="B17" t="s">
        <v>245</v>
      </c>
      <c r="C17" t="s">
        <v>237</v>
      </c>
      <c r="D17" t="s">
        <v>243</v>
      </c>
      <c r="E17">
        <v>440</v>
      </c>
      <c r="F17" s="3">
        <v>26</v>
      </c>
      <c r="G17" s="3">
        <f>[1]Transactions!C17*[1]Transactions!D17</f>
        <v>6298</v>
      </c>
    </row>
    <row r="18" spans="1:7" x14ac:dyDescent="0.3">
      <c r="A18">
        <v>17</v>
      </c>
      <c r="B18" t="s">
        <v>246</v>
      </c>
      <c r="C18" t="s">
        <v>222</v>
      </c>
      <c r="D18" t="s">
        <v>223</v>
      </c>
      <c r="E18">
        <v>55</v>
      </c>
      <c r="F18" s="2">
        <v>15</v>
      </c>
      <c r="G18" s="2">
        <f>[1]Transactions!C18*[1]Transactions!D18</f>
        <v>4183</v>
      </c>
    </row>
    <row r="19" spans="1:7" x14ac:dyDescent="0.3">
      <c r="A19">
        <v>18</v>
      </c>
      <c r="B19" t="s">
        <v>247</v>
      </c>
      <c r="C19" t="s">
        <v>222</v>
      </c>
      <c r="D19" t="s">
        <v>243</v>
      </c>
      <c r="E19">
        <v>460</v>
      </c>
      <c r="F19" s="3">
        <v>15</v>
      </c>
      <c r="G19" s="3">
        <f>[1]Transactions!C19*[1]Transactions!D19</f>
        <v>2480</v>
      </c>
    </row>
    <row r="20" spans="1:7" x14ac:dyDescent="0.3">
      <c r="A20">
        <v>19</v>
      </c>
      <c r="B20" t="s">
        <v>248</v>
      </c>
      <c r="C20" t="s">
        <v>222</v>
      </c>
      <c r="D20" t="s">
        <v>229</v>
      </c>
      <c r="E20">
        <v>442</v>
      </c>
      <c r="F20" s="2">
        <v>20</v>
      </c>
      <c r="G20" s="2">
        <f>[1]Transactions!C20*[1]Transactions!D20</f>
        <v>1253</v>
      </c>
    </row>
    <row r="21" spans="1:7" x14ac:dyDescent="0.3">
      <c r="A21">
        <v>20</v>
      </c>
      <c r="B21" t="s">
        <v>249</v>
      </c>
      <c r="C21" t="s">
        <v>225</v>
      </c>
      <c r="D21" t="s">
        <v>229</v>
      </c>
      <c r="E21">
        <v>182</v>
      </c>
      <c r="F21" s="3">
        <v>27</v>
      </c>
      <c r="G21" s="3">
        <f>[1]Transactions!C21*[1]Transactions!D21</f>
        <v>5830</v>
      </c>
    </row>
    <row r="22" spans="1:7" x14ac:dyDescent="0.3">
      <c r="A22">
        <v>21</v>
      </c>
      <c r="B22" t="s">
        <v>250</v>
      </c>
      <c r="C22" t="s">
        <v>237</v>
      </c>
      <c r="D22" t="s">
        <v>229</v>
      </c>
      <c r="E22">
        <v>327</v>
      </c>
      <c r="F22" s="2">
        <v>15</v>
      </c>
      <c r="G22" s="2">
        <f>[1]Transactions!C22*[1]Transactions!D22</f>
        <v>4680</v>
      </c>
    </row>
    <row r="23" spans="1:7" x14ac:dyDescent="0.3">
      <c r="A23">
        <v>22</v>
      </c>
      <c r="B23" t="s">
        <v>251</v>
      </c>
      <c r="C23" t="s">
        <v>222</v>
      </c>
      <c r="D23" t="s">
        <v>240</v>
      </c>
      <c r="E23">
        <v>482</v>
      </c>
      <c r="F23" s="3">
        <v>29</v>
      </c>
      <c r="G23" s="3">
        <f>[1]Transactions!C23*[1]Transactions!D23</f>
        <v>5292</v>
      </c>
    </row>
    <row r="24" spans="1:7" x14ac:dyDescent="0.3">
      <c r="A24">
        <v>23</v>
      </c>
      <c r="B24" t="s">
        <v>252</v>
      </c>
      <c r="C24" t="s">
        <v>228</v>
      </c>
      <c r="D24" t="s">
        <v>240</v>
      </c>
      <c r="E24">
        <v>370</v>
      </c>
      <c r="F24" s="2">
        <v>4</v>
      </c>
      <c r="G24" s="2">
        <f>[1]Transactions!C24*[1]Transactions!D24</f>
        <v>12636</v>
      </c>
    </row>
    <row r="25" spans="1:7" x14ac:dyDescent="0.3">
      <c r="A25">
        <v>24</v>
      </c>
      <c r="B25" t="s">
        <v>253</v>
      </c>
      <c r="C25" t="s">
        <v>235</v>
      </c>
      <c r="D25" t="s">
        <v>243</v>
      </c>
      <c r="E25">
        <v>435</v>
      </c>
      <c r="F25" s="3">
        <v>24</v>
      </c>
      <c r="G25" s="3">
        <f>[1]Transactions!C25*[1]Transactions!D25</f>
        <v>1846</v>
      </c>
    </row>
    <row r="26" spans="1:7" x14ac:dyDescent="0.3">
      <c r="A26">
        <v>25</v>
      </c>
      <c r="B26" t="s">
        <v>254</v>
      </c>
      <c r="C26" t="s">
        <v>235</v>
      </c>
      <c r="D26" t="s">
        <v>240</v>
      </c>
      <c r="E26">
        <v>212</v>
      </c>
      <c r="F26" s="2">
        <v>3</v>
      </c>
      <c r="G26" s="2">
        <f>[1]Transactions!C26*[1]Transactions!D26</f>
        <v>9231</v>
      </c>
    </row>
    <row r="27" spans="1:7" x14ac:dyDescent="0.3">
      <c r="A27">
        <v>26</v>
      </c>
      <c r="B27" t="s">
        <v>255</v>
      </c>
      <c r="C27" t="s">
        <v>222</v>
      </c>
      <c r="D27" t="s">
        <v>243</v>
      </c>
      <c r="E27">
        <v>462</v>
      </c>
      <c r="F27" s="3">
        <v>10</v>
      </c>
      <c r="G27" s="3">
        <f>[1]Transactions!C27*[1]Transactions!D27</f>
        <v>7380</v>
      </c>
    </row>
    <row r="28" spans="1:7" x14ac:dyDescent="0.3">
      <c r="A28">
        <v>27</v>
      </c>
      <c r="B28" t="s">
        <v>256</v>
      </c>
      <c r="C28" t="s">
        <v>222</v>
      </c>
      <c r="D28" t="s">
        <v>240</v>
      </c>
      <c r="E28">
        <v>372</v>
      </c>
      <c r="F28" s="2">
        <v>19</v>
      </c>
      <c r="G28" s="2">
        <f>[1]Transactions!C28*[1]Transactions!D28</f>
        <v>1001</v>
      </c>
    </row>
    <row r="29" spans="1:7" x14ac:dyDescent="0.3">
      <c r="A29">
        <v>28</v>
      </c>
      <c r="B29" t="s">
        <v>257</v>
      </c>
      <c r="C29" t="s">
        <v>228</v>
      </c>
      <c r="D29" t="s">
        <v>223</v>
      </c>
      <c r="E29">
        <v>203</v>
      </c>
      <c r="F29" s="3">
        <v>6</v>
      </c>
      <c r="G29" s="3">
        <f>[1]Transactions!C29*[1]Transactions!D29</f>
        <v>5152</v>
      </c>
    </row>
    <row r="30" spans="1:7" x14ac:dyDescent="0.3">
      <c r="A30">
        <v>29</v>
      </c>
      <c r="B30" t="s">
        <v>258</v>
      </c>
      <c r="C30" t="s">
        <v>237</v>
      </c>
      <c r="D30" t="s">
        <v>240</v>
      </c>
      <c r="E30">
        <v>155</v>
      </c>
      <c r="F30" s="2">
        <v>15</v>
      </c>
      <c r="G30" s="2">
        <f>[1]Transactions!C30*[1]Transactions!D30</f>
        <v>200</v>
      </c>
    </row>
    <row r="31" spans="1:7" x14ac:dyDescent="0.3">
      <c r="A31">
        <v>30</v>
      </c>
      <c r="B31" t="s">
        <v>259</v>
      </c>
      <c r="C31" t="s">
        <v>237</v>
      </c>
      <c r="D31" t="s">
        <v>229</v>
      </c>
      <c r="E31">
        <v>230</v>
      </c>
      <c r="F31" s="3">
        <v>30</v>
      </c>
      <c r="G31" s="3">
        <f>[1]Transactions!C31*[1]Transactions!D31</f>
        <v>3330</v>
      </c>
    </row>
    <row r="32" spans="1:7" x14ac:dyDescent="0.3">
      <c r="A32">
        <v>31</v>
      </c>
      <c r="B32" t="s">
        <v>260</v>
      </c>
      <c r="C32" t="s">
        <v>228</v>
      </c>
      <c r="D32" t="s">
        <v>240</v>
      </c>
      <c r="E32">
        <v>254</v>
      </c>
      <c r="F32" s="2">
        <v>20</v>
      </c>
      <c r="G32" s="2">
        <f>[1]Transactions!C32*[1]Transactions!D32</f>
        <v>13892</v>
      </c>
    </row>
    <row r="33" spans="1:7" x14ac:dyDescent="0.3">
      <c r="A33">
        <v>32</v>
      </c>
      <c r="B33" t="s">
        <v>261</v>
      </c>
      <c r="C33" t="s">
        <v>222</v>
      </c>
      <c r="D33" t="s">
        <v>229</v>
      </c>
      <c r="E33">
        <v>366</v>
      </c>
      <c r="F33" s="3">
        <v>24</v>
      </c>
      <c r="G33" s="3">
        <f>[1]Transactions!C33*[1]Transactions!D33</f>
        <v>13650</v>
      </c>
    </row>
    <row r="34" spans="1:7" x14ac:dyDescent="0.3">
      <c r="A34">
        <v>33</v>
      </c>
      <c r="B34" t="s">
        <v>262</v>
      </c>
      <c r="C34" t="s">
        <v>237</v>
      </c>
      <c r="D34" t="s">
        <v>240</v>
      </c>
      <c r="E34">
        <v>51</v>
      </c>
      <c r="F34" s="2">
        <v>18</v>
      </c>
      <c r="G34" s="2">
        <f>[1]Transactions!C34*[1]Transactions!D34</f>
        <v>9360</v>
      </c>
    </row>
    <row r="35" spans="1:7" x14ac:dyDescent="0.3">
      <c r="A35">
        <v>34</v>
      </c>
      <c r="B35" t="s">
        <v>263</v>
      </c>
      <c r="C35" t="s">
        <v>222</v>
      </c>
      <c r="D35" t="s">
        <v>229</v>
      </c>
      <c r="E35">
        <v>349</v>
      </c>
      <c r="F35" s="3">
        <v>4</v>
      </c>
      <c r="G35" s="3">
        <f>[1]Transactions!C35*[1]Transactions!D35</f>
        <v>9154</v>
      </c>
    </row>
    <row r="36" spans="1:7" x14ac:dyDescent="0.3">
      <c r="A36">
        <v>35</v>
      </c>
      <c r="B36" t="s">
        <v>264</v>
      </c>
      <c r="C36" t="s">
        <v>228</v>
      </c>
      <c r="D36" t="s">
        <v>243</v>
      </c>
      <c r="E36">
        <v>346</v>
      </c>
      <c r="F36" s="2">
        <v>20</v>
      </c>
      <c r="G36" s="2">
        <f>[1]Transactions!C36*[1]Transactions!D36</f>
        <v>8008</v>
      </c>
    </row>
    <row r="37" spans="1:7" x14ac:dyDescent="0.3">
      <c r="A37">
        <v>36</v>
      </c>
      <c r="B37" t="s">
        <v>265</v>
      </c>
      <c r="C37" t="s">
        <v>228</v>
      </c>
      <c r="D37" t="s">
        <v>240</v>
      </c>
      <c r="E37">
        <v>467</v>
      </c>
      <c r="F37" s="3">
        <v>10</v>
      </c>
      <c r="G37" s="3">
        <f>[1]Transactions!C37*[1]Transactions!D37</f>
        <v>2898</v>
      </c>
    </row>
    <row r="38" spans="1:7" x14ac:dyDescent="0.3">
      <c r="A38">
        <v>37</v>
      </c>
      <c r="B38" t="s">
        <v>266</v>
      </c>
      <c r="C38" t="s">
        <v>228</v>
      </c>
      <c r="D38" t="s">
        <v>243</v>
      </c>
      <c r="E38">
        <v>210</v>
      </c>
      <c r="F38" s="2">
        <v>8</v>
      </c>
      <c r="G38" s="2">
        <f>[1]Transactions!C38*[1]Transactions!D38</f>
        <v>6278</v>
      </c>
    </row>
    <row r="39" spans="1:7" x14ac:dyDescent="0.3">
      <c r="A39">
        <v>38</v>
      </c>
      <c r="B39" t="s">
        <v>267</v>
      </c>
      <c r="C39" t="s">
        <v>235</v>
      </c>
      <c r="D39" t="s">
        <v>229</v>
      </c>
      <c r="E39">
        <v>182</v>
      </c>
      <c r="F39" s="3">
        <v>29</v>
      </c>
      <c r="G39" s="3">
        <f>[1]Transactions!C39*[1]Transactions!D39</f>
        <v>7482</v>
      </c>
    </row>
    <row r="40" spans="1:7" x14ac:dyDescent="0.3">
      <c r="A40">
        <v>39</v>
      </c>
      <c r="B40" t="s">
        <v>268</v>
      </c>
      <c r="C40" t="s">
        <v>228</v>
      </c>
      <c r="D40" t="s">
        <v>229</v>
      </c>
      <c r="E40">
        <v>50</v>
      </c>
      <c r="F40" s="2">
        <v>24</v>
      </c>
      <c r="G40" s="2">
        <f>[1]Transactions!C40*[1]Transactions!D40</f>
        <v>5544</v>
      </c>
    </row>
    <row r="41" spans="1:7" x14ac:dyDescent="0.3">
      <c r="A41">
        <v>40</v>
      </c>
      <c r="B41" t="s">
        <v>269</v>
      </c>
      <c r="C41" t="s">
        <v>228</v>
      </c>
      <c r="D41" t="s">
        <v>240</v>
      </c>
      <c r="E41">
        <v>184</v>
      </c>
      <c r="F41" s="3">
        <v>1</v>
      </c>
      <c r="G41" s="3">
        <f>[1]Transactions!C41*[1]Transactions!D41</f>
        <v>6200</v>
      </c>
    </row>
    <row r="42" spans="1:7" x14ac:dyDescent="0.3">
      <c r="A42">
        <v>41</v>
      </c>
      <c r="B42" t="s">
        <v>270</v>
      </c>
      <c r="C42" t="s">
        <v>222</v>
      </c>
      <c r="D42" t="s">
        <v>229</v>
      </c>
      <c r="E42">
        <v>459</v>
      </c>
      <c r="F42" s="2">
        <v>9</v>
      </c>
      <c r="G42" s="2">
        <f>[1]Transactions!C42*[1]Transactions!D42</f>
        <v>8400</v>
      </c>
    </row>
    <row r="43" spans="1:7" x14ac:dyDescent="0.3">
      <c r="A43">
        <v>42</v>
      </c>
      <c r="B43" t="s">
        <v>271</v>
      </c>
      <c r="C43" t="s">
        <v>222</v>
      </c>
      <c r="D43" t="s">
        <v>243</v>
      </c>
      <c r="E43">
        <v>77</v>
      </c>
      <c r="F43" s="3">
        <v>1</v>
      </c>
      <c r="G43" s="3">
        <f>[1]Transactions!C43*[1]Transactions!D43</f>
        <v>14100</v>
      </c>
    </row>
    <row r="44" spans="1:7" x14ac:dyDescent="0.3">
      <c r="A44">
        <v>43</v>
      </c>
      <c r="B44" t="s">
        <v>272</v>
      </c>
      <c r="C44" t="s">
        <v>228</v>
      </c>
      <c r="D44" t="s">
        <v>223</v>
      </c>
      <c r="E44">
        <v>293</v>
      </c>
      <c r="F44" s="2">
        <v>25</v>
      </c>
      <c r="G44" s="2">
        <f>[1]Transactions!C44*[1]Transactions!D44</f>
        <v>14570</v>
      </c>
    </row>
    <row r="45" spans="1:7" x14ac:dyDescent="0.3">
      <c r="A45">
        <v>44</v>
      </c>
      <c r="B45" t="s">
        <v>273</v>
      </c>
      <c r="C45" t="s">
        <v>225</v>
      </c>
      <c r="D45" t="s">
        <v>229</v>
      </c>
      <c r="E45">
        <v>181</v>
      </c>
      <c r="F45" s="3">
        <v>25</v>
      </c>
      <c r="G45" s="3">
        <f>[1]Transactions!C45*[1]Transactions!D45</f>
        <v>7176</v>
      </c>
    </row>
    <row r="46" spans="1:7" x14ac:dyDescent="0.3">
      <c r="A46">
        <v>45</v>
      </c>
      <c r="B46" t="s">
        <v>274</v>
      </c>
      <c r="C46" t="s">
        <v>225</v>
      </c>
      <c r="D46" t="s">
        <v>229</v>
      </c>
      <c r="E46">
        <v>425</v>
      </c>
      <c r="F46" s="2">
        <v>24</v>
      </c>
      <c r="G46" s="2">
        <f>[1]Transactions!C46*[1]Transactions!D46</f>
        <v>992</v>
      </c>
    </row>
    <row r="47" spans="1:7" x14ac:dyDescent="0.3">
      <c r="A47">
        <v>46</v>
      </c>
      <c r="B47" t="s">
        <v>275</v>
      </c>
      <c r="C47" t="s">
        <v>235</v>
      </c>
      <c r="D47" t="s">
        <v>229</v>
      </c>
      <c r="E47">
        <v>56</v>
      </c>
      <c r="F47" s="3">
        <v>21</v>
      </c>
      <c r="G47" s="3">
        <f>[1]Transactions!C47*[1]Transactions!D47</f>
        <v>2668</v>
      </c>
    </row>
    <row r="48" spans="1:7" x14ac:dyDescent="0.3">
      <c r="A48">
        <v>47</v>
      </c>
      <c r="B48" t="s">
        <v>276</v>
      </c>
      <c r="C48" t="s">
        <v>222</v>
      </c>
      <c r="D48" t="s">
        <v>240</v>
      </c>
      <c r="E48">
        <v>441</v>
      </c>
      <c r="F48" s="2">
        <v>18</v>
      </c>
      <c r="G48" s="2">
        <f>[1]Transactions!C48*[1]Transactions!D48</f>
        <v>2190</v>
      </c>
    </row>
    <row r="49" spans="1:7" x14ac:dyDescent="0.3">
      <c r="A49">
        <v>48</v>
      </c>
      <c r="B49" t="s">
        <v>277</v>
      </c>
      <c r="C49" t="s">
        <v>222</v>
      </c>
      <c r="D49" t="s">
        <v>240</v>
      </c>
      <c r="E49">
        <v>315</v>
      </c>
      <c r="F49" s="3">
        <v>22</v>
      </c>
      <c r="G49" s="3">
        <f>[1]Transactions!C49*[1]Transactions!D49</f>
        <v>3720</v>
      </c>
    </row>
    <row r="50" spans="1:7" x14ac:dyDescent="0.3">
      <c r="A50">
        <v>49</v>
      </c>
      <c r="B50" t="s">
        <v>278</v>
      </c>
      <c r="C50" t="s">
        <v>225</v>
      </c>
      <c r="D50" t="s">
        <v>243</v>
      </c>
      <c r="E50">
        <v>117</v>
      </c>
      <c r="F50" s="2">
        <v>29</v>
      </c>
      <c r="G50" s="2">
        <f>[1]Transactions!C50*[1]Transactions!D50</f>
        <v>388</v>
      </c>
    </row>
    <row r="51" spans="1:7" x14ac:dyDescent="0.3">
      <c r="A51">
        <v>50</v>
      </c>
      <c r="B51" t="s">
        <v>279</v>
      </c>
      <c r="C51" t="s">
        <v>235</v>
      </c>
      <c r="D51" t="s">
        <v>243</v>
      </c>
      <c r="E51">
        <v>407</v>
      </c>
      <c r="F51" s="3">
        <v>18</v>
      </c>
      <c r="G51" s="3">
        <f>[1]Transactions!C51*[1]Transactions!D51</f>
        <v>550</v>
      </c>
    </row>
    <row r="52" spans="1:7" x14ac:dyDescent="0.3">
      <c r="A52">
        <v>51</v>
      </c>
      <c r="B52" t="s">
        <v>280</v>
      </c>
      <c r="C52" t="s">
        <v>237</v>
      </c>
      <c r="D52" t="s">
        <v>223</v>
      </c>
      <c r="E52">
        <v>27</v>
      </c>
      <c r="F52" s="2">
        <v>28</v>
      </c>
      <c r="G52" s="2">
        <f>[1]Transactions!C52*[1]Transactions!D52</f>
        <v>2438</v>
      </c>
    </row>
    <row r="53" spans="1:7" x14ac:dyDescent="0.3">
      <c r="A53">
        <v>52</v>
      </c>
      <c r="B53" t="s">
        <v>281</v>
      </c>
      <c r="C53" t="s">
        <v>225</v>
      </c>
      <c r="D53" t="s">
        <v>243</v>
      </c>
      <c r="E53">
        <v>257</v>
      </c>
      <c r="F53" s="3">
        <v>20</v>
      </c>
      <c r="G53" s="3">
        <f>[1]Transactions!C53*[1]Transactions!D53</f>
        <v>10735</v>
      </c>
    </row>
    <row r="54" spans="1:7" x14ac:dyDescent="0.3">
      <c r="A54">
        <v>53</v>
      </c>
      <c r="B54" t="s">
        <v>282</v>
      </c>
      <c r="C54" t="s">
        <v>237</v>
      </c>
      <c r="D54" t="s">
        <v>240</v>
      </c>
      <c r="E54">
        <v>59</v>
      </c>
      <c r="F54" s="2">
        <v>19</v>
      </c>
      <c r="G54" s="2">
        <f>[1]Transactions!C54*[1]Transactions!D54</f>
        <v>3168</v>
      </c>
    </row>
    <row r="55" spans="1:7" x14ac:dyDescent="0.3">
      <c r="A55">
        <v>54</v>
      </c>
      <c r="B55" t="s">
        <v>283</v>
      </c>
      <c r="C55" t="s">
        <v>237</v>
      </c>
      <c r="D55" t="s">
        <v>240</v>
      </c>
      <c r="E55">
        <v>426</v>
      </c>
      <c r="F55" s="3">
        <v>2</v>
      </c>
      <c r="G55" s="3">
        <f>[1]Transactions!C55*[1]Transactions!D55</f>
        <v>1683</v>
      </c>
    </row>
    <row r="56" spans="1:7" x14ac:dyDescent="0.3">
      <c r="A56">
        <v>55</v>
      </c>
      <c r="B56" t="s">
        <v>284</v>
      </c>
      <c r="C56" t="s">
        <v>225</v>
      </c>
      <c r="D56" t="s">
        <v>229</v>
      </c>
      <c r="E56">
        <v>454</v>
      </c>
      <c r="F56" s="2">
        <v>12</v>
      </c>
      <c r="G56" s="2">
        <f>[1]Transactions!C56*[1]Transactions!D56</f>
        <v>15120</v>
      </c>
    </row>
    <row r="57" spans="1:7" x14ac:dyDescent="0.3">
      <c r="A57">
        <v>56</v>
      </c>
      <c r="B57" t="s">
        <v>285</v>
      </c>
      <c r="C57" t="s">
        <v>237</v>
      </c>
      <c r="D57" t="s">
        <v>243</v>
      </c>
      <c r="E57">
        <v>64</v>
      </c>
      <c r="F57" s="3">
        <v>23</v>
      </c>
      <c r="G57" s="3">
        <f>[1]Transactions!C57*[1]Transactions!D57</f>
        <v>4648</v>
      </c>
    </row>
    <row r="58" spans="1:7" x14ac:dyDescent="0.3">
      <c r="A58">
        <v>57</v>
      </c>
      <c r="B58" t="s">
        <v>286</v>
      </c>
      <c r="C58" t="s">
        <v>222</v>
      </c>
      <c r="D58" t="s">
        <v>229</v>
      </c>
      <c r="E58">
        <v>66</v>
      </c>
      <c r="F58" s="2">
        <v>14</v>
      </c>
      <c r="G58" s="2">
        <f>[1]Transactions!C58*[1]Transactions!D58</f>
        <v>8878</v>
      </c>
    </row>
    <row r="59" spans="1:7" x14ac:dyDescent="0.3">
      <c r="A59">
        <v>58</v>
      </c>
      <c r="B59" t="s">
        <v>287</v>
      </c>
      <c r="C59" t="s">
        <v>237</v>
      </c>
      <c r="D59" t="s">
        <v>223</v>
      </c>
      <c r="E59">
        <v>426</v>
      </c>
      <c r="F59" s="3">
        <v>23</v>
      </c>
      <c r="G59" s="3">
        <f>[1]Transactions!C59*[1]Transactions!D59</f>
        <v>8601</v>
      </c>
    </row>
    <row r="60" spans="1:7" x14ac:dyDescent="0.3">
      <c r="A60">
        <v>59</v>
      </c>
      <c r="B60" t="s">
        <v>288</v>
      </c>
      <c r="C60" t="s">
        <v>225</v>
      </c>
      <c r="D60" t="s">
        <v>229</v>
      </c>
      <c r="E60">
        <v>183</v>
      </c>
      <c r="F60" s="2">
        <v>11</v>
      </c>
      <c r="G60" s="2">
        <f>[1]Transactions!C60*[1]Transactions!D60</f>
        <v>3240</v>
      </c>
    </row>
    <row r="61" spans="1:7" x14ac:dyDescent="0.3">
      <c r="A61">
        <v>60</v>
      </c>
      <c r="B61" t="s">
        <v>289</v>
      </c>
      <c r="C61" t="s">
        <v>225</v>
      </c>
      <c r="D61" t="s">
        <v>223</v>
      </c>
      <c r="E61">
        <v>435</v>
      </c>
      <c r="F61" s="3">
        <v>26</v>
      </c>
      <c r="G61" s="3">
        <f>[1]Transactions!C61*[1]Transactions!D61</f>
        <v>6789</v>
      </c>
    </row>
    <row r="62" spans="1:7" x14ac:dyDescent="0.3">
      <c r="A62">
        <v>61</v>
      </c>
      <c r="B62" t="s">
        <v>290</v>
      </c>
      <c r="C62" t="s">
        <v>237</v>
      </c>
      <c r="D62" t="s">
        <v>223</v>
      </c>
      <c r="E62">
        <v>360</v>
      </c>
      <c r="F62" s="2">
        <v>19</v>
      </c>
      <c r="G62" s="2">
        <f>[1]Transactions!C62*[1]Transactions!D62</f>
        <v>7905</v>
      </c>
    </row>
    <row r="63" spans="1:7" x14ac:dyDescent="0.3">
      <c r="A63">
        <v>62</v>
      </c>
      <c r="B63" t="s">
        <v>291</v>
      </c>
      <c r="C63" t="s">
        <v>222</v>
      </c>
      <c r="D63" t="s">
        <v>229</v>
      </c>
      <c r="E63">
        <v>32</v>
      </c>
      <c r="F63" s="3">
        <v>14</v>
      </c>
      <c r="G63" s="3">
        <f>[1]Transactions!C63*[1]Transactions!D63</f>
        <v>8848</v>
      </c>
    </row>
    <row r="64" spans="1:7" x14ac:dyDescent="0.3">
      <c r="A64">
        <v>63</v>
      </c>
      <c r="B64" t="s">
        <v>292</v>
      </c>
      <c r="C64" t="s">
        <v>228</v>
      </c>
      <c r="D64" t="s">
        <v>240</v>
      </c>
      <c r="E64">
        <v>171</v>
      </c>
      <c r="F64" s="2">
        <v>27</v>
      </c>
      <c r="G64" s="2">
        <f>[1]Transactions!C64*[1]Transactions!D64</f>
        <v>1683</v>
      </c>
    </row>
    <row r="65" spans="1:7" x14ac:dyDescent="0.3">
      <c r="A65">
        <v>64</v>
      </c>
      <c r="B65" t="s">
        <v>293</v>
      </c>
      <c r="C65" t="s">
        <v>222</v>
      </c>
      <c r="D65" t="s">
        <v>223</v>
      </c>
      <c r="E65">
        <v>461</v>
      </c>
      <c r="F65" s="3">
        <v>5</v>
      </c>
      <c r="G65" s="3">
        <f>[1]Transactions!C65*[1]Transactions!D65</f>
        <v>7979</v>
      </c>
    </row>
    <row r="66" spans="1:7" x14ac:dyDescent="0.3">
      <c r="A66">
        <v>65</v>
      </c>
      <c r="B66" t="s">
        <v>294</v>
      </c>
      <c r="C66" t="s">
        <v>222</v>
      </c>
      <c r="D66" t="s">
        <v>240</v>
      </c>
      <c r="E66">
        <v>309</v>
      </c>
      <c r="F66" s="2">
        <v>3</v>
      </c>
      <c r="G66" s="2">
        <f>[1]Transactions!C66*[1]Transactions!D66</f>
        <v>6510</v>
      </c>
    </row>
    <row r="67" spans="1:7" x14ac:dyDescent="0.3">
      <c r="A67">
        <v>66</v>
      </c>
      <c r="B67" t="s">
        <v>295</v>
      </c>
      <c r="C67" t="s">
        <v>237</v>
      </c>
      <c r="D67" t="s">
        <v>223</v>
      </c>
      <c r="E67">
        <v>452</v>
      </c>
      <c r="F67" s="3">
        <v>6</v>
      </c>
      <c r="G67" s="3">
        <f>[1]Transactions!C67*[1]Transactions!D67</f>
        <v>288</v>
      </c>
    </row>
    <row r="68" spans="1:7" x14ac:dyDescent="0.3">
      <c r="A68">
        <v>67</v>
      </c>
      <c r="B68" t="s">
        <v>296</v>
      </c>
      <c r="C68" t="s">
        <v>222</v>
      </c>
      <c r="D68" t="s">
        <v>229</v>
      </c>
      <c r="E68">
        <v>291</v>
      </c>
      <c r="F68" s="2">
        <v>26</v>
      </c>
      <c r="G68" s="2">
        <f>[1]Transactions!C68*[1]Transactions!D68</f>
        <v>3350</v>
      </c>
    </row>
    <row r="69" spans="1:7" x14ac:dyDescent="0.3">
      <c r="A69">
        <v>68</v>
      </c>
      <c r="B69" t="s">
        <v>297</v>
      </c>
      <c r="C69" t="s">
        <v>235</v>
      </c>
      <c r="D69" t="s">
        <v>223</v>
      </c>
      <c r="E69">
        <v>330</v>
      </c>
      <c r="F69" s="3">
        <v>9</v>
      </c>
      <c r="G69" s="3">
        <f>[1]Transactions!C69*[1]Transactions!D69</f>
        <v>1872</v>
      </c>
    </row>
    <row r="70" spans="1:7" x14ac:dyDescent="0.3">
      <c r="A70">
        <v>69</v>
      </c>
      <c r="B70" t="s">
        <v>298</v>
      </c>
      <c r="C70" t="s">
        <v>228</v>
      </c>
      <c r="D70" t="s">
        <v>240</v>
      </c>
      <c r="E70">
        <v>460</v>
      </c>
      <c r="F70" s="2">
        <v>25</v>
      </c>
      <c r="G70" s="2">
        <f>[1]Transactions!C70*[1]Transactions!D70</f>
        <v>768</v>
      </c>
    </row>
    <row r="71" spans="1:7" x14ac:dyDescent="0.3">
      <c r="A71">
        <v>70</v>
      </c>
      <c r="B71" t="s">
        <v>299</v>
      </c>
      <c r="C71" t="s">
        <v>235</v>
      </c>
      <c r="D71" t="s">
        <v>240</v>
      </c>
      <c r="E71">
        <v>308</v>
      </c>
      <c r="F71" s="3">
        <v>2</v>
      </c>
      <c r="G71" s="3">
        <f>[1]Transactions!C71*[1]Transactions!D71</f>
        <v>361</v>
      </c>
    </row>
    <row r="72" spans="1:7" x14ac:dyDescent="0.3">
      <c r="A72">
        <v>71</v>
      </c>
      <c r="B72" t="s">
        <v>300</v>
      </c>
      <c r="C72" t="s">
        <v>222</v>
      </c>
      <c r="D72" t="s">
        <v>240</v>
      </c>
      <c r="E72">
        <v>389</v>
      </c>
      <c r="F72" s="2">
        <v>17</v>
      </c>
      <c r="G72" s="2">
        <f>[1]Transactions!C72*[1]Transactions!D72</f>
        <v>460</v>
      </c>
    </row>
    <row r="73" spans="1:7" x14ac:dyDescent="0.3">
      <c r="A73">
        <v>72</v>
      </c>
      <c r="B73" t="s">
        <v>301</v>
      </c>
      <c r="C73" t="s">
        <v>237</v>
      </c>
      <c r="D73" t="s">
        <v>240</v>
      </c>
      <c r="E73">
        <v>465</v>
      </c>
      <c r="F73" s="3">
        <v>12</v>
      </c>
      <c r="G73" s="3">
        <f>[1]Transactions!C73*[1]Transactions!D73</f>
        <v>77</v>
      </c>
    </row>
    <row r="74" spans="1:7" x14ac:dyDescent="0.3">
      <c r="A74">
        <v>73</v>
      </c>
      <c r="B74" t="s">
        <v>302</v>
      </c>
      <c r="C74" t="s">
        <v>237</v>
      </c>
      <c r="D74" t="s">
        <v>229</v>
      </c>
      <c r="E74">
        <v>55</v>
      </c>
      <c r="F74" s="2">
        <v>28</v>
      </c>
      <c r="G74" s="2">
        <f>[1]Transactions!C74*[1]Transactions!D74</f>
        <v>1125</v>
      </c>
    </row>
    <row r="75" spans="1:7" x14ac:dyDescent="0.3">
      <c r="A75">
        <v>74</v>
      </c>
      <c r="B75" t="s">
        <v>303</v>
      </c>
      <c r="C75" t="s">
        <v>222</v>
      </c>
      <c r="D75" t="s">
        <v>229</v>
      </c>
      <c r="E75">
        <v>251</v>
      </c>
      <c r="F75" s="3">
        <v>9</v>
      </c>
      <c r="G75" s="3">
        <f>[1]Transactions!C75*[1]Transactions!D75</f>
        <v>6636</v>
      </c>
    </row>
    <row r="76" spans="1:7" x14ac:dyDescent="0.3">
      <c r="A76">
        <v>75</v>
      </c>
      <c r="B76" t="s">
        <v>304</v>
      </c>
      <c r="C76" t="s">
        <v>228</v>
      </c>
      <c r="D76" t="s">
        <v>229</v>
      </c>
      <c r="E76">
        <v>88</v>
      </c>
      <c r="F76" s="2">
        <v>26</v>
      </c>
      <c r="G76" s="2">
        <f>[1]Transactions!C76*[1]Transactions!D76</f>
        <v>2619</v>
      </c>
    </row>
    <row r="77" spans="1:7" x14ac:dyDescent="0.3">
      <c r="A77">
        <v>76</v>
      </c>
      <c r="B77" t="s">
        <v>305</v>
      </c>
      <c r="C77" t="s">
        <v>225</v>
      </c>
      <c r="D77" t="s">
        <v>229</v>
      </c>
      <c r="E77">
        <v>164</v>
      </c>
      <c r="F77" s="3">
        <v>29</v>
      </c>
      <c r="G77" s="3">
        <f>[1]Transactions!C77*[1]Transactions!D77</f>
        <v>1755</v>
      </c>
    </row>
    <row r="78" spans="1:7" x14ac:dyDescent="0.3">
      <c r="A78">
        <v>77</v>
      </c>
      <c r="B78" t="s">
        <v>306</v>
      </c>
      <c r="C78" t="s">
        <v>228</v>
      </c>
      <c r="D78" t="s">
        <v>229</v>
      </c>
      <c r="E78">
        <v>389</v>
      </c>
      <c r="F78" s="2">
        <v>2</v>
      </c>
      <c r="G78" s="2">
        <f>[1]Transactions!C78*[1]Transactions!D78</f>
        <v>11319</v>
      </c>
    </row>
    <row r="79" spans="1:7" x14ac:dyDescent="0.3">
      <c r="A79">
        <v>78</v>
      </c>
      <c r="B79" t="s">
        <v>307</v>
      </c>
      <c r="C79" t="s">
        <v>228</v>
      </c>
      <c r="D79" t="s">
        <v>240</v>
      </c>
      <c r="E79">
        <v>88</v>
      </c>
      <c r="F79" s="3">
        <v>16</v>
      </c>
      <c r="G79" s="3">
        <f>[1]Transactions!C79*[1]Transactions!D79</f>
        <v>1206</v>
      </c>
    </row>
    <row r="80" spans="1:7" x14ac:dyDescent="0.3">
      <c r="A80">
        <v>79</v>
      </c>
      <c r="B80" t="s">
        <v>308</v>
      </c>
      <c r="C80" t="s">
        <v>237</v>
      </c>
      <c r="D80" t="s">
        <v>229</v>
      </c>
      <c r="E80">
        <v>298</v>
      </c>
      <c r="F80" s="2">
        <v>22</v>
      </c>
      <c r="G80" s="2">
        <f>[1]Transactions!C80*[1]Transactions!D80</f>
        <v>7314</v>
      </c>
    </row>
    <row r="81" spans="1:7" x14ac:dyDescent="0.3">
      <c r="A81">
        <v>80</v>
      </c>
      <c r="B81" t="s">
        <v>309</v>
      </c>
      <c r="C81" t="s">
        <v>225</v>
      </c>
      <c r="D81" t="s">
        <v>240</v>
      </c>
      <c r="E81">
        <v>272</v>
      </c>
      <c r="F81" s="3">
        <v>4</v>
      </c>
      <c r="G81" s="3">
        <f>[1]Transactions!C81*[1]Transactions!D81</f>
        <v>7735</v>
      </c>
    </row>
    <row r="82" spans="1:7" x14ac:dyDescent="0.3">
      <c r="A82">
        <v>81</v>
      </c>
      <c r="B82" t="s">
        <v>310</v>
      </c>
      <c r="C82" t="s">
        <v>237</v>
      </c>
      <c r="D82" t="s">
        <v>243</v>
      </c>
      <c r="E82">
        <v>262</v>
      </c>
      <c r="F82" s="2">
        <v>18</v>
      </c>
      <c r="G82" s="2">
        <f>[1]Transactions!C82*[1]Transactions!D82</f>
        <v>2135</v>
      </c>
    </row>
    <row r="83" spans="1:7" x14ac:dyDescent="0.3">
      <c r="A83">
        <v>82</v>
      </c>
      <c r="B83" t="s">
        <v>311</v>
      </c>
      <c r="C83" t="s">
        <v>228</v>
      </c>
      <c r="D83" t="s">
        <v>223</v>
      </c>
      <c r="E83">
        <v>358</v>
      </c>
      <c r="F83" s="3">
        <v>12</v>
      </c>
      <c r="G83" s="3">
        <f>[1]Transactions!C83*[1]Transactions!D83</f>
        <v>4590</v>
      </c>
    </row>
    <row r="84" spans="1:7" x14ac:dyDescent="0.3">
      <c r="A84">
        <v>83</v>
      </c>
      <c r="B84" t="s">
        <v>312</v>
      </c>
      <c r="C84" t="s">
        <v>237</v>
      </c>
      <c r="D84" t="s">
        <v>240</v>
      </c>
      <c r="E84">
        <v>183</v>
      </c>
      <c r="F84" s="2">
        <v>1</v>
      </c>
      <c r="G84" s="2">
        <f>[1]Transactions!C84*[1]Transactions!D84</f>
        <v>966</v>
      </c>
    </row>
    <row r="85" spans="1:7" x14ac:dyDescent="0.3">
      <c r="A85">
        <v>84</v>
      </c>
      <c r="B85" t="s">
        <v>313</v>
      </c>
      <c r="C85" t="s">
        <v>228</v>
      </c>
      <c r="D85" t="s">
        <v>229</v>
      </c>
      <c r="E85">
        <v>249</v>
      </c>
      <c r="F85" s="3">
        <v>21</v>
      </c>
      <c r="G85" s="3">
        <f>[1]Transactions!C85*[1]Transactions!D85</f>
        <v>5130</v>
      </c>
    </row>
    <row r="86" spans="1:7" x14ac:dyDescent="0.3">
      <c r="A86">
        <v>85</v>
      </c>
      <c r="B86" t="s">
        <v>314</v>
      </c>
      <c r="C86" t="s">
        <v>237</v>
      </c>
      <c r="D86" t="s">
        <v>243</v>
      </c>
      <c r="E86">
        <v>78</v>
      </c>
      <c r="F86" s="2">
        <v>30</v>
      </c>
      <c r="G86" s="2">
        <f>[1]Transactions!C86*[1]Transactions!D86</f>
        <v>495</v>
      </c>
    </row>
    <row r="87" spans="1:7" x14ac:dyDescent="0.3">
      <c r="A87">
        <v>86</v>
      </c>
      <c r="B87" t="s">
        <v>315</v>
      </c>
      <c r="C87" t="s">
        <v>222</v>
      </c>
      <c r="D87" t="s">
        <v>229</v>
      </c>
      <c r="E87">
        <v>405</v>
      </c>
      <c r="F87" s="3">
        <v>27</v>
      </c>
      <c r="G87" s="3">
        <f>[1]Transactions!C87*[1]Transactions!D87</f>
        <v>8960</v>
      </c>
    </row>
    <row r="88" spans="1:7" x14ac:dyDescent="0.3">
      <c r="A88">
        <v>87</v>
      </c>
      <c r="B88" t="s">
        <v>316</v>
      </c>
      <c r="C88" t="s">
        <v>222</v>
      </c>
      <c r="D88" t="s">
        <v>240</v>
      </c>
      <c r="E88">
        <v>115</v>
      </c>
      <c r="F88" s="2">
        <v>14</v>
      </c>
      <c r="G88" s="2">
        <f>[1]Transactions!C88*[1]Transactions!D88</f>
        <v>5838</v>
      </c>
    </row>
    <row r="89" spans="1:7" x14ac:dyDescent="0.3">
      <c r="A89">
        <v>88</v>
      </c>
      <c r="B89" t="s">
        <v>317</v>
      </c>
      <c r="C89" t="s">
        <v>228</v>
      </c>
      <c r="D89" t="s">
        <v>223</v>
      </c>
      <c r="E89">
        <v>378</v>
      </c>
      <c r="F89" s="3">
        <v>16</v>
      </c>
      <c r="G89" s="3">
        <f>[1]Transactions!C89*[1]Transactions!D89</f>
        <v>816</v>
      </c>
    </row>
    <row r="90" spans="1:7" x14ac:dyDescent="0.3">
      <c r="A90">
        <v>89</v>
      </c>
      <c r="B90" t="s">
        <v>318</v>
      </c>
      <c r="C90" t="s">
        <v>222</v>
      </c>
      <c r="D90" t="s">
        <v>229</v>
      </c>
      <c r="E90">
        <v>387</v>
      </c>
      <c r="F90" s="2">
        <v>10</v>
      </c>
      <c r="G90" s="2">
        <f>[1]Transactions!C90*[1]Transactions!D90</f>
        <v>5790</v>
      </c>
    </row>
    <row r="91" spans="1:7" x14ac:dyDescent="0.3">
      <c r="A91">
        <v>90</v>
      </c>
      <c r="B91" t="s">
        <v>319</v>
      </c>
      <c r="C91" t="s">
        <v>222</v>
      </c>
      <c r="D91" t="s">
        <v>240</v>
      </c>
      <c r="E91">
        <v>255</v>
      </c>
      <c r="F91" s="3">
        <v>18</v>
      </c>
      <c r="G91" s="3">
        <f>[1]Transactions!C91*[1]Transactions!D91</f>
        <v>11590</v>
      </c>
    </row>
    <row r="92" spans="1:7" x14ac:dyDescent="0.3">
      <c r="A92">
        <v>91</v>
      </c>
      <c r="B92" t="s">
        <v>320</v>
      </c>
      <c r="C92" t="s">
        <v>228</v>
      </c>
      <c r="D92" t="s">
        <v>243</v>
      </c>
      <c r="E92">
        <v>441</v>
      </c>
      <c r="F92" s="2">
        <v>2</v>
      </c>
      <c r="G92" s="2">
        <f>[1]Transactions!C92*[1]Transactions!D92</f>
        <v>13392</v>
      </c>
    </row>
    <row r="93" spans="1:7" x14ac:dyDescent="0.3">
      <c r="A93">
        <v>92</v>
      </c>
      <c r="B93" t="s">
        <v>321</v>
      </c>
      <c r="C93" t="s">
        <v>222</v>
      </c>
      <c r="D93" t="s">
        <v>223</v>
      </c>
      <c r="E93">
        <v>55</v>
      </c>
      <c r="F93" s="3">
        <v>2</v>
      </c>
      <c r="G93" s="3">
        <f>[1]Transactions!C93*[1]Transactions!D93</f>
        <v>11284</v>
      </c>
    </row>
    <row r="94" spans="1:7" x14ac:dyDescent="0.3">
      <c r="A94">
        <v>93</v>
      </c>
      <c r="B94" t="s">
        <v>322</v>
      </c>
      <c r="C94" t="s">
        <v>237</v>
      </c>
      <c r="D94" t="s">
        <v>243</v>
      </c>
      <c r="E94">
        <v>423</v>
      </c>
      <c r="F94" s="2">
        <v>4</v>
      </c>
      <c r="G94" s="2">
        <f>[1]Transactions!C94*[1]Transactions!D94</f>
        <v>11232</v>
      </c>
    </row>
    <row r="95" spans="1:7" x14ac:dyDescent="0.3">
      <c r="A95">
        <v>94</v>
      </c>
      <c r="B95" t="s">
        <v>323</v>
      </c>
      <c r="C95" t="s">
        <v>228</v>
      </c>
      <c r="D95" t="s">
        <v>229</v>
      </c>
      <c r="E95">
        <v>234</v>
      </c>
      <c r="F95" s="3">
        <v>28</v>
      </c>
      <c r="G95" s="3">
        <f>[1]Transactions!C95*[1]Transactions!D95</f>
        <v>9408</v>
      </c>
    </row>
    <row r="96" spans="1:7" x14ac:dyDescent="0.3">
      <c r="A96">
        <v>95</v>
      </c>
      <c r="B96" t="s">
        <v>324</v>
      </c>
      <c r="C96" t="s">
        <v>222</v>
      </c>
      <c r="D96" t="s">
        <v>240</v>
      </c>
      <c r="E96">
        <v>73</v>
      </c>
      <c r="F96" s="2">
        <v>23</v>
      </c>
      <c r="G96" s="2">
        <f>[1]Transactions!C96*[1]Transactions!D96</f>
        <v>11115</v>
      </c>
    </row>
    <row r="97" spans="1:7" x14ac:dyDescent="0.3">
      <c r="A97">
        <v>96</v>
      </c>
      <c r="B97" t="s">
        <v>325</v>
      </c>
      <c r="C97" t="s">
        <v>225</v>
      </c>
      <c r="D97" t="s">
        <v>229</v>
      </c>
      <c r="E97">
        <v>150</v>
      </c>
      <c r="F97" s="3">
        <v>21</v>
      </c>
      <c r="G97" s="3">
        <f>[1]Transactions!C97*[1]Transactions!D97</f>
        <v>14880</v>
      </c>
    </row>
    <row r="98" spans="1:7" x14ac:dyDescent="0.3">
      <c r="A98">
        <v>97</v>
      </c>
      <c r="B98" t="s">
        <v>326</v>
      </c>
      <c r="C98" t="s">
        <v>228</v>
      </c>
      <c r="D98" t="s">
        <v>229</v>
      </c>
      <c r="E98">
        <v>419</v>
      </c>
      <c r="F98" s="2">
        <v>17</v>
      </c>
      <c r="G98" s="2">
        <f>[1]Transactions!C98*[1]Transactions!D98</f>
        <v>198</v>
      </c>
    </row>
    <row r="99" spans="1:7" x14ac:dyDescent="0.3">
      <c r="A99">
        <v>98</v>
      </c>
      <c r="B99" t="s">
        <v>327</v>
      </c>
      <c r="C99" t="s">
        <v>222</v>
      </c>
      <c r="D99" t="s">
        <v>223</v>
      </c>
      <c r="E99">
        <v>460</v>
      </c>
      <c r="F99" s="3">
        <v>24</v>
      </c>
      <c r="G99" s="3">
        <f>[1]Transactions!C99*[1]Transactions!D99</f>
        <v>1600</v>
      </c>
    </row>
    <row r="100" spans="1:7" x14ac:dyDescent="0.3">
      <c r="A100">
        <v>99</v>
      </c>
      <c r="B100" t="s">
        <v>328</v>
      </c>
      <c r="C100" t="s">
        <v>235</v>
      </c>
      <c r="D100" t="s">
        <v>240</v>
      </c>
      <c r="E100">
        <v>340</v>
      </c>
      <c r="F100" s="2">
        <v>9</v>
      </c>
      <c r="G100" s="2">
        <f>[1]Transactions!C100*[1]Transactions!D100</f>
        <v>450</v>
      </c>
    </row>
    <row r="101" spans="1:7" x14ac:dyDescent="0.3">
      <c r="A101">
        <v>100</v>
      </c>
      <c r="B101" t="s">
        <v>329</v>
      </c>
      <c r="C101" t="s">
        <v>225</v>
      </c>
      <c r="D101" t="s">
        <v>243</v>
      </c>
      <c r="E101">
        <v>472</v>
      </c>
      <c r="F101" s="3">
        <v>5</v>
      </c>
      <c r="G101" s="3">
        <f>[1]Transactions!C101*[1]Transactions!D101</f>
        <v>10696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B9CE-BA87-46C7-80FD-119B8CAF9F43}">
  <dimension ref="A1:D51"/>
  <sheetViews>
    <sheetView workbookViewId="0">
      <selection activeCell="F14" sqref="F14"/>
    </sheetView>
  </sheetViews>
  <sheetFormatPr defaultRowHeight="14.4" x14ac:dyDescent="0.3"/>
  <sheetData>
    <row r="1" spans="1:4" x14ac:dyDescent="0.3">
      <c r="A1" t="s">
        <v>330</v>
      </c>
      <c r="B1" t="s">
        <v>331</v>
      </c>
      <c r="C1" t="s">
        <v>219</v>
      </c>
      <c r="D1" t="s">
        <v>4</v>
      </c>
    </row>
    <row r="2" spans="1:4" x14ac:dyDescent="0.3">
      <c r="A2">
        <v>1</v>
      </c>
      <c r="B2" t="s">
        <v>332</v>
      </c>
      <c r="C2" t="s">
        <v>243</v>
      </c>
      <c r="D2">
        <v>21</v>
      </c>
    </row>
    <row r="3" spans="1:4" x14ac:dyDescent="0.3">
      <c r="A3">
        <v>2</v>
      </c>
      <c r="B3" t="s">
        <v>333</v>
      </c>
      <c r="C3" t="s">
        <v>223</v>
      </c>
      <c r="D3">
        <v>13</v>
      </c>
    </row>
    <row r="4" spans="1:4" x14ac:dyDescent="0.3">
      <c r="A4">
        <v>3</v>
      </c>
      <c r="B4" t="s">
        <v>334</v>
      </c>
      <c r="C4" t="s">
        <v>223</v>
      </c>
      <c r="D4">
        <v>28</v>
      </c>
    </row>
    <row r="5" spans="1:4" x14ac:dyDescent="0.3">
      <c r="A5">
        <v>4</v>
      </c>
      <c r="B5" t="s">
        <v>335</v>
      </c>
      <c r="C5" t="s">
        <v>240</v>
      </c>
      <c r="D5">
        <v>24</v>
      </c>
    </row>
    <row r="6" spans="1:4" x14ac:dyDescent="0.3">
      <c r="A6">
        <v>5</v>
      </c>
      <c r="B6" t="s">
        <v>336</v>
      </c>
      <c r="C6" t="s">
        <v>229</v>
      </c>
      <c r="D6">
        <v>21</v>
      </c>
    </row>
    <row r="7" spans="1:4" x14ac:dyDescent="0.3">
      <c r="A7">
        <v>6</v>
      </c>
      <c r="B7" t="s">
        <v>337</v>
      </c>
      <c r="C7" t="s">
        <v>240</v>
      </c>
      <c r="D7">
        <v>7</v>
      </c>
    </row>
    <row r="8" spans="1:4" x14ac:dyDescent="0.3">
      <c r="A8">
        <v>7</v>
      </c>
      <c r="B8" t="s">
        <v>338</v>
      </c>
      <c r="C8" t="s">
        <v>240</v>
      </c>
      <c r="D8">
        <v>15</v>
      </c>
    </row>
    <row r="9" spans="1:4" x14ac:dyDescent="0.3">
      <c r="A9">
        <v>8</v>
      </c>
      <c r="B9" t="s">
        <v>339</v>
      </c>
      <c r="C9" t="s">
        <v>243</v>
      </c>
      <c r="D9">
        <v>4</v>
      </c>
    </row>
    <row r="10" spans="1:4" x14ac:dyDescent="0.3">
      <c r="A10">
        <v>9</v>
      </c>
      <c r="B10" t="s">
        <v>340</v>
      </c>
      <c r="C10" t="s">
        <v>223</v>
      </c>
      <c r="D10">
        <v>28</v>
      </c>
    </row>
    <row r="11" spans="1:4" x14ac:dyDescent="0.3">
      <c r="A11">
        <v>10</v>
      </c>
      <c r="B11" t="s">
        <v>341</v>
      </c>
      <c r="C11" t="s">
        <v>229</v>
      </c>
      <c r="D11">
        <v>9</v>
      </c>
    </row>
    <row r="12" spans="1:4" x14ac:dyDescent="0.3">
      <c r="A12">
        <v>11</v>
      </c>
      <c r="B12" t="s">
        <v>342</v>
      </c>
      <c r="C12" t="s">
        <v>223</v>
      </c>
      <c r="D12">
        <v>15</v>
      </c>
    </row>
    <row r="13" spans="1:4" x14ac:dyDescent="0.3">
      <c r="A13">
        <v>12</v>
      </c>
      <c r="B13" t="s">
        <v>343</v>
      </c>
      <c r="C13" t="s">
        <v>223</v>
      </c>
      <c r="D13">
        <v>14</v>
      </c>
    </row>
    <row r="14" spans="1:4" x14ac:dyDescent="0.3">
      <c r="A14">
        <v>13</v>
      </c>
      <c r="B14" t="s">
        <v>344</v>
      </c>
      <c r="C14" t="s">
        <v>229</v>
      </c>
      <c r="D14">
        <v>13</v>
      </c>
    </row>
    <row r="15" spans="1:4" x14ac:dyDescent="0.3">
      <c r="A15">
        <v>14</v>
      </c>
      <c r="B15" t="s">
        <v>345</v>
      </c>
      <c r="C15" t="s">
        <v>229</v>
      </c>
      <c r="D15">
        <v>5</v>
      </c>
    </row>
    <row r="16" spans="1:4" x14ac:dyDescent="0.3">
      <c r="A16">
        <v>15</v>
      </c>
      <c r="B16" t="s">
        <v>346</v>
      </c>
      <c r="C16" t="s">
        <v>240</v>
      </c>
      <c r="D16">
        <v>13</v>
      </c>
    </row>
    <row r="17" spans="1:4" x14ac:dyDescent="0.3">
      <c r="A17">
        <v>16</v>
      </c>
      <c r="B17" t="s">
        <v>347</v>
      </c>
      <c r="C17" t="s">
        <v>229</v>
      </c>
      <c r="D17">
        <v>24</v>
      </c>
    </row>
    <row r="18" spans="1:4" x14ac:dyDescent="0.3">
      <c r="A18">
        <v>17</v>
      </c>
      <c r="B18" t="s">
        <v>348</v>
      </c>
      <c r="C18" t="s">
        <v>240</v>
      </c>
      <c r="D18">
        <v>27</v>
      </c>
    </row>
    <row r="19" spans="1:4" x14ac:dyDescent="0.3">
      <c r="A19">
        <v>18</v>
      </c>
      <c r="B19" t="s">
        <v>349</v>
      </c>
      <c r="C19" t="s">
        <v>243</v>
      </c>
      <c r="D19">
        <v>11</v>
      </c>
    </row>
    <row r="20" spans="1:4" x14ac:dyDescent="0.3">
      <c r="A20">
        <v>19</v>
      </c>
      <c r="B20" t="s">
        <v>350</v>
      </c>
      <c r="C20" t="s">
        <v>229</v>
      </c>
      <c r="D20">
        <v>20</v>
      </c>
    </row>
    <row r="21" spans="1:4" x14ac:dyDescent="0.3">
      <c r="A21">
        <v>20</v>
      </c>
      <c r="B21" t="s">
        <v>351</v>
      </c>
      <c r="C21" t="s">
        <v>229</v>
      </c>
      <c r="D21">
        <v>23</v>
      </c>
    </row>
    <row r="22" spans="1:4" x14ac:dyDescent="0.3">
      <c r="A22">
        <v>21</v>
      </c>
      <c r="B22" t="s">
        <v>352</v>
      </c>
      <c r="C22" t="s">
        <v>223</v>
      </c>
      <c r="D22">
        <v>9</v>
      </c>
    </row>
    <row r="23" spans="1:4" x14ac:dyDescent="0.3">
      <c r="A23">
        <v>22</v>
      </c>
      <c r="B23" t="s">
        <v>353</v>
      </c>
      <c r="C23" t="s">
        <v>229</v>
      </c>
      <c r="D23">
        <v>16</v>
      </c>
    </row>
    <row r="24" spans="1:4" x14ac:dyDescent="0.3">
      <c r="A24">
        <v>23</v>
      </c>
      <c r="B24" t="s">
        <v>354</v>
      </c>
      <c r="C24" t="s">
        <v>240</v>
      </c>
      <c r="D24">
        <v>10</v>
      </c>
    </row>
    <row r="25" spans="1:4" x14ac:dyDescent="0.3">
      <c r="A25">
        <v>24</v>
      </c>
      <c r="B25" t="s">
        <v>355</v>
      </c>
      <c r="C25" t="s">
        <v>243</v>
      </c>
      <c r="D25">
        <v>23</v>
      </c>
    </row>
    <row r="26" spans="1:4" x14ac:dyDescent="0.3">
      <c r="A26">
        <v>25</v>
      </c>
      <c r="B26" t="s">
        <v>356</v>
      </c>
      <c r="C26" t="s">
        <v>229</v>
      </c>
      <c r="D26">
        <v>26</v>
      </c>
    </row>
    <row r="27" spans="1:4" x14ac:dyDescent="0.3">
      <c r="A27">
        <v>26</v>
      </c>
      <c r="B27" t="s">
        <v>357</v>
      </c>
      <c r="C27" t="s">
        <v>240</v>
      </c>
      <c r="D27">
        <v>12</v>
      </c>
    </row>
    <row r="28" spans="1:4" x14ac:dyDescent="0.3">
      <c r="A28">
        <v>27</v>
      </c>
      <c r="B28" t="s">
        <v>358</v>
      </c>
      <c r="C28" t="s">
        <v>229</v>
      </c>
      <c r="D28">
        <v>18</v>
      </c>
    </row>
    <row r="29" spans="1:4" x14ac:dyDescent="0.3">
      <c r="A29">
        <v>28</v>
      </c>
      <c r="B29" t="s">
        <v>359</v>
      </c>
      <c r="C29" t="s">
        <v>243</v>
      </c>
      <c r="D29">
        <v>2</v>
      </c>
    </row>
    <row r="30" spans="1:4" x14ac:dyDescent="0.3">
      <c r="A30">
        <v>29</v>
      </c>
      <c r="B30" t="s">
        <v>360</v>
      </c>
      <c r="C30" t="s">
        <v>229</v>
      </c>
      <c r="D30">
        <v>22</v>
      </c>
    </row>
    <row r="31" spans="1:4" x14ac:dyDescent="0.3">
      <c r="A31">
        <v>30</v>
      </c>
      <c r="B31" t="s">
        <v>361</v>
      </c>
      <c r="C31" t="s">
        <v>229</v>
      </c>
      <c r="D31">
        <v>2</v>
      </c>
    </row>
    <row r="32" spans="1:4" x14ac:dyDescent="0.3">
      <c r="A32">
        <v>31</v>
      </c>
      <c r="B32" t="s">
        <v>362</v>
      </c>
      <c r="C32" t="s">
        <v>223</v>
      </c>
      <c r="D32">
        <v>16</v>
      </c>
    </row>
    <row r="33" spans="1:4" x14ac:dyDescent="0.3">
      <c r="A33">
        <v>32</v>
      </c>
      <c r="B33" t="s">
        <v>363</v>
      </c>
      <c r="C33" t="s">
        <v>243</v>
      </c>
      <c r="D33">
        <v>2</v>
      </c>
    </row>
    <row r="34" spans="1:4" x14ac:dyDescent="0.3">
      <c r="A34">
        <v>33</v>
      </c>
      <c r="B34" t="s">
        <v>364</v>
      </c>
      <c r="C34" t="s">
        <v>229</v>
      </c>
      <c r="D34">
        <v>20</v>
      </c>
    </row>
    <row r="35" spans="1:4" x14ac:dyDescent="0.3">
      <c r="A35">
        <v>34</v>
      </c>
      <c r="B35" t="s">
        <v>365</v>
      </c>
      <c r="C35" t="s">
        <v>243</v>
      </c>
      <c r="D35">
        <v>1</v>
      </c>
    </row>
    <row r="36" spans="1:4" x14ac:dyDescent="0.3">
      <c r="A36">
        <v>35</v>
      </c>
      <c r="B36" t="s">
        <v>366</v>
      </c>
      <c r="C36" t="s">
        <v>223</v>
      </c>
      <c r="D36">
        <v>13</v>
      </c>
    </row>
    <row r="37" spans="1:4" x14ac:dyDescent="0.3">
      <c r="A37">
        <v>36</v>
      </c>
      <c r="B37" t="s">
        <v>367</v>
      </c>
      <c r="C37" t="s">
        <v>243</v>
      </c>
      <c r="D37">
        <v>20</v>
      </c>
    </row>
    <row r="38" spans="1:4" x14ac:dyDescent="0.3">
      <c r="A38">
        <v>37</v>
      </c>
      <c r="B38" t="s">
        <v>368</v>
      </c>
      <c r="C38" t="s">
        <v>229</v>
      </c>
      <c r="D38">
        <v>5</v>
      </c>
    </row>
    <row r="39" spans="1:4" x14ac:dyDescent="0.3">
      <c r="A39">
        <v>38</v>
      </c>
      <c r="B39" t="s">
        <v>369</v>
      </c>
      <c r="C39" t="s">
        <v>223</v>
      </c>
      <c r="D39">
        <v>22</v>
      </c>
    </row>
    <row r="40" spans="1:4" x14ac:dyDescent="0.3">
      <c r="A40">
        <v>39</v>
      </c>
      <c r="B40" t="s">
        <v>370</v>
      </c>
      <c r="C40" t="s">
        <v>223</v>
      </c>
      <c r="D40">
        <v>22</v>
      </c>
    </row>
    <row r="41" spans="1:4" x14ac:dyDescent="0.3">
      <c r="A41">
        <v>40</v>
      </c>
      <c r="B41" t="s">
        <v>371</v>
      </c>
      <c r="C41" t="s">
        <v>229</v>
      </c>
      <c r="D41">
        <v>28</v>
      </c>
    </row>
    <row r="42" spans="1:4" x14ac:dyDescent="0.3">
      <c r="A42">
        <v>41</v>
      </c>
      <c r="B42" t="s">
        <v>372</v>
      </c>
      <c r="C42" t="s">
        <v>229</v>
      </c>
      <c r="D42">
        <v>12</v>
      </c>
    </row>
    <row r="43" spans="1:4" x14ac:dyDescent="0.3">
      <c r="A43">
        <v>42</v>
      </c>
      <c r="B43" t="s">
        <v>373</v>
      </c>
      <c r="C43" t="s">
        <v>240</v>
      </c>
      <c r="D43">
        <v>26</v>
      </c>
    </row>
    <row r="44" spans="1:4" x14ac:dyDescent="0.3">
      <c r="A44">
        <v>43</v>
      </c>
      <c r="B44" t="s">
        <v>374</v>
      </c>
      <c r="C44" t="s">
        <v>243</v>
      </c>
      <c r="D44">
        <v>6</v>
      </c>
    </row>
    <row r="45" spans="1:4" x14ac:dyDescent="0.3">
      <c r="A45">
        <v>44</v>
      </c>
      <c r="B45" t="s">
        <v>375</v>
      </c>
      <c r="C45" t="s">
        <v>243</v>
      </c>
      <c r="D45">
        <v>4</v>
      </c>
    </row>
    <row r="46" spans="1:4" x14ac:dyDescent="0.3">
      <c r="A46">
        <v>45</v>
      </c>
      <c r="B46" t="s">
        <v>376</v>
      </c>
      <c r="C46" t="s">
        <v>243</v>
      </c>
      <c r="D46">
        <v>21</v>
      </c>
    </row>
    <row r="47" spans="1:4" x14ac:dyDescent="0.3">
      <c r="A47">
        <v>46</v>
      </c>
      <c r="B47" t="s">
        <v>377</v>
      </c>
      <c r="C47" t="s">
        <v>223</v>
      </c>
      <c r="D47">
        <v>20</v>
      </c>
    </row>
    <row r="48" spans="1:4" x14ac:dyDescent="0.3">
      <c r="A48">
        <v>47</v>
      </c>
      <c r="B48" t="s">
        <v>378</v>
      </c>
      <c r="C48" t="s">
        <v>243</v>
      </c>
      <c r="D48">
        <v>1</v>
      </c>
    </row>
    <row r="49" spans="1:4" x14ac:dyDescent="0.3">
      <c r="A49">
        <v>48</v>
      </c>
      <c r="B49" t="s">
        <v>379</v>
      </c>
      <c r="C49" t="s">
        <v>243</v>
      </c>
      <c r="D49">
        <v>6</v>
      </c>
    </row>
    <row r="50" spans="1:4" x14ac:dyDescent="0.3">
      <c r="A50">
        <v>49</v>
      </c>
      <c r="B50" t="s">
        <v>380</v>
      </c>
      <c r="C50" t="s">
        <v>240</v>
      </c>
      <c r="D50">
        <v>5</v>
      </c>
    </row>
    <row r="51" spans="1:4" x14ac:dyDescent="0.3">
      <c r="A51">
        <v>50</v>
      </c>
      <c r="B51" t="s">
        <v>381</v>
      </c>
      <c r="C51" t="s">
        <v>223</v>
      </c>
      <c r="D51">
        <v>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C5FB-71AA-4019-9672-0927EF0D10D3}">
  <dimension ref="A1:D31"/>
  <sheetViews>
    <sheetView workbookViewId="0">
      <selection sqref="A1:D31"/>
    </sheetView>
  </sheetViews>
  <sheetFormatPr defaultRowHeight="14.4" x14ac:dyDescent="0.3"/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x14ac:dyDescent="0.3">
      <c r="A2">
        <v>1</v>
      </c>
      <c r="B2" t="s">
        <v>382</v>
      </c>
      <c r="C2" t="s">
        <v>383</v>
      </c>
      <c r="D2" t="s">
        <v>384</v>
      </c>
    </row>
    <row r="3" spans="1:4" x14ac:dyDescent="0.3">
      <c r="A3">
        <v>2</v>
      </c>
      <c r="B3" t="s">
        <v>382</v>
      </c>
      <c r="C3" t="s">
        <v>383</v>
      </c>
      <c r="D3" t="s">
        <v>384</v>
      </c>
    </row>
    <row r="4" spans="1:4" x14ac:dyDescent="0.3">
      <c r="A4">
        <v>3</v>
      </c>
      <c r="B4" t="s">
        <v>382</v>
      </c>
      <c r="C4" t="s">
        <v>383</v>
      </c>
      <c r="D4" t="s">
        <v>384</v>
      </c>
    </row>
    <row r="5" spans="1:4" x14ac:dyDescent="0.3">
      <c r="A5">
        <v>4</v>
      </c>
      <c r="B5" t="s">
        <v>385</v>
      </c>
      <c r="C5" t="s">
        <v>385</v>
      </c>
      <c r="D5" t="s">
        <v>386</v>
      </c>
    </row>
    <row r="6" spans="1:4" x14ac:dyDescent="0.3">
      <c r="A6">
        <v>5</v>
      </c>
      <c r="B6" t="s">
        <v>385</v>
      </c>
      <c r="C6" t="s">
        <v>385</v>
      </c>
      <c r="D6" t="s">
        <v>386</v>
      </c>
    </row>
    <row r="7" spans="1:4" x14ac:dyDescent="0.3">
      <c r="A7">
        <v>6</v>
      </c>
      <c r="B7" t="s">
        <v>385</v>
      </c>
      <c r="C7" t="s">
        <v>385</v>
      </c>
      <c r="D7" t="s">
        <v>386</v>
      </c>
    </row>
    <row r="8" spans="1:4" x14ac:dyDescent="0.3">
      <c r="A8">
        <v>7</v>
      </c>
      <c r="B8" t="s">
        <v>387</v>
      </c>
      <c r="C8" t="s">
        <v>388</v>
      </c>
      <c r="D8" t="s">
        <v>389</v>
      </c>
    </row>
    <row r="9" spans="1:4" x14ac:dyDescent="0.3">
      <c r="A9">
        <v>8</v>
      </c>
      <c r="B9" t="s">
        <v>387</v>
      </c>
      <c r="C9" t="s">
        <v>388</v>
      </c>
      <c r="D9" t="s">
        <v>389</v>
      </c>
    </row>
    <row r="10" spans="1:4" x14ac:dyDescent="0.3">
      <c r="A10">
        <v>9</v>
      </c>
      <c r="B10" t="s">
        <v>387</v>
      </c>
      <c r="C10" t="s">
        <v>388</v>
      </c>
      <c r="D10" t="s">
        <v>389</v>
      </c>
    </row>
    <row r="11" spans="1:4" x14ac:dyDescent="0.3">
      <c r="A11">
        <v>10</v>
      </c>
      <c r="B11" t="s">
        <v>390</v>
      </c>
      <c r="C11" t="s">
        <v>391</v>
      </c>
      <c r="D11" t="s">
        <v>389</v>
      </c>
    </row>
    <row r="12" spans="1:4" x14ac:dyDescent="0.3">
      <c r="A12">
        <v>11</v>
      </c>
      <c r="B12" t="s">
        <v>390</v>
      </c>
      <c r="C12" t="s">
        <v>391</v>
      </c>
      <c r="D12" t="s">
        <v>389</v>
      </c>
    </row>
    <row r="13" spans="1:4" x14ac:dyDescent="0.3">
      <c r="A13">
        <v>12</v>
      </c>
      <c r="B13" t="s">
        <v>390</v>
      </c>
      <c r="C13" t="s">
        <v>391</v>
      </c>
      <c r="D13" t="s">
        <v>389</v>
      </c>
    </row>
    <row r="14" spans="1:4" x14ac:dyDescent="0.3">
      <c r="A14">
        <v>13</v>
      </c>
      <c r="B14" t="s">
        <v>392</v>
      </c>
      <c r="C14" t="s">
        <v>393</v>
      </c>
      <c r="D14" t="s">
        <v>389</v>
      </c>
    </row>
    <row r="15" spans="1:4" x14ac:dyDescent="0.3">
      <c r="A15">
        <v>14</v>
      </c>
      <c r="B15" t="s">
        <v>392</v>
      </c>
      <c r="C15" t="s">
        <v>393</v>
      </c>
      <c r="D15" t="s">
        <v>389</v>
      </c>
    </row>
    <row r="16" spans="1:4" x14ac:dyDescent="0.3">
      <c r="A16">
        <v>15</v>
      </c>
      <c r="B16" t="s">
        <v>392</v>
      </c>
      <c r="C16" t="s">
        <v>393</v>
      </c>
      <c r="D16" t="s">
        <v>389</v>
      </c>
    </row>
    <row r="17" spans="1:4" x14ac:dyDescent="0.3">
      <c r="A17">
        <v>16</v>
      </c>
      <c r="B17" t="s">
        <v>394</v>
      </c>
      <c r="C17" t="s">
        <v>395</v>
      </c>
      <c r="D17" t="s">
        <v>396</v>
      </c>
    </row>
    <row r="18" spans="1:4" x14ac:dyDescent="0.3">
      <c r="A18">
        <v>17</v>
      </c>
      <c r="B18" t="s">
        <v>394</v>
      </c>
      <c r="C18" t="s">
        <v>395</v>
      </c>
      <c r="D18" t="s">
        <v>396</v>
      </c>
    </row>
    <row r="19" spans="1:4" x14ac:dyDescent="0.3">
      <c r="A19">
        <v>18</v>
      </c>
      <c r="B19" t="s">
        <v>394</v>
      </c>
      <c r="C19" t="s">
        <v>395</v>
      </c>
      <c r="D19" t="s">
        <v>396</v>
      </c>
    </row>
    <row r="20" spans="1:4" x14ac:dyDescent="0.3">
      <c r="A20">
        <v>19</v>
      </c>
      <c r="B20" t="s">
        <v>397</v>
      </c>
      <c r="C20" t="s">
        <v>383</v>
      </c>
      <c r="D20" t="s">
        <v>384</v>
      </c>
    </row>
    <row r="21" spans="1:4" x14ac:dyDescent="0.3">
      <c r="A21">
        <v>20</v>
      </c>
      <c r="B21" t="s">
        <v>397</v>
      </c>
      <c r="C21" t="s">
        <v>383</v>
      </c>
      <c r="D21" t="s">
        <v>384</v>
      </c>
    </row>
    <row r="22" spans="1:4" x14ac:dyDescent="0.3">
      <c r="A22">
        <v>21</v>
      </c>
      <c r="B22" t="s">
        <v>397</v>
      </c>
      <c r="C22" t="s">
        <v>383</v>
      </c>
      <c r="D22" t="s">
        <v>384</v>
      </c>
    </row>
    <row r="23" spans="1:4" x14ac:dyDescent="0.3">
      <c r="A23">
        <v>22</v>
      </c>
      <c r="B23" t="s">
        <v>398</v>
      </c>
      <c r="C23" t="s">
        <v>399</v>
      </c>
      <c r="D23" t="s">
        <v>384</v>
      </c>
    </row>
    <row r="24" spans="1:4" x14ac:dyDescent="0.3">
      <c r="A24">
        <v>23</v>
      </c>
      <c r="B24" t="s">
        <v>398</v>
      </c>
      <c r="C24" t="s">
        <v>399</v>
      </c>
      <c r="D24" t="s">
        <v>384</v>
      </c>
    </row>
    <row r="25" spans="1:4" x14ac:dyDescent="0.3">
      <c r="A25">
        <v>24</v>
      </c>
      <c r="B25" t="s">
        <v>398</v>
      </c>
      <c r="C25" t="s">
        <v>399</v>
      </c>
      <c r="D25" t="s">
        <v>384</v>
      </c>
    </row>
    <row r="26" spans="1:4" x14ac:dyDescent="0.3">
      <c r="A26">
        <v>25</v>
      </c>
      <c r="B26" t="s">
        <v>400</v>
      </c>
      <c r="C26" t="s">
        <v>401</v>
      </c>
      <c r="D26" t="s">
        <v>386</v>
      </c>
    </row>
    <row r="27" spans="1:4" x14ac:dyDescent="0.3">
      <c r="A27">
        <v>26</v>
      </c>
      <c r="B27" t="s">
        <v>400</v>
      </c>
      <c r="C27" t="s">
        <v>401</v>
      </c>
      <c r="D27" t="s">
        <v>386</v>
      </c>
    </row>
    <row r="28" spans="1:4" x14ac:dyDescent="0.3">
      <c r="A28">
        <v>27</v>
      </c>
      <c r="B28" t="s">
        <v>400</v>
      </c>
      <c r="C28" t="s">
        <v>401</v>
      </c>
      <c r="D28" t="s">
        <v>386</v>
      </c>
    </row>
    <row r="29" spans="1:4" x14ac:dyDescent="0.3">
      <c r="A29">
        <v>28</v>
      </c>
      <c r="B29" t="s">
        <v>402</v>
      </c>
      <c r="C29" t="s">
        <v>403</v>
      </c>
      <c r="D29" t="s">
        <v>386</v>
      </c>
    </row>
    <row r="30" spans="1:4" x14ac:dyDescent="0.3">
      <c r="A30">
        <v>29</v>
      </c>
      <c r="B30" t="s">
        <v>402</v>
      </c>
      <c r="C30" t="s">
        <v>403</v>
      </c>
      <c r="D30" t="s">
        <v>386</v>
      </c>
    </row>
    <row r="31" spans="1:4" x14ac:dyDescent="0.3">
      <c r="A31">
        <v>30</v>
      </c>
      <c r="B31" t="s">
        <v>402</v>
      </c>
      <c r="C31" t="s">
        <v>403</v>
      </c>
      <c r="D31" t="s">
        <v>386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ABAAC-BF8E-4383-926B-B6ED7C86CDFB}">
  <dimension ref="A1:E501"/>
  <sheetViews>
    <sheetView workbookViewId="0">
      <selection sqref="A1:E501"/>
    </sheetView>
  </sheetViews>
  <sheetFormatPr defaultRowHeight="14.4" x14ac:dyDescent="0.3"/>
  <sheetData>
    <row r="1" spans="1:5" x14ac:dyDescent="0.3">
      <c r="A1" t="s">
        <v>404</v>
      </c>
      <c r="B1" t="s">
        <v>330</v>
      </c>
      <c r="C1" t="s">
        <v>216</v>
      </c>
      <c r="D1" t="s">
        <v>405</v>
      </c>
      <c r="E1" t="s">
        <v>406</v>
      </c>
    </row>
    <row r="2" spans="1:5" x14ac:dyDescent="0.3">
      <c r="A2">
        <v>1</v>
      </c>
      <c r="B2">
        <v>2</v>
      </c>
      <c r="C2">
        <v>17</v>
      </c>
      <c r="D2">
        <v>179</v>
      </c>
      <c r="E2">
        <v>124</v>
      </c>
    </row>
    <row r="3" spans="1:5" x14ac:dyDescent="0.3">
      <c r="A3">
        <v>2</v>
      </c>
      <c r="B3">
        <v>6</v>
      </c>
      <c r="C3">
        <v>52</v>
      </c>
      <c r="D3">
        <v>420</v>
      </c>
      <c r="E3">
        <v>29</v>
      </c>
    </row>
    <row r="4" spans="1:5" x14ac:dyDescent="0.3">
      <c r="A4">
        <v>3</v>
      </c>
      <c r="B4">
        <v>29</v>
      </c>
      <c r="C4">
        <v>10</v>
      </c>
      <c r="D4">
        <v>471</v>
      </c>
      <c r="E4">
        <v>23</v>
      </c>
    </row>
    <row r="5" spans="1:5" x14ac:dyDescent="0.3">
      <c r="A5">
        <v>4</v>
      </c>
      <c r="B5">
        <v>12</v>
      </c>
      <c r="C5">
        <v>49</v>
      </c>
      <c r="D5">
        <v>344</v>
      </c>
      <c r="E5">
        <v>3</v>
      </c>
    </row>
    <row r="6" spans="1:5" x14ac:dyDescent="0.3">
      <c r="A6">
        <v>5</v>
      </c>
      <c r="B6">
        <v>46</v>
      </c>
      <c r="C6">
        <v>97</v>
      </c>
      <c r="D6">
        <v>362</v>
      </c>
      <c r="E6">
        <v>61</v>
      </c>
    </row>
    <row r="7" spans="1:5" x14ac:dyDescent="0.3">
      <c r="A7">
        <v>6</v>
      </c>
      <c r="B7">
        <v>21</v>
      </c>
      <c r="C7">
        <v>94</v>
      </c>
      <c r="D7">
        <v>395</v>
      </c>
      <c r="E7">
        <v>100</v>
      </c>
    </row>
    <row r="8" spans="1:5" x14ac:dyDescent="0.3">
      <c r="A8">
        <v>7</v>
      </c>
      <c r="B8">
        <v>44</v>
      </c>
      <c r="C8">
        <v>19</v>
      </c>
      <c r="D8">
        <v>88</v>
      </c>
      <c r="E8">
        <v>158</v>
      </c>
    </row>
    <row r="9" spans="1:5" x14ac:dyDescent="0.3">
      <c r="A9">
        <v>8</v>
      </c>
      <c r="B9">
        <v>1</v>
      </c>
      <c r="C9">
        <v>14</v>
      </c>
      <c r="D9">
        <v>197</v>
      </c>
      <c r="E9">
        <v>82</v>
      </c>
    </row>
    <row r="10" spans="1:5" x14ac:dyDescent="0.3">
      <c r="A10">
        <v>9</v>
      </c>
      <c r="B10">
        <v>3</v>
      </c>
      <c r="C10">
        <v>22</v>
      </c>
      <c r="D10">
        <v>177</v>
      </c>
      <c r="E10">
        <v>107</v>
      </c>
    </row>
    <row r="11" spans="1:5" x14ac:dyDescent="0.3">
      <c r="A11">
        <v>10</v>
      </c>
      <c r="B11">
        <v>33</v>
      </c>
      <c r="C11">
        <v>89</v>
      </c>
      <c r="D11">
        <v>340</v>
      </c>
      <c r="E11">
        <v>121</v>
      </c>
    </row>
    <row r="12" spans="1:5" x14ac:dyDescent="0.3">
      <c r="A12">
        <v>11</v>
      </c>
      <c r="B12">
        <v>1</v>
      </c>
      <c r="C12">
        <v>26</v>
      </c>
      <c r="D12">
        <v>235</v>
      </c>
      <c r="E12">
        <v>78</v>
      </c>
    </row>
    <row r="13" spans="1:5" x14ac:dyDescent="0.3">
      <c r="A13">
        <v>12</v>
      </c>
      <c r="B13">
        <v>2</v>
      </c>
      <c r="C13">
        <v>85</v>
      </c>
      <c r="D13">
        <v>276</v>
      </c>
      <c r="E13">
        <v>118</v>
      </c>
    </row>
    <row r="14" spans="1:5" x14ac:dyDescent="0.3">
      <c r="A14">
        <v>13</v>
      </c>
      <c r="B14">
        <v>32</v>
      </c>
      <c r="C14">
        <v>99</v>
      </c>
      <c r="D14">
        <v>285</v>
      </c>
      <c r="E14">
        <v>98</v>
      </c>
    </row>
    <row r="15" spans="1:5" x14ac:dyDescent="0.3">
      <c r="A15">
        <v>14</v>
      </c>
      <c r="B15">
        <v>50</v>
      </c>
      <c r="C15">
        <v>75</v>
      </c>
      <c r="D15">
        <v>306</v>
      </c>
      <c r="E15">
        <v>30</v>
      </c>
    </row>
    <row r="16" spans="1:5" x14ac:dyDescent="0.3">
      <c r="A16">
        <v>15</v>
      </c>
      <c r="B16">
        <v>19</v>
      </c>
      <c r="C16">
        <v>69</v>
      </c>
      <c r="D16">
        <v>190</v>
      </c>
      <c r="E16">
        <v>91</v>
      </c>
    </row>
    <row r="17" spans="1:5" x14ac:dyDescent="0.3">
      <c r="A17">
        <v>16</v>
      </c>
      <c r="B17">
        <v>8</v>
      </c>
      <c r="C17">
        <v>28</v>
      </c>
      <c r="D17">
        <v>284</v>
      </c>
      <c r="E17">
        <v>80</v>
      </c>
    </row>
    <row r="18" spans="1:5" x14ac:dyDescent="0.3">
      <c r="A18">
        <v>17</v>
      </c>
      <c r="B18">
        <v>23</v>
      </c>
      <c r="C18">
        <v>90</v>
      </c>
      <c r="D18">
        <v>293</v>
      </c>
      <c r="E18">
        <v>177</v>
      </c>
    </row>
    <row r="19" spans="1:5" x14ac:dyDescent="0.3">
      <c r="A19">
        <v>18</v>
      </c>
      <c r="B19">
        <v>27</v>
      </c>
      <c r="C19">
        <v>73</v>
      </c>
      <c r="D19">
        <v>120</v>
      </c>
      <c r="E19">
        <v>107</v>
      </c>
    </row>
    <row r="20" spans="1:5" x14ac:dyDescent="0.3">
      <c r="A20">
        <v>19</v>
      </c>
      <c r="B20">
        <v>36</v>
      </c>
      <c r="C20">
        <v>41</v>
      </c>
      <c r="D20">
        <v>60</v>
      </c>
      <c r="E20">
        <v>140</v>
      </c>
    </row>
    <row r="21" spans="1:5" x14ac:dyDescent="0.3">
      <c r="A21">
        <v>20</v>
      </c>
      <c r="B21">
        <v>5</v>
      </c>
      <c r="C21">
        <v>38</v>
      </c>
      <c r="D21">
        <v>395</v>
      </c>
      <c r="E21">
        <v>96</v>
      </c>
    </row>
    <row r="22" spans="1:5" x14ac:dyDescent="0.3">
      <c r="A22">
        <v>21</v>
      </c>
      <c r="B22">
        <v>11</v>
      </c>
      <c r="C22">
        <v>54</v>
      </c>
      <c r="D22">
        <v>124</v>
      </c>
      <c r="E22">
        <v>101</v>
      </c>
    </row>
    <row r="23" spans="1:5" x14ac:dyDescent="0.3">
      <c r="A23">
        <v>22</v>
      </c>
      <c r="B23">
        <v>16</v>
      </c>
      <c r="C23">
        <v>68</v>
      </c>
      <c r="D23">
        <v>249</v>
      </c>
      <c r="E23">
        <v>58</v>
      </c>
    </row>
    <row r="24" spans="1:5" x14ac:dyDescent="0.3">
      <c r="A24">
        <v>23</v>
      </c>
      <c r="B24">
        <v>31</v>
      </c>
      <c r="C24">
        <v>37</v>
      </c>
      <c r="D24">
        <v>485</v>
      </c>
      <c r="E24">
        <v>129</v>
      </c>
    </row>
    <row r="25" spans="1:5" x14ac:dyDescent="0.3">
      <c r="A25">
        <v>24</v>
      </c>
      <c r="B25">
        <v>37</v>
      </c>
      <c r="C25">
        <v>27</v>
      </c>
      <c r="D25">
        <v>384</v>
      </c>
      <c r="E25">
        <v>116</v>
      </c>
    </row>
    <row r="26" spans="1:5" x14ac:dyDescent="0.3">
      <c r="A26">
        <v>25</v>
      </c>
      <c r="B26">
        <v>22</v>
      </c>
      <c r="C26">
        <v>96</v>
      </c>
      <c r="D26">
        <v>17</v>
      </c>
      <c r="E26">
        <v>75</v>
      </c>
    </row>
    <row r="27" spans="1:5" x14ac:dyDescent="0.3">
      <c r="A27">
        <v>26</v>
      </c>
      <c r="B27">
        <v>22</v>
      </c>
      <c r="C27">
        <v>62</v>
      </c>
      <c r="D27">
        <v>449</v>
      </c>
      <c r="E27">
        <v>132</v>
      </c>
    </row>
    <row r="28" spans="1:5" x14ac:dyDescent="0.3">
      <c r="A28">
        <v>27</v>
      </c>
      <c r="B28">
        <v>16</v>
      </c>
      <c r="C28">
        <v>32</v>
      </c>
      <c r="D28">
        <v>76</v>
      </c>
      <c r="E28">
        <v>128</v>
      </c>
    </row>
    <row r="29" spans="1:5" x14ac:dyDescent="0.3">
      <c r="A29">
        <v>28</v>
      </c>
      <c r="B29">
        <v>9</v>
      </c>
      <c r="C29">
        <v>90</v>
      </c>
      <c r="D29">
        <v>82</v>
      </c>
      <c r="E29">
        <v>109</v>
      </c>
    </row>
    <row r="30" spans="1:5" x14ac:dyDescent="0.3">
      <c r="A30">
        <v>29</v>
      </c>
      <c r="B30">
        <v>49</v>
      </c>
      <c r="C30">
        <v>76</v>
      </c>
      <c r="D30">
        <v>328</v>
      </c>
      <c r="E30">
        <v>97</v>
      </c>
    </row>
    <row r="31" spans="1:5" x14ac:dyDescent="0.3">
      <c r="A31">
        <v>30</v>
      </c>
      <c r="B31">
        <v>15</v>
      </c>
      <c r="C31">
        <v>71</v>
      </c>
      <c r="D31">
        <v>155</v>
      </c>
      <c r="E31">
        <v>79</v>
      </c>
    </row>
    <row r="32" spans="1:5" x14ac:dyDescent="0.3">
      <c r="A32">
        <v>31</v>
      </c>
      <c r="B32">
        <v>28</v>
      </c>
      <c r="C32">
        <v>57</v>
      </c>
      <c r="D32">
        <v>30</v>
      </c>
      <c r="E32">
        <v>151</v>
      </c>
    </row>
    <row r="33" spans="1:5" x14ac:dyDescent="0.3">
      <c r="A33">
        <v>32</v>
      </c>
      <c r="B33">
        <v>44</v>
      </c>
      <c r="C33">
        <v>7</v>
      </c>
      <c r="D33">
        <v>377</v>
      </c>
      <c r="E33">
        <v>135</v>
      </c>
    </row>
    <row r="34" spans="1:5" x14ac:dyDescent="0.3">
      <c r="A34">
        <v>33</v>
      </c>
      <c r="B34">
        <v>11</v>
      </c>
      <c r="C34">
        <v>70</v>
      </c>
      <c r="D34">
        <v>115</v>
      </c>
      <c r="E34">
        <v>86</v>
      </c>
    </row>
    <row r="35" spans="1:5" x14ac:dyDescent="0.3">
      <c r="A35">
        <v>34</v>
      </c>
      <c r="B35">
        <v>8</v>
      </c>
      <c r="C35">
        <v>43</v>
      </c>
      <c r="D35">
        <v>211</v>
      </c>
      <c r="E35">
        <v>50</v>
      </c>
    </row>
    <row r="36" spans="1:5" x14ac:dyDescent="0.3">
      <c r="A36">
        <v>35</v>
      </c>
      <c r="B36">
        <v>49</v>
      </c>
      <c r="C36">
        <v>93</v>
      </c>
      <c r="D36">
        <v>402</v>
      </c>
      <c r="E36">
        <v>94</v>
      </c>
    </row>
    <row r="37" spans="1:5" x14ac:dyDescent="0.3">
      <c r="A37">
        <v>36</v>
      </c>
      <c r="B37">
        <v>16</v>
      </c>
      <c r="C37">
        <v>63</v>
      </c>
      <c r="D37">
        <v>75</v>
      </c>
      <c r="E37">
        <v>177</v>
      </c>
    </row>
    <row r="38" spans="1:5" x14ac:dyDescent="0.3">
      <c r="A38">
        <v>37</v>
      </c>
      <c r="B38">
        <v>47</v>
      </c>
      <c r="C38">
        <v>13</v>
      </c>
      <c r="D38">
        <v>372</v>
      </c>
      <c r="E38">
        <v>135</v>
      </c>
    </row>
    <row r="39" spans="1:5" x14ac:dyDescent="0.3">
      <c r="A39">
        <v>38</v>
      </c>
      <c r="B39">
        <v>29</v>
      </c>
      <c r="C39">
        <v>89</v>
      </c>
      <c r="D39">
        <v>241</v>
      </c>
      <c r="E39">
        <v>114</v>
      </c>
    </row>
    <row r="40" spans="1:5" x14ac:dyDescent="0.3">
      <c r="A40">
        <v>39</v>
      </c>
      <c r="B40">
        <v>3</v>
      </c>
      <c r="C40">
        <v>68</v>
      </c>
      <c r="D40">
        <v>393</v>
      </c>
      <c r="E40">
        <v>20</v>
      </c>
    </row>
    <row r="41" spans="1:5" x14ac:dyDescent="0.3">
      <c r="A41">
        <v>40</v>
      </c>
      <c r="B41">
        <v>31</v>
      </c>
      <c r="C41">
        <v>60</v>
      </c>
      <c r="D41">
        <v>401</v>
      </c>
      <c r="E41">
        <v>4</v>
      </c>
    </row>
    <row r="42" spans="1:5" x14ac:dyDescent="0.3">
      <c r="A42">
        <v>41</v>
      </c>
      <c r="B42">
        <v>25</v>
      </c>
      <c r="C42">
        <v>78</v>
      </c>
      <c r="D42">
        <v>262</v>
      </c>
      <c r="E42">
        <v>25</v>
      </c>
    </row>
    <row r="43" spans="1:5" x14ac:dyDescent="0.3">
      <c r="A43">
        <v>42</v>
      </c>
      <c r="B43">
        <v>46</v>
      </c>
      <c r="C43">
        <v>16</v>
      </c>
      <c r="D43">
        <v>76</v>
      </c>
      <c r="E43">
        <v>109</v>
      </c>
    </row>
    <row r="44" spans="1:5" x14ac:dyDescent="0.3">
      <c r="A44">
        <v>43</v>
      </c>
      <c r="B44">
        <v>42</v>
      </c>
      <c r="C44">
        <v>34</v>
      </c>
      <c r="D44">
        <v>315</v>
      </c>
      <c r="E44">
        <v>18</v>
      </c>
    </row>
    <row r="45" spans="1:5" x14ac:dyDescent="0.3">
      <c r="A45">
        <v>44</v>
      </c>
      <c r="B45">
        <v>46</v>
      </c>
      <c r="C45">
        <v>80</v>
      </c>
      <c r="D45">
        <v>128</v>
      </c>
      <c r="E45">
        <v>15</v>
      </c>
    </row>
    <row r="46" spans="1:5" x14ac:dyDescent="0.3">
      <c r="A46">
        <v>45</v>
      </c>
      <c r="B46">
        <v>33</v>
      </c>
      <c r="C46">
        <v>79</v>
      </c>
      <c r="D46">
        <v>84</v>
      </c>
      <c r="E46">
        <v>121</v>
      </c>
    </row>
    <row r="47" spans="1:5" x14ac:dyDescent="0.3">
      <c r="A47">
        <v>46</v>
      </c>
      <c r="B47">
        <v>42</v>
      </c>
      <c r="C47">
        <v>68</v>
      </c>
      <c r="D47">
        <v>356</v>
      </c>
      <c r="E47">
        <v>143</v>
      </c>
    </row>
    <row r="48" spans="1:5" x14ac:dyDescent="0.3">
      <c r="A48">
        <v>47</v>
      </c>
      <c r="B48">
        <v>40</v>
      </c>
      <c r="C48">
        <v>83</v>
      </c>
      <c r="D48">
        <v>378</v>
      </c>
      <c r="E48">
        <v>110</v>
      </c>
    </row>
    <row r="49" spans="1:5" x14ac:dyDescent="0.3">
      <c r="A49">
        <v>48</v>
      </c>
      <c r="B49">
        <v>30</v>
      </c>
      <c r="C49">
        <v>16</v>
      </c>
      <c r="D49">
        <v>209</v>
      </c>
      <c r="E49">
        <v>136</v>
      </c>
    </row>
    <row r="50" spans="1:5" x14ac:dyDescent="0.3">
      <c r="A50">
        <v>49</v>
      </c>
      <c r="B50">
        <v>8</v>
      </c>
      <c r="C50">
        <v>2</v>
      </c>
      <c r="D50">
        <v>337</v>
      </c>
      <c r="E50">
        <v>6</v>
      </c>
    </row>
    <row r="51" spans="1:5" x14ac:dyDescent="0.3">
      <c r="A51">
        <v>50</v>
      </c>
      <c r="B51">
        <v>34</v>
      </c>
      <c r="C51">
        <v>50</v>
      </c>
      <c r="D51">
        <v>220</v>
      </c>
      <c r="E51">
        <v>144</v>
      </c>
    </row>
    <row r="52" spans="1:5" x14ac:dyDescent="0.3">
      <c r="A52">
        <v>51</v>
      </c>
      <c r="B52">
        <v>40</v>
      </c>
      <c r="C52">
        <v>28</v>
      </c>
      <c r="D52">
        <v>119</v>
      </c>
      <c r="E52">
        <v>9</v>
      </c>
    </row>
    <row r="53" spans="1:5" x14ac:dyDescent="0.3">
      <c r="A53">
        <v>52</v>
      </c>
      <c r="B53">
        <v>21</v>
      </c>
      <c r="C53">
        <v>36</v>
      </c>
      <c r="D53">
        <v>56</v>
      </c>
      <c r="E53">
        <v>148</v>
      </c>
    </row>
    <row r="54" spans="1:5" x14ac:dyDescent="0.3">
      <c r="A54">
        <v>53</v>
      </c>
      <c r="B54">
        <v>34</v>
      </c>
      <c r="C54">
        <v>50</v>
      </c>
      <c r="D54">
        <v>67</v>
      </c>
      <c r="E54">
        <v>80</v>
      </c>
    </row>
    <row r="55" spans="1:5" x14ac:dyDescent="0.3">
      <c r="A55">
        <v>54</v>
      </c>
      <c r="B55">
        <v>32</v>
      </c>
      <c r="C55">
        <v>100</v>
      </c>
      <c r="D55">
        <v>397</v>
      </c>
      <c r="E55">
        <v>5</v>
      </c>
    </row>
    <row r="56" spans="1:5" x14ac:dyDescent="0.3">
      <c r="A56">
        <v>55</v>
      </c>
      <c r="B56">
        <v>6</v>
      </c>
      <c r="C56">
        <v>51</v>
      </c>
      <c r="D56">
        <v>336</v>
      </c>
      <c r="E56">
        <v>49</v>
      </c>
    </row>
    <row r="57" spans="1:5" x14ac:dyDescent="0.3">
      <c r="A57">
        <v>56</v>
      </c>
      <c r="B57">
        <v>23</v>
      </c>
      <c r="C57">
        <v>75</v>
      </c>
      <c r="D57">
        <v>9</v>
      </c>
      <c r="E57">
        <v>174</v>
      </c>
    </row>
    <row r="58" spans="1:5" x14ac:dyDescent="0.3">
      <c r="A58">
        <v>57</v>
      </c>
      <c r="B58">
        <v>44</v>
      </c>
      <c r="C58">
        <v>6</v>
      </c>
      <c r="D58">
        <v>236</v>
      </c>
      <c r="E58">
        <v>58</v>
      </c>
    </row>
    <row r="59" spans="1:5" x14ac:dyDescent="0.3">
      <c r="A59">
        <v>58</v>
      </c>
      <c r="B59">
        <v>13</v>
      </c>
      <c r="C59">
        <v>32</v>
      </c>
      <c r="D59">
        <v>329</v>
      </c>
      <c r="E59">
        <v>76</v>
      </c>
    </row>
    <row r="60" spans="1:5" x14ac:dyDescent="0.3">
      <c r="A60">
        <v>59</v>
      </c>
      <c r="B60">
        <v>6</v>
      </c>
      <c r="C60">
        <v>96</v>
      </c>
      <c r="D60">
        <v>82</v>
      </c>
      <c r="E60">
        <v>153</v>
      </c>
    </row>
    <row r="61" spans="1:5" x14ac:dyDescent="0.3">
      <c r="A61">
        <v>60</v>
      </c>
      <c r="B61">
        <v>27</v>
      </c>
      <c r="C61">
        <v>94</v>
      </c>
      <c r="D61">
        <v>404</v>
      </c>
      <c r="E61">
        <v>108</v>
      </c>
    </row>
    <row r="62" spans="1:5" x14ac:dyDescent="0.3">
      <c r="A62">
        <v>61</v>
      </c>
      <c r="B62">
        <v>40</v>
      </c>
      <c r="C62">
        <v>31</v>
      </c>
      <c r="D62">
        <v>342</v>
      </c>
      <c r="E62">
        <v>35</v>
      </c>
    </row>
    <row r="63" spans="1:5" x14ac:dyDescent="0.3">
      <c r="A63">
        <v>62</v>
      </c>
      <c r="B63">
        <v>37</v>
      </c>
      <c r="C63">
        <v>2</v>
      </c>
      <c r="D63">
        <v>439</v>
      </c>
      <c r="E63">
        <v>33</v>
      </c>
    </row>
    <row r="64" spans="1:5" x14ac:dyDescent="0.3">
      <c r="A64">
        <v>63</v>
      </c>
      <c r="B64">
        <v>23</v>
      </c>
      <c r="C64">
        <v>83</v>
      </c>
      <c r="D64">
        <v>496</v>
      </c>
      <c r="E64">
        <v>72</v>
      </c>
    </row>
    <row r="65" spans="1:5" x14ac:dyDescent="0.3">
      <c r="A65">
        <v>64</v>
      </c>
      <c r="B65">
        <v>2</v>
      </c>
      <c r="C65">
        <v>60</v>
      </c>
      <c r="D65">
        <v>92</v>
      </c>
      <c r="E65">
        <v>72</v>
      </c>
    </row>
    <row r="66" spans="1:5" x14ac:dyDescent="0.3">
      <c r="A66">
        <v>65</v>
      </c>
      <c r="B66">
        <v>4</v>
      </c>
      <c r="C66">
        <v>27</v>
      </c>
      <c r="D66">
        <v>451</v>
      </c>
      <c r="E66">
        <v>62</v>
      </c>
    </row>
    <row r="67" spans="1:5" x14ac:dyDescent="0.3">
      <c r="A67">
        <v>66</v>
      </c>
      <c r="B67">
        <v>44</v>
      </c>
      <c r="C67">
        <v>64</v>
      </c>
      <c r="D67">
        <v>460</v>
      </c>
      <c r="E67">
        <v>179</v>
      </c>
    </row>
    <row r="68" spans="1:5" x14ac:dyDescent="0.3">
      <c r="A68">
        <v>67</v>
      </c>
      <c r="B68">
        <v>34</v>
      </c>
      <c r="C68">
        <v>8</v>
      </c>
      <c r="D68">
        <v>378</v>
      </c>
      <c r="E68">
        <v>151</v>
      </c>
    </row>
    <row r="69" spans="1:5" x14ac:dyDescent="0.3">
      <c r="A69">
        <v>68</v>
      </c>
      <c r="B69">
        <v>32</v>
      </c>
      <c r="C69">
        <v>30</v>
      </c>
      <c r="D69">
        <v>179</v>
      </c>
      <c r="E69">
        <v>103</v>
      </c>
    </row>
    <row r="70" spans="1:5" x14ac:dyDescent="0.3">
      <c r="A70">
        <v>69</v>
      </c>
      <c r="B70">
        <v>20</v>
      </c>
      <c r="C70">
        <v>6</v>
      </c>
      <c r="D70">
        <v>9</v>
      </c>
      <c r="E70">
        <v>84</v>
      </c>
    </row>
    <row r="71" spans="1:5" x14ac:dyDescent="0.3">
      <c r="A71">
        <v>70</v>
      </c>
      <c r="B71">
        <v>24</v>
      </c>
      <c r="C71">
        <v>56</v>
      </c>
      <c r="D71">
        <v>197</v>
      </c>
      <c r="E71">
        <v>102</v>
      </c>
    </row>
    <row r="72" spans="1:5" x14ac:dyDescent="0.3">
      <c r="A72">
        <v>71</v>
      </c>
      <c r="B72">
        <v>5</v>
      </c>
      <c r="C72">
        <v>5</v>
      </c>
      <c r="D72">
        <v>288</v>
      </c>
      <c r="E72">
        <v>130</v>
      </c>
    </row>
    <row r="73" spans="1:5" x14ac:dyDescent="0.3">
      <c r="A73">
        <v>72</v>
      </c>
      <c r="B73">
        <v>27</v>
      </c>
      <c r="C73">
        <v>44</v>
      </c>
      <c r="D73">
        <v>462</v>
      </c>
      <c r="E73">
        <v>9</v>
      </c>
    </row>
    <row r="74" spans="1:5" x14ac:dyDescent="0.3">
      <c r="A74">
        <v>73</v>
      </c>
      <c r="B74">
        <v>43</v>
      </c>
      <c r="C74">
        <v>62</v>
      </c>
      <c r="D74">
        <v>63</v>
      </c>
      <c r="E74">
        <v>88</v>
      </c>
    </row>
    <row r="75" spans="1:5" x14ac:dyDescent="0.3">
      <c r="A75">
        <v>74</v>
      </c>
      <c r="B75">
        <v>45</v>
      </c>
      <c r="C75">
        <v>90</v>
      </c>
      <c r="D75">
        <v>438</v>
      </c>
      <c r="E75">
        <v>126</v>
      </c>
    </row>
    <row r="76" spans="1:5" x14ac:dyDescent="0.3">
      <c r="A76">
        <v>75</v>
      </c>
      <c r="B76">
        <v>4</v>
      </c>
      <c r="C76">
        <v>95</v>
      </c>
      <c r="D76">
        <v>363</v>
      </c>
      <c r="E76">
        <v>57</v>
      </c>
    </row>
    <row r="77" spans="1:5" x14ac:dyDescent="0.3">
      <c r="A77">
        <v>76</v>
      </c>
      <c r="B77">
        <v>5</v>
      </c>
      <c r="C77">
        <v>66</v>
      </c>
      <c r="D77">
        <v>210</v>
      </c>
      <c r="E77">
        <v>178</v>
      </c>
    </row>
    <row r="78" spans="1:5" x14ac:dyDescent="0.3">
      <c r="A78">
        <v>77</v>
      </c>
      <c r="B78">
        <v>48</v>
      </c>
      <c r="C78">
        <v>33</v>
      </c>
      <c r="D78">
        <v>5</v>
      </c>
      <c r="E78">
        <v>43</v>
      </c>
    </row>
    <row r="79" spans="1:5" x14ac:dyDescent="0.3">
      <c r="A79">
        <v>78</v>
      </c>
      <c r="B79">
        <v>41</v>
      </c>
      <c r="C79">
        <v>18</v>
      </c>
      <c r="D79">
        <v>109</v>
      </c>
      <c r="E79">
        <v>51</v>
      </c>
    </row>
    <row r="80" spans="1:5" x14ac:dyDescent="0.3">
      <c r="A80">
        <v>79</v>
      </c>
      <c r="B80">
        <v>11</v>
      </c>
      <c r="C80">
        <v>14</v>
      </c>
      <c r="D80">
        <v>425</v>
      </c>
      <c r="E80">
        <v>78</v>
      </c>
    </row>
    <row r="81" spans="1:5" x14ac:dyDescent="0.3">
      <c r="A81">
        <v>80</v>
      </c>
      <c r="B81">
        <v>13</v>
      </c>
      <c r="C81">
        <v>81</v>
      </c>
      <c r="D81">
        <v>9</v>
      </c>
      <c r="E81">
        <v>4</v>
      </c>
    </row>
    <row r="82" spans="1:5" x14ac:dyDescent="0.3">
      <c r="A82">
        <v>81</v>
      </c>
      <c r="B82">
        <v>38</v>
      </c>
      <c r="C82">
        <v>95</v>
      </c>
      <c r="D82">
        <v>33</v>
      </c>
      <c r="E82">
        <v>53</v>
      </c>
    </row>
    <row r="83" spans="1:5" x14ac:dyDescent="0.3">
      <c r="A83">
        <v>82</v>
      </c>
      <c r="B83">
        <v>5</v>
      </c>
      <c r="C83">
        <v>79</v>
      </c>
      <c r="D83">
        <v>83</v>
      </c>
      <c r="E83">
        <v>90</v>
      </c>
    </row>
    <row r="84" spans="1:5" x14ac:dyDescent="0.3">
      <c r="A84">
        <v>83</v>
      </c>
      <c r="B84">
        <v>31</v>
      </c>
      <c r="C84">
        <v>57</v>
      </c>
      <c r="D84">
        <v>311</v>
      </c>
      <c r="E84">
        <v>37</v>
      </c>
    </row>
    <row r="85" spans="1:5" x14ac:dyDescent="0.3">
      <c r="A85">
        <v>84</v>
      </c>
      <c r="B85">
        <v>17</v>
      </c>
      <c r="C85">
        <v>86</v>
      </c>
      <c r="D85">
        <v>450</v>
      </c>
      <c r="E85">
        <v>85</v>
      </c>
    </row>
    <row r="86" spans="1:5" x14ac:dyDescent="0.3">
      <c r="A86">
        <v>85</v>
      </c>
      <c r="B86">
        <v>21</v>
      </c>
      <c r="C86">
        <v>25</v>
      </c>
      <c r="D86">
        <v>32</v>
      </c>
      <c r="E86">
        <v>25</v>
      </c>
    </row>
    <row r="87" spans="1:5" x14ac:dyDescent="0.3">
      <c r="A87">
        <v>86</v>
      </c>
      <c r="B87">
        <v>29</v>
      </c>
      <c r="C87">
        <v>48</v>
      </c>
      <c r="D87">
        <v>310</v>
      </c>
      <c r="E87">
        <v>76</v>
      </c>
    </row>
    <row r="88" spans="1:5" x14ac:dyDescent="0.3">
      <c r="A88">
        <v>87</v>
      </c>
      <c r="B88">
        <v>36</v>
      </c>
      <c r="C88">
        <v>22</v>
      </c>
      <c r="D88">
        <v>453</v>
      </c>
      <c r="E88">
        <v>97</v>
      </c>
    </row>
    <row r="89" spans="1:5" x14ac:dyDescent="0.3">
      <c r="A89">
        <v>88</v>
      </c>
      <c r="B89">
        <v>45</v>
      </c>
      <c r="C89">
        <v>71</v>
      </c>
      <c r="D89">
        <v>377</v>
      </c>
      <c r="E89">
        <v>159</v>
      </c>
    </row>
    <row r="90" spans="1:5" x14ac:dyDescent="0.3">
      <c r="A90">
        <v>89</v>
      </c>
      <c r="B90">
        <v>45</v>
      </c>
      <c r="C90">
        <v>33</v>
      </c>
      <c r="D90">
        <v>109</v>
      </c>
      <c r="E90">
        <v>67</v>
      </c>
    </row>
    <row r="91" spans="1:5" x14ac:dyDescent="0.3">
      <c r="A91">
        <v>90</v>
      </c>
      <c r="B91">
        <v>35</v>
      </c>
      <c r="C91">
        <v>78</v>
      </c>
      <c r="D91">
        <v>412</v>
      </c>
      <c r="E91">
        <v>77</v>
      </c>
    </row>
    <row r="92" spans="1:5" x14ac:dyDescent="0.3">
      <c r="A92">
        <v>91</v>
      </c>
      <c r="B92">
        <v>12</v>
      </c>
      <c r="C92">
        <v>62</v>
      </c>
      <c r="D92">
        <v>376</v>
      </c>
      <c r="E92">
        <v>69</v>
      </c>
    </row>
    <row r="93" spans="1:5" x14ac:dyDescent="0.3">
      <c r="A93">
        <v>92</v>
      </c>
      <c r="B93">
        <v>29</v>
      </c>
      <c r="C93">
        <v>61</v>
      </c>
      <c r="D93">
        <v>48</v>
      </c>
      <c r="E93">
        <v>23</v>
      </c>
    </row>
    <row r="94" spans="1:5" x14ac:dyDescent="0.3">
      <c r="A94">
        <v>93</v>
      </c>
      <c r="B94">
        <v>21</v>
      </c>
      <c r="C94">
        <v>76</v>
      </c>
      <c r="D94">
        <v>138</v>
      </c>
      <c r="E94">
        <v>179</v>
      </c>
    </row>
    <row r="95" spans="1:5" x14ac:dyDescent="0.3">
      <c r="A95">
        <v>94</v>
      </c>
      <c r="B95">
        <v>12</v>
      </c>
      <c r="C95">
        <v>14</v>
      </c>
      <c r="D95">
        <v>91</v>
      </c>
      <c r="E95">
        <v>62</v>
      </c>
    </row>
    <row r="96" spans="1:5" x14ac:dyDescent="0.3">
      <c r="A96">
        <v>95</v>
      </c>
      <c r="B96">
        <v>24</v>
      </c>
      <c r="C96">
        <v>76</v>
      </c>
      <c r="D96">
        <v>213</v>
      </c>
      <c r="E96">
        <v>7</v>
      </c>
    </row>
    <row r="97" spans="1:5" x14ac:dyDescent="0.3">
      <c r="A97">
        <v>96</v>
      </c>
      <c r="B97">
        <v>1</v>
      </c>
      <c r="C97">
        <v>13</v>
      </c>
      <c r="D97">
        <v>115</v>
      </c>
      <c r="E97">
        <v>167</v>
      </c>
    </row>
    <row r="98" spans="1:5" x14ac:dyDescent="0.3">
      <c r="A98">
        <v>97</v>
      </c>
      <c r="B98">
        <v>45</v>
      </c>
      <c r="C98">
        <v>64</v>
      </c>
      <c r="D98">
        <v>283</v>
      </c>
      <c r="E98">
        <v>26</v>
      </c>
    </row>
    <row r="99" spans="1:5" x14ac:dyDescent="0.3">
      <c r="A99">
        <v>98</v>
      </c>
      <c r="B99">
        <v>22</v>
      </c>
      <c r="C99">
        <v>91</v>
      </c>
      <c r="D99">
        <v>339</v>
      </c>
      <c r="E99">
        <v>176</v>
      </c>
    </row>
    <row r="100" spans="1:5" x14ac:dyDescent="0.3">
      <c r="A100">
        <v>99</v>
      </c>
      <c r="B100">
        <v>8</v>
      </c>
      <c r="C100">
        <v>8</v>
      </c>
      <c r="D100">
        <v>449</v>
      </c>
      <c r="E100">
        <v>175</v>
      </c>
    </row>
    <row r="101" spans="1:5" x14ac:dyDescent="0.3">
      <c r="A101">
        <v>100</v>
      </c>
      <c r="B101">
        <v>46</v>
      </c>
      <c r="C101">
        <v>26</v>
      </c>
      <c r="D101">
        <v>308</v>
      </c>
      <c r="E101">
        <v>63</v>
      </c>
    </row>
    <row r="102" spans="1:5" x14ac:dyDescent="0.3">
      <c r="A102">
        <v>101</v>
      </c>
      <c r="B102">
        <v>2</v>
      </c>
      <c r="C102">
        <v>93</v>
      </c>
      <c r="D102">
        <v>263</v>
      </c>
      <c r="E102">
        <v>94</v>
      </c>
    </row>
    <row r="103" spans="1:5" x14ac:dyDescent="0.3">
      <c r="A103">
        <v>102</v>
      </c>
      <c r="B103">
        <v>18</v>
      </c>
      <c r="C103">
        <v>63</v>
      </c>
      <c r="D103">
        <v>142</v>
      </c>
      <c r="E103">
        <v>97</v>
      </c>
    </row>
    <row r="104" spans="1:5" x14ac:dyDescent="0.3">
      <c r="A104">
        <v>103</v>
      </c>
      <c r="B104">
        <v>6</v>
      </c>
      <c r="C104">
        <v>32</v>
      </c>
      <c r="D104">
        <v>51</v>
      </c>
      <c r="E104">
        <v>39</v>
      </c>
    </row>
    <row r="105" spans="1:5" x14ac:dyDescent="0.3">
      <c r="A105">
        <v>104</v>
      </c>
      <c r="B105">
        <v>3</v>
      </c>
      <c r="C105">
        <v>83</v>
      </c>
      <c r="D105">
        <v>221</v>
      </c>
      <c r="E105">
        <v>82</v>
      </c>
    </row>
    <row r="106" spans="1:5" x14ac:dyDescent="0.3">
      <c r="A106">
        <v>105</v>
      </c>
      <c r="B106">
        <v>27</v>
      </c>
      <c r="C106">
        <v>80</v>
      </c>
      <c r="D106">
        <v>112</v>
      </c>
      <c r="E106">
        <v>28</v>
      </c>
    </row>
    <row r="107" spans="1:5" x14ac:dyDescent="0.3">
      <c r="A107">
        <v>106</v>
      </c>
      <c r="B107">
        <v>37</v>
      </c>
      <c r="C107">
        <v>1</v>
      </c>
      <c r="D107">
        <v>94</v>
      </c>
      <c r="E107">
        <v>58</v>
      </c>
    </row>
    <row r="108" spans="1:5" x14ac:dyDescent="0.3">
      <c r="A108">
        <v>107</v>
      </c>
      <c r="B108">
        <v>39</v>
      </c>
      <c r="C108">
        <v>68</v>
      </c>
      <c r="D108">
        <v>150</v>
      </c>
      <c r="E108">
        <v>19</v>
      </c>
    </row>
    <row r="109" spans="1:5" x14ac:dyDescent="0.3">
      <c r="A109">
        <v>108</v>
      </c>
      <c r="B109">
        <v>13</v>
      </c>
      <c r="C109">
        <v>42</v>
      </c>
      <c r="D109">
        <v>212</v>
      </c>
      <c r="E109">
        <v>113</v>
      </c>
    </row>
    <row r="110" spans="1:5" x14ac:dyDescent="0.3">
      <c r="A110">
        <v>109</v>
      </c>
      <c r="B110">
        <v>7</v>
      </c>
      <c r="C110">
        <v>43</v>
      </c>
      <c r="D110">
        <v>424</v>
      </c>
      <c r="E110">
        <v>155</v>
      </c>
    </row>
    <row r="111" spans="1:5" x14ac:dyDescent="0.3">
      <c r="A111">
        <v>110</v>
      </c>
      <c r="B111">
        <v>39</v>
      </c>
      <c r="C111">
        <v>81</v>
      </c>
      <c r="D111">
        <v>47</v>
      </c>
      <c r="E111">
        <v>26</v>
      </c>
    </row>
    <row r="112" spans="1:5" x14ac:dyDescent="0.3">
      <c r="A112">
        <v>111</v>
      </c>
      <c r="B112">
        <v>25</v>
      </c>
      <c r="C112">
        <v>24</v>
      </c>
      <c r="D112">
        <v>237</v>
      </c>
      <c r="E112">
        <v>154</v>
      </c>
    </row>
    <row r="113" spans="1:5" x14ac:dyDescent="0.3">
      <c r="A113">
        <v>112</v>
      </c>
      <c r="B113">
        <v>10</v>
      </c>
      <c r="C113">
        <v>70</v>
      </c>
      <c r="D113">
        <v>99</v>
      </c>
      <c r="E113">
        <v>1</v>
      </c>
    </row>
    <row r="114" spans="1:5" x14ac:dyDescent="0.3">
      <c r="A114">
        <v>113</v>
      </c>
      <c r="B114">
        <v>19</v>
      </c>
      <c r="C114">
        <v>40</v>
      </c>
      <c r="D114">
        <v>462</v>
      </c>
      <c r="E114">
        <v>68</v>
      </c>
    </row>
    <row r="115" spans="1:5" x14ac:dyDescent="0.3">
      <c r="A115">
        <v>114</v>
      </c>
      <c r="B115">
        <v>40</v>
      </c>
      <c r="C115">
        <v>18</v>
      </c>
      <c r="D115">
        <v>141</v>
      </c>
      <c r="E115">
        <v>175</v>
      </c>
    </row>
    <row r="116" spans="1:5" x14ac:dyDescent="0.3">
      <c r="A116">
        <v>115</v>
      </c>
      <c r="B116">
        <v>21</v>
      </c>
      <c r="C116">
        <v>35</v>
      </c>
      <c r="D116">
        <v>33</v>
      </c>
      <c r="E116">
        <v>66</v>
      </c>
    </row>
    <row r="117" spans="1:5" x14ac:dyDescent="0.3">
      <c r="A117">
        <v>116</v>
      </c>
      <c r="B117">
        <v>14</v>
      </c>
      <c r="C117">
        <v>86</v>
      </c>
      <c r="D117">
        <v>332</v>
      </c>
      <c r="E117">
        <v>118</v>
      </c>
    </row>
    <row r="118" spans="1:5" x14ac:dyDescent="0.3">
      <c r="A118">
        <v>117</v>
      </c>
      <c r="B118">
        <v>34</v>
      </c>
      <c r="C118">
        <v>48</v>
      </c>
      <c r="D118">
        <v>445</v>
      </c>
      <c r="E118">
        <v>85</v>
      </c>
    </row>
    <row r="119" spans="1:5" x14ac:dyDescent="0.3">
      <c r="A119">
        <v>118</v>
      </c>
      <c r="B119">
        <v>1</v>
      </c>
      <c r="C119">
        <v>86</v>
      </c>
      <c r="D119">
        <v>445</v>
      </c>
      <c r="E119">
        <v>156</v>
      </c>
    </row>
    <row r="120" spans="1:5" x14ac:dyDescent="0.3">
      <c r="A120">
        <v>119</v>
      </c>
      <c r="B120">
        <v>5</v>
      </c>
      <c r="C120">
        <v>37</v>
      </c>
      <c r="D120">
        <v>266</v>
      </c>
      <c r="E120">
        <v>134</v>
      </c>
    </row>
    <row r="121" spans="1:5" x14ac:dyDescent="0.3">
      <c r="A121">
        <v>120</v>
      </c>
      <c r="B121">
        <v>4</v>
      </c>
      <c r="C121">
        <v>28</v>
      </c>
      <c r="D121">
        <v>424</v>
      </c>
      <c r="E121">
        <v>150</v>
      </c>
    </row>
    <row r="122" spans="1:5" x14ac:dyDescent="0.3">
      <c r="A122">
        <v>121</v>
      </c>
      <c r="B122">
        <v>15</v>
      </c>
      <c r="C122">
        <v>18</v>
      </c>
      <c r="D122">
        <v>46</v>
      </c>
      <c r="E122">
        <v>51</v>
      </c>
    </row>
    <row r="123" spans="1:5" x14ac:dyDescent="0.3">
      <c r="A123">
        <v>122</v>
      </c>
      <c r="B123">
        <v>48</v>
      </c>
      <c r="C123">
        <v>39</v>
      </c>
      <c r="D123">
        <v>220</v>
      </c>
      <c r="E123">
        <v>113</v>
      </c>
    </row>
    <row r="124" spans="1:5" x14ac:dyDescent="0.3">
      <c r="A124">
        <v>123</v>
      </c>
      <c r="B124">
        <v>16</v>
      </c>
      <c r="C124">
        <v>7</v>
      </c>
      <c r="D124">
        <v>469</v>
      </c>
      <c r="E124">
        <v>79</v>
      </c>
    </row>
    <row r="125" spans="1:5" x14ac:dyDescent="0.3">
      <c r="A125">
        <v>124</v>
      </c>
      <c r="B125">
        <v>15</v>
      </c>
      <c r="C125">
        <v>40</v>
      </c>
      <c r="D125">
        <v>262</v>
      </c>
      <c r="E125">
        <v>3</v>
      </c>
    </row>
    <row r="126" spans="1:5" x14ac:dyDescent="0.3">
      <c r="A126">
        <v>125</v>
      </c>
      <c r="B126">
        <v>23</v>
      </c>
      <c r="C126">
        <v>93</v>
      </c>
      <c r="D126">
        <v>354</v>
      </c>
      <c r="E126">
        <v>171</v>
      </c>
    </row>
    <row r="127" spans="1:5" x14ac:dyDescent="0.3">
      <c r="A127">
        <v>126</v>
      </c>
      <c r="B127">
        <v>23</v>
      </c>
      <c r="C127">
        <v>21</v>
      </c>
      <c r="D127">
        <v>52</v>
      </c>
      <c r="E127">
        <v>139</v>
      </c>
    </row>
    <row r="128" spans="1:5" x14ac:dyDescent="0.3">
      <c r="A128">
        <v>127</v>
      </c>
      <c r="B128">
        <v>46</v>
      </c>
      <c r="C128">
        <v>23</v>
      </c>
      <c r="D128">
        <v>144</v>
      </c>
      <c r="E128">
        <v>95</v>
      </c>
    </row>
    <row r="129" spans="1:5" x14ac:dyDescent="0.3">
      <c r="A129">
        <v>128</v>
      </c>
      <c r="B129">
        <v>8</v>
      </c>
      <c r="C129">
        <v>66</v>
      </c>
      <c r="D129">
        <v>244</v>
      </c>
      <c r="E129">
        <v>12</v>
      </c>
    </row>
    <row r="130" spans="1:5" x14ac:dyDescent="0.3">
      <c r="A130">
        <v>129</v>
      </c>
      <c r="B130">
        <v>2</v>
      </c>
      <c r="C130">
        <v>16</v>
      </c>
      <c r="D130">
        <v>453</v>
      </c>
      <c r="E130">
        <v>106</v>
      </c>
    </row>
    <row r="131" spans="1:5" x14ac:dyDescent="0.3">
      <c r="A131">
        <v>130</v>
      </c>
      <c r="B131">
        <v>25</v>
      </c>
      <c r="C131">
        <v>4</v>
      </c>
      <c r="D131">
        <v>14</v>
      </c>
      <c r="E131">
        <v>97</v>
      </c>
    </row>
    <row r="132" spans="1:5" x14ac:dyDescent="0.3">
      <c r="A132">
        <v>131</v>
      </c>
      <c r="B132">
        <v>35</v>
      </c>
      <c r="C132">
        <v>85</v>
      </c>
      <c r="D132">
        <v>299</v>
      </c>
      <c r="E132">
        <v>7</v>
      </c>
    </row>
    <row r="133" spans="1:5" x14ac:dyDescent="0.3">
      <c r="A133">
        <v>132</v>
      </c>
      <c r="B133">
        <v>19</v>
      </c>
      <c r="C133">
        <v>78</v>
      </c>
      <c r="D133">
        <v>331</v>
      </c>
      <c r="E133">
        <v>153</v>
      </c>
    </row>
    <row r="134" spans="1:5" x14ac:dyDescent="0.3">
      <c r="A134">
        <v>133</v>
      </c>
      <c r="B134">
        <v>24</v>
      </c>
      <c r="C134">
        <v>100</v>
      </c>
      <c r="D134">
        <v>49</v>
      </c>
      <c r="E134">
        <v>178</v>
      </c>
    </row>
    <row r="135" spans="1:5" x14ac:dyDescent="0.3">
      <c r="A135">
        <v>134</v>
      </c>
      <c r="B135">
        <v>37</v>
      </c>
      <c r="C135">
        <v>96</v>
      </c>
      <c r="D135">
        <v>72</v>
      </c>
      <c r="E135">
        <v>5</v>
      </c>
    </row>
    <row r="136" spans="1:5" x14ac:dyDescent="0.3">
      <c r="A136">
        <v>135</v>
      </c>
      <c r="B136">
        <v>28</v>
      </c>
      <c r="C136">
        <v>38</v>
      </c>
      <c r="D136">
        <v>213</v>
      </c>
      <c r="E136">
        <v>36</v>
      </c>
    </row>
    <row r="137" spans="1:5" x14ac:dyDescent="0.3">
      <c r="A137">
        <v>136</v>
      </c>
      <c r="B137">
        <v>25</v>
      </c>
      <c r="C137">
        <v>14</v>
      </c>
      <c r="D137">
        <v>457</v>
      </c>
      <c r="E137">
        <v>18</v>
      </c>
    </row>
    <row r="138" spans="1:5" x14ac:dyDescent="0.3">
      <c r="A138">
        <v>137</v>
      </c>
      <c r="B138">
        <v>20</v>
      </c>
      <c r="C138">
        <v>20</v>
      </c>
      <c r="D138">
        <v>338</v>
      </c>
      <c r="E138">
        <v>85</v>
      </c>
    </row>
    <row r="139" spans="1:5" x14ac:dyDescent="0.3">
      <c r="A139">
        <v>138</v>
      </c>
      <c r="B139">
        <v>6</v>
      </c>
      <c r="C139">
        <v>80</v>
      </c>
      <c r="D139">
        <v>168</v>
      </c>
      <c r="E139">
        <v>26</v>
      </c>
    </row>
    <row r="140" spans="1:5" x14ac:dyDescent="0.3">
      <c r="A140">
        <v>139</v>
      </c>
      <c r="B140">
        <v>5</v>
      </c>
      <c r="C140">
        <v>98</v>
      </c>
      <c r="D140">
        <v>374</v>
      </c>
      <c r="E140">
        <v>174</v>
      </c>
    </row>
    <row r="141" spans="1:5" x14ac:dyDescent="0.3">
      <c r="A141">
        <v>140</v>
      </c>
      <c r="B141">
        <v>32</v>
      </c>
      <c r="C141">
        <v>100</v>
      </c>
      <c r="D141">
        <v>206</v>
      </c>
      <c r="E141">
        <v>99</v>
      </c>
    </row>
    <row r="142" spans="1:5" x14ac:dyDescent="0.3">
      <c r="A142">
        <v>141</v>
      </c>
      <c r="B142">
        <v>37</v>
      </c>
      <c r="C142">
        <v>25</v>
      </c>
      <c r="D142">
        <v>473</v>
      </c>
      <c r="E142">
        <v>94</v>
      </c>
    </row>
    <row r="143" spans="1:5" x14ac:dyDescent="0.3">
      <c r="A143">
        <v>142</v>
      </c>
      <c r="B143">
        <v>27</v>
      </c>
      <c r="C143">
        <v>76</v>
      </c>
      <c r="D143">
        <v>298</v>
      </c>
      <c r="E143">
        <v>12</v>
      </c>
    </row>
    <row r="144" spans="1:5" x14ac:dyDescent="0.3">
      <c r="A144">
        <v>143</v>
      </c>
      <c r="B144">
        <v>5</v>
      </c>
      <c r="C144">
        <v>73</v>
      </c>
      <c r="D144">
        <v>93</v>
      </c>
      <c r="E144">
        <v>125</v>
      </c>
    </row>
    <row r="145" spans="1:5" x14ac:dyDescent="0.3">
      <c r="A145">
        <v>144</v>
      </c>
      <c r="B145">
        <v>43</v>
      </c>
      <c r="C145">
        <v>21</v>
      </c>
      <c r="D145">
        <v>338</v>
      </c>
      <c r="E145">
        <v>144</v>
      </c>
    </row>
    <row r="146" spans="1:5" x14ac:dyDescent="0.3">
      <c r="A146">
        <v>145</v>
      </c>
      <c r="B146">
        <v>13</v>
      </c>
      <c r="C146">
        <v>87</v>
      </c>
      <c r="D146">
        <v>165</v>
      </c>
      <c r="E146">
        <v>80</v>
      </c>
    </row>
    <row r="147" spans="1:5" x14ac:dyDescent="0.3">
      <c r="A147">
        <v>146</v>
      </c>
      <c r="B147">
        <v>9</v>
      </c>
      <c r="C147">
        <v>97</v>
      </c>
      <c r="D147">
        <v>414</v>
      </c>
      <c r="E147">
        <v>55</v>
      </c>
    </row>
    <row r="148" spans="1:5" x14ac:dyDescent="0.3">
      <c r="A148">
        <v>147</v>
      </c>
      <c r="B148">
        <v>33</v>
      </c>
      <c r="C148">
        <v>3</v>
      </c>
      <c r="D148">
        <v>137</v>
      </c>
      <c r="E148">
        <v>160</v>
      </c>
    </row>
    <row r="149" spans="1:5" x14ac:dyDescent="0.3">
      <c r="A149">
        <v>148</v>
      </c>
      <c r="B149">
        <v>14</v>
      </c>
      <c r="C149">
        <v>59</v>
      </c>
      <c r="D149">
        <v>410</v>
      </c>
      <c r="E149">
        <v>25</v>
      </c>
    </row>
    <row r="150" spans="1:5" x14ac:dyDescent="0.3">
      <c r="A150">
        <v>149</v>
      </c>
      <c r="B150">
        <v>19</v>
      </c>
      <c r="C150">
        <v>80</v>
      </c>
      <c r="D150">
        <v>175</v>
      </c>
      <c r="E150">
        <v>54</v>
      </c>
    </row>
    <row r="151" spans="1:5" x14ac:dyDescent="0.3">
      <c r="A151">
        <v>150</v>
      </c>
      <c r="B151">
        <v>33</v>
      </c>
      <c r="C151">
        <v>1</v>
      </c>
      <c r="D151">
        <v>324</v>
      </c>
      <c r="E151">
        <v>8</v>
      </c>
    </row>
    <row r="152" spans="1:5" x14ac:dyDescent="0.3">
      <c r="A152">
        <v>151</v>
      </c>
      <c r="B152">
        <v>30</v>
      </c>
      <c r="C152">
        <v>68</v>
      </c>
      <c r="D152">
        <v>430</v>
      </c>
      <c r="E152">
        <v>88</v>
      </c>
    </row>
    <row r="153" spans="1:5" x14ac:dyDescent="0.3">
      <c r="A153">
        <v>152</v>
      </c>
      <c r="B153">
        <v>30</v>
      </c>
      <c r="C153">
        <v>6</v>
      </c>
      <c r="D153">
        <v>114</v>
      </c>
      <c r="E153">
        <v>100</v>
      </c>
    </row>
    <row r="154" spans="1:5" x14ac:dyDescent="0.3">
      <c r="A154">
        <v>153</v>
      </c>
      <c r="B154">
        <v>5</v>
      </c>
      <c r="C154">
        <v>64</v>
      </c>
      <c r="D154">
        <v>210</v>
      </c>
      <c r="E154">
        <v>36</v>
      </c>
    </row>
    <row r="155" spans="1:5" x14ac:dyDescent="0.3">
      <c r="A155">
        <v>154</v>
      </c>
      <c r="B155">
        <v>48</v>
      </c>
      <c r="C155">
        <v>59</v>
      </c>
      <c r="D155">
        <v>141</v>
      </c>
      <c r="E155">
        <v>25</v>
      </c>
    </row>
    <row r="156" spans="1:5" x14ac:dyDescent="0.3">
      <c r="A156">
        <v>155</v>
      </c>
      <c r="B156">
        <v>47</v>
      </c>
      <c r="C156">
        <v>31</v>
      </c>
      <c r="D156">
        <v>224</v>
      </c>
      <c r="E156">
        <v>168</v>
      </c>
    </row>
    <row r="157" spans="1:5" x14ac:dyDescent="0.3">
      <c r="A157">
        <v>156</v>
      </c>
      <c r="B157">
        <v>27</v>
      </c>
      <c r="C157">
        <v>100</v>
      </c>
      <c r="D157">
        <v>78</v>
      </c>
      <c r="E157">
        <v>51</v>
      </c>
    </row>
    <row r="158" spans="1:5" x14ac:dyDescent="0.3">
      <c r="A158">
        <v>157</v>
      </c>
      <c r="B158">
        <v>26</v>
      </c>
      <c r="C158">
        <v>95</v>
      </c>
      <c r="D158">
        <v>319</v>
      </c>
      <c r="E158">
        <v>112</v>
      </c>
    </row>
    <row r="159" spans="1:5" x14ac:dyDescent="0.3">
      <c r="A159">
        <v>158</v>
      </c>
      <c r="B159">
        <v>24</v>
      </c>
      <c r="C159">
        <v>61</v>
      </c>
      <c r="D159">
        <v>63</v>
      </c>
      <c r="E159">
        <v>104</v>
      </c>
    </row>
    <row r="160" spans="1:5" x14ac:dyDescent="0.3">
      <c r="A160">
        <v>159</v>
      </c>
      <c r="B160">
        <v>34</v>
      </c>
      <c r="C160">
        <v>63</v>
      </c>
      <c r="D160">
        <v>268</v>
      </c>
      <c r="E160">
        <v>36</v>
      </c>
    </row>
    <row r="161" spans="1:5" x14ac:dyDescent="0.3">
      <c r="A161">
        <v>160</v>
      </c>
      <c r="B161">
        <v>33</v>
      </c>
      <c r="C161">
        <v>92</v>
      </c>
      <c r="D161">
        <v>357</v>
      </c>
      <c r="E161">
        <v>130</v>
      </c>
    </row>
    <row r="162" spans="1:5" x14ac:dyDescent="0.3">
      <c r="A162">
        <v>161</v>
      </c>
      <c r="B162">
        <v>43</v>
      </c>
      <c r="C162">
        <v>78</v>
      </c>
      <c r="D162">
        <v>184</v>
      </c>
      <c r="E162">
        <v>117</v>
      </c>
    </row>
    <row r="163" spans="1:5" x14ac:dyDescent="0.3">
      <c r="A163">
        <v>162</v>
      </c>
      <c r="B163">
        <v>43</v>
      </c>
      <c r="C163">
        <v>78</v>
      </c>
      <c r="D163">
        <v>440</v>
      </c>
      <c r="E163">
        <v>125</v>
      </c>
    </row>
    <row r="164" spans="1:5" x14ac:dyDescent="0.3">
      <c r="A164">
        <v>163</v>
      </c>
      <c r="B164">
        <v>39</v>
      </c>
      <c r="C164">
        <v>63</v>
      </c>
      <c r="D164">
        <v>301</v>
      </c>
      <c r="E164">
        <v>157</v>
      </c>
    </row>
    <row r="165" spans="1:5" x14ac:dyDescent="0.3">
      <c r="A165">
        <v>164</v>
      </c>
      <c r="B165">
        <v>31</v>
      </c>
      <c r="C165">
        <v>29</v>
      </c>
      <c r="D165">
        <v>456</v>
      </c>
      <c r="E165">
        <v>67</v>
      </c>
    </row>
    <row r="166" spans="1:5" x14ac:dyDescent="0.3">
      <c r="A166">
        <v>165</v>
      </c>
      <c r="B166">
        <v>1</v>
      </c>
      <c r="C166">
        <v>74</v>
      </c>
      <c r="D166">
        <v>414</v>
      </c>
      <c r="E166">
        <v>51</v>
      </c>
    </row>
    <row r="167" spans="1:5" x14ac:dyDescent="0.3">
      <c r="A167">
        <v>166</v>
      </c>
      <c r="B167">
        <v>1</v>
      </c>
      <c r="C167">
        <v>53</v>
      </c>
      <c r="D167">
        <v>187</v>
      </c>
      <c r="E167">
        <v>68</v>
      </c>
    </row>
    <row r="168" spans="1:5" x14ac:dyDescent="0.3">
      <c r="A168">
        <v>167</v>
      </c>
      <c r="B168">
        <v>32</v>
      </c>
      <c r="C168">
        <v>55</v>
      </c>
      <c r="D168">
        <v>200</v>
      </c>
      <c r="E168">
        <v>125</v>
      </c>
    </row>
    <row r="169" spans="1:5" x14ac:dyDescent="0.3">
      <c r="A169">
        <v>168</v>
      </c>
      <c r="B169">
        <v>12</v>
      </c>
      <c r="C169">
        <v>79</v>
      </c>
      <c r="D169">
        <v>13</v>
      </c>
      <c r="E169">
        <v>92</v>
      </c>
    </row>
    <row r="170" spans="1:5" x14ac:dyDescent="0.3">
      <c r="A170">
        <v>169</v>
      </c>
      <c r="B170">
        <v>40</v>
      </c>
      <c r="C170">
        <v>39</v>
      </c>
      <c r="D170">
        <v>423</v>
      </c>
      <c r="E170">
        <v>33</v>
      </c>
    </row>
    <row r="171" spans="1:5" x14ac:dyDescent="0.3">
      <c r="A171">
        <v>170</v>
      </c>
      <c r="B171">
        <v>40</v>
      </c>
      <c r="C171">
        <v>52</v>
      </c>
      <c r="D171">
        <v>361</v>
      </c>
      <c r="E171">
        <v>17</v>
      </c>
    </row>
    <row r="172" spans="1:5" x14ac:dyDescent="0.3">
      <c r="A172">
        <v>171</v>
      </c>
      <c r="B172">
        <v>5</v>
      </c>
      <c r="C172">
        <v>98</v>
      </c>
      <c r="D172">
        <v>421</v>
      </c>
      <c r="E172">
        <v>40</v>
      </c>
    </row>
    <row r="173" spans="1:5" x14ac:dyDescent="0.3">
      <c r="A173">
        <v>172</v>
      </c>
      <c r="B173">
        <v>8</v>
      </c>
      <c r="C173">
        <v>70</v>
      </c>
      <c r="D173">
        <v>177</v>
      </c>
      <c r="E173">
        <v>142</v>
      </c>
    </row>
    <row r="174" spans="1:5" x14ac:dyDescent="0.3">
      <c r="A174">
        <v>173</v>
      </c>
      <c r="B174">
        <v>13</v>
      </c>
      <c r="C174">
        <v>76</v>
      </c>
      <c r="D174">
        <v>267</v>
      </c>
      <c r="E174">
        <v>156</v>
      </c>
    </row>
    <row r="175" spans="1:5" x14ac:dyDescent="0.3">
      <c r="A175">
        <v>174</v>
      </c>
      <c r="B175">
        <v>4</v>
      </c>
      <c r="C175">
        <v>23</v>
      </c>
      <c r="D175">
        <v>333</v>
      </c>
      <c r="E175">
        <v>20</v>
      </c>
    </row>
    <row r="176" spans="1:5" x14ac:dyDescent="0.3">
      <c r="A176">
        <v>175</v>
      </c>
      <c r="B176">
        <v>30</v>
      </c>
      <c r="C176">
        <v>65</v>
      </c>
      <c r="D176">
        <v>111</v>
      </c>
      <c r="E176">
        <v>27</v>
      </c>
    </row>
    <row r="177" spans="1:5" x14ac:dyDescent="0.3">
      <c r="A177">
        <v>176</v>
      </c>
      <c r="B177">
        <v>43</v>
      </c>
      <c r="C177">
        <v>6</v>
      </c>
      <c r="D177">
        <v>336</v>
      </c>
      <c r="E177">
        <v>153</v>
      </c>
    </row>
    <row r="178" spans="1:5" x14ac:dyDescent="0.3">
      <c r="A178">
        <v>177</v>
      </c>
      <c r="B178">
        <v>29</v>
      </c>
      <c r="C178">
        <v>40</v>
      </c>
      <c r="D178">
        <v>445</v>
      </c>
      <c r="E178">
        <v>46</v>
      </c>
    </row>
    <row r="179" spans="1:5" x14ac:dyDescent="0.3">
      <c r="A179">
        <v>178</v>
      </c>
      <c r="B179">
        <v>34</v>
      </c>
      <c r="C179">
        <v>5</v>
      </c>
      <c r="D179">
        <v>449</v>
      </c>
      <c r="E179">
        <v>178</v>
      </c>
    </row>
    <row r="180" spans="1:5" x14ac:dyDescent="0.3">
      <c r="A180">
        <v>179</v>
      </c>
      <c r="B180">
        <v>30</v>
      </c>
      <c r="C180">
        <v>27</v>
      </c>
      <c r="D180">
        <v>293</v>
      </c>
      <c r="E180">
        <v>120</v>
      </c>
    </row>
    <row r="181" spans="1:5" x14ac:dyDescent="0.3">
      <c r="A181">
        <v>180</v>
      </c>
      <c r="B181">
        <v>45</v>
      </c>
      <c r="C181">
        <v>74</v>
      </c>
      <c r="D181">
        <v>261</v>
      </c>
      <c r="E181">
        <v>135</v>
      </c>
    </row>
    <row r="182" spans="1:5" x14ac:dyDescent="0.3">
      <c r="A182">
        <v>181</v>
      </c>
      <c r="B182">
        <v>37</v>
      </c>
      <c r="C182">
        <v>50</v>
      </c>
      <c r="D182">
        <v>489</v>
      </c>
      <c r="E182">
        <v>24</v>
      </c>
    </row>
    <row r="183" spans="1:5" x14ac:dyDescent="0.3">
      <c r="A183">
        <v>182</v>
      </c>
      <c r="B183">
        <v>6</v>
      </c>
      <c r="C183">
        <v>64</v>
      </c>
      <c r="D183">
        <v>445</v>
      </c>
      <c r="E183">
        <v>168</v>
      </c>
    </row>
    <row r="184" spans="1:5" x14ac:dyDescent="0.3">
      <c r="A184">
        <v>183</v>
      </c>
      <c r="B184">
        <v>31</v>
      </c>
      <c r="C184">
        <v>48</v>
      </c>
      <c r="D184">
        <v>454</v>
      </c>
      <c r="E184">
        <v>60</v>
      </c>
    </row>
    <row r="185" spans="1:5" x14ac:dyDescent="0.3">
      <c r="A185">
        <v>184</v>
      </c>
      <c r="B185">
        <v>5</v>
      </c>
      <c r="C185">
        <v>17</v>
      </c>
      <c r="D185">
        <v>102</v>
      </c>
      <c r="E185">
        <v>48</v>
      </c>
    </row>
    <row r="186" spans="1:5" x14ac:dyDescent="0.3">
      <c r="A186">
        <v>185</v>
      </c>
      <c r="B186">
        <v>37</v>
      </c>
      <c r="C186">
        <v>9</v>
      </c>
      <c r="D186">
        <v>464</v>
      </c>
      <c r="E186">
        <v>34</v>
      </c>
    </row>
    <row r="187" spans="1:5" x14ac:dyDescent="0.3">
      <c r="A187">
        <v>186</v>
      </c>
      <c r="B187">
        <v>2</v>
      </c>
      <c r="C187">
        <v>61</v>
      </c>
      <c r="D187">
        <v>23</v>
      </c>
      <c r="E187">
        <v>180</v>
      </c>
    </row>
    <row r="188" spans="1:5" x14ac:dyDescent="0.3">
      <c r="A188">
        <v>187</v>
      </c>
      <c r="B188">
        <v>17</v>
      </c>
      <c r="C188">
        <v>57</v>
      </c>
      <c r="D188">
        <v>307</v>
      </c>
      <c r="E188">
        <v>62</v>
      </c>
    </row>
    <row r="189" spans="1:5" x14ac:dyDescent="0.3">
      <c r="A189">
        <v>188</v>
      </c>
      <c r="B189">
        <v>19</v>
      </c>
      <c r="C189">
        <v>94</v>
      </c>
      <c r="D189">
        <v>18</v>
      </c>
      <c r="E189">
        <v>174</v>
      </c>
    </row>
    <row r="190" spans="1:5" x14ac:dyDescent="0.3">
      <c r="A190">
        <v>189</v>
      </c>
      <c r="B190">
        <v>4</v>
      </c>
      <c r="C190">
        <v>8</v>
      </c>
      <c r="D190">
        <v>306</v>
      </c>
      <c r="E190">
        <v>108</v>
      </c>
    </row>
    <row r="191" spans="1:5" x14ac:dyDescent="0.3">
      <c r="A191">
        <v>190</v>
      </c>
      <c r="B191">
        <v>5</v>
      </c>
      <c r="C191">
        <v>71</v>
      </c>
      <c r="D191">
        <v>245</v>
      </c>
      <c r="E191">
        <v>114</v>
      </c>
    </row>
    <row r="192" spans="1:5" x14ac:dyDescent="0.3">
      <c r="A192">
        <v>191</v>
      </c>
      <c r="B192">
        <v>20</v>
      </c>
      <c r="C192">
        <v>17</v>
      </c>
      <c r="D192">
        <v>368</v>
      </c>
      <c r="E192">
        <v>179</v>
      </c>
    </row>
    <row r="193" spans="1:5" x14ac:dyDescent="0.3">
      <c r="A193">
        <v>192</v>
      </c>
      <c r="B193">
        <v>1</v>
      </c>
      <c r="C193">
        <v>99</v>
      </c>
      <c r="D193">
        <v>463</v>
      </c>
      <c r="E193">
        <v>130</v>
      </c>
    </row>
    <row r="194" spans="1:5" x14ac:dyDescent="0.3">
      <c r="A194">
        <v>193</v>
      </c>
      <c r="B194">
        <v>28</v>
      </c>
      <c r="C194">
        <v>90</v>
      </c>
      <c r="D194">
        <v>298</v>
      </c>
      <c r="E194">
        <v>15</v>
      </c>
    </row>
    <row r="195" spans="1:5" x14ac:dyDescent="0.3">
      <c r="A195">
        <v>194</v>
      </c>
      <c r="B195">
        <v>16</v>
      </c>
      <c r="C195">
        <v>4</v>
      </c>
      <c r="D195">
        <v>369</v>
      </c>
      <c r="E195">
        <v>23</v>
      </c>
    </row>
    <row r="196" spans="1:5" x14ac:dyDescent="0.3">
      <c r="A196">
        <v>195</v>
      </c>
      <c r="B196">
        <v>26</v>
      </c>
      <c r="C196">
        <v>98</v>
      </c>
      <c r="D196">
        <v>292</v>
      </c>
      <c r="E196">
        <v>116</v>
      </c>
    </row>
    <row r="197" spans="1:5" x14ac:dyDescent="0.3">
      <c r="A197">
        <v>196</v>
      </c>
      <c r="B197">
        <v>31</v>
      </c>
      <c r="C197">
        <v>40</v>
      </c>
      <c r="D197">
        <v>77</v>
      </c>
      <c r="E197">
        <v>36</v>
      </c>
    </row>
    <row r="198" spans="1:5" x14ac:dyDescent="0.3">
      <c r="A198">
        <v>197</v>
      </c>
      <c r="B198">
        <v>15</v>
      </c>
      <c r="C198">
        <v>93</v>
      </c>
      <c r="D198">
        <v>394</v>
      </c>
      <c r="E198">
        <v>161</v>
      </c>
    </row>
    <row r="199" spans="1:5" x14ac:dyDescent="0.3">
      <c r="A199">
        <v>198</v>
      </c>
      <c r="B199">
        <v>31</v>
      </c>
      <c r="C199">
        <v>89</v>
      </c>
      <c r="D199">
        <v>411</v>
      </c>
      <c r="E199">
        <v>179</v>
      </c>
    </row>
    <row r="200" spans="1:5" x14ac:dyDescent="0.3">
      <c r="A200">
        <v>199</v>
      </c>
      <c r="B200">
        <v>5</v>
      </c>
      <c r="C200">
        <v>4</v>
      </c>
      <c r="D200">
        <v>134</v>
      </c>
      <c r="E200">
        <v>180</v>
      </c>
    </row>
    <row r="201" spans="1:5" x14ac:dyDescent="0.3">
      <c r="A201">
        <v>200</v>
      </c>
      <c r="B201">
        <v>7</v>
      </c>
      <c r="C201">
        <v>60</v>
      </c>
      <c r="D201">
        <v>195</v>
      </c>
      <c r="E201">
        <v>64</v>
      </c>
    </row>
    <row r="202" spans="1:5" x14ac:dyDescent="0.3">
      <c r="A202">
        <v>201</v>
      </c>
      <c r="B202">
        <v>9</v>
      </c>
      <c r="C202">
        <v>71</v>
      </c>
      <c r="D202">
        <v>278</v>
      </c>
      <c r="E202">
        <v>123</v>
      </c>
    </row>
    <row r="203" spans="1:5" x14ac:dyDescent="0.3">
      <c r="A203">
        <v>202</v>
      </c>
      <c r="B203">
        <v>43</v>
      </c>
      <c r="C203">
        <v>38</v>
      </c>
      <c r="D203">
        <v>457</v>
      </c>
      <c r="E203">
        <v>100</v>
      </c>
    </row>
    <row r="204" spans="1:5" x14ac:dyDescent="0.3">
      <c r="A204">
        <v>203</v>
      </c>
      <c r="B204">
        <v>20</v>
      </c>
      <c r="C204">
        <v>21</v>
      </c>
      <c r="D204">
        <v>76</v>
      </c>
      <c r="E204">
        <v>33</v>
      </c>
    </row>
    <row r="205" spans="1:5" x14ac:dyDescent="0.3">
      <c r="A205">
        <v>204</v>
      </c>
      <c r="B205">
        <v>17</v>
      </c>
      <c r="C205">
        <v>8</v>
      </c>
      <c r="D205">
        <v>29</v>
      </c>
      <c r="E205">
        <v>180</v>
      </c>
    </row>
    <row r="206" spans="1:5" x14ac:dyDescent="0.3">
      <c r="A206">
        <v>205</v>
      </c>
      <c r="B206">
        <v>40</v>
      </c>
      <c r="C206">
        <v>23</v>
      </c>
      <c r="D206">
        <v>419</v>
      </c>
      <c r="E206">
        <v>172</v>
      </c>
    </row>
    <row r="207" spans="1:5" x14ac:dyDescent="0.3">
      <c r="A207">
        <v>206</v>
      </c>
      <c r="B207">
        <v>40</v>
      </c>
      <c r="C207">
        <v>48</v>
      </c>
      <c r="D207">
        <v>88</v>
      </c>
      <c r="E207">
        <v>85</v>
      </c>
    </row>
    <row r="208" spans="1:5" x14ac:dyDescent="0.3">
      <c r="A208">
        <v>207</v>
      </c>
      <c r="B208">
        <v>20</v>
      </c>
      <c r="C208">
        <v>42</v>
      </c>
      <c r="D208">
        <v>337</v>
      </c>
      <c r="E208">
        <v>8</v>
      </c>
    </row>
    <row r="209" spans="1:5" x14ac:dyDescent="0.3">
      <c r="A209">
        <v>208</v>
      </c>
      <c r="B209">
        <v>4</v>
      </c>
      <c r="C209">
        <v>29</v>
      </c>
      <c r="D209">
        <v>227</v>
      </c>
      <c r="E209">
        <v>174</v>
      </c>
    </row>
    <row r="210" spans="1:5" x14ac:dyDescent="0.3">
      <c r="A210">
        <v>209</v>
      </c>
      <c r="B210">
        <v>16</v>
      </c>
      <c r="C210">
        <v>51</v>
      </c>
      <c r="D210">
        <v>443</v>
      </c>
      <c r="E210">
        <v>47</v>
      </c>
    </row>
    <row r="211" spans="1:5" x14ac:dyDescent="0.3">
      <c r="A211">
        <v>210</v>
      </c>
      <c r="B211">
        <v>16</v>
      </c>
      <c r="C211">
        <v>99</v>
      </c>
      <c r="D211">
        <v>11</v>
      </c>
      <c r="E211">
        <v>53</v>
      </c>
    </row>
    <row r="212" spans="1:5" x14ac:dyDescent="0.3">
      <c r="A212">
        <v>211</v>
      </c>
      <c r="B212">
        <v>33</v>
      </c>
      <c r="C212">
        <v>99</v>
      </c>
      <c r="D212">
        <v>178</v>
      </c>
      <c r="E212">
        <v>141</v>
      </c>
    </row>
    <row r="213" spans="1:5" x14ac:dyDescent="0.3">
      <c r="A213">
        <v>212</v>
      </c>
      <c r="B213">
        <v>1</v>
      </c>
      <c r="C213">
        <v>70</v>
      </c>
      <c r="D213">
        <v>227</v>
      </c>
      <c r="E213">
        <v>131</v>
      </c>
    </row>
    <row r="214" spans="1:5" x14ac:dyDescent="0.3">
      <c r="A214">
        <v>213</v>
      </c>
      <c r="B214">
        <v>1</v>
      </c>
      <c r="C214">
        <v>31</v>
      </c>
      <c r="D214">
        <v>429</v>
      </c>
      <c r="E214">
        <v>38</v>
      </c>
    </row>
    <row r="215" spans="1:5" x14ac:dyDescent="0.3">
      <c r="A215">
        <v>214</v>
      </c>
      <c r="B215">
        <v>41</v>
      </c>
      <c r="C215">
        <v>80</v>
      </c>
      <c r="D215">
        <v>221</v>
      </c>
      <c r="E215">
        <v>38</v>
      </c>
    </row>
    <row r="216" spans="1:5" x14ac:dyDescent="0.3">
      <c r="A216">
        <v>215</v>
      </c>
      <c r="B216">
        <v>28</v>
      </c>
      <c r="C216">
        <v>37</v>
      </c>
      <c r="D216">
        <v>143</v>
      </c>
      <c r="E216">
        <v>162</v>
      </c>
    </row>
    <row r="217" spans="1:5" x14ac:dyDescent="0.3">
      <c r="A217">
        <v>216</v>
      </c>
      <c r="B217">
        <v>24</v>
      </c>
      <c r="C217">
        <v>21</v>
      </c>
      <c r="D217">
        <v>469</v>
      </c>
      <c r="E217">
        <v>14</v>
      </c>
    </row>
    <row r="218" spans="1:5" x14ac:dyDescent="0.3">
      <c r="A218">
        <v>217</v>
      </c>
      <c r="B218">
        <v>6</v>
      </c>
      <c r="C218">
        <v>8</v>
      </c>
      <c r="D218">
        <v>7</v>
      </c>
      <c r="E218">
        <v>20</v>
      </c>
    </row>
    <row r="219" spans="1:5" x14ac:dyDescent="0.3">
      <c r="A219">
        <v>218</v>
      </c>
      <c r="B219">
        <v>8</v>
      </c>
      <c r="C219">
        <v>46</v>
      </c>
      <c r="D219">
        <v>426</v>
      </c>
      <c r="E219">
        <v>14</v>
      </c>
    </row>
    <row r="220" spans="1:5" x14ac:dyDescent="0.3">
      <c r="A220">
        <v>219</v>
      </c>
      <c r="B220">
        <v>2</v>
      </c>
      <c r="C220">
        <v>20</v>
      </c>
      <c r="D220">
        <v>101</v>
      </c>
      <c r="E220">
        <v>21</v>
      </c>
    </row>
    <row r="221" spans="1:5" x14ac:dyDescent="0.3">
      <c r="A221">
        <v>220</v>
      </c>
      <c r="B221">
        <v>33</v>
      </c>
      <c r="C221">
        <v>70</v>
      </c>
      <c r="D221">
        <v>445</v>
      </c>
      <c r="E221">
        <v>165</v>
      </c>
    </row>
    <row r="222" spans="1:5" x14ac:dyDescent="0.3">
      <c r="A222">
        <v>221</v>
      </c>
      <c r="B222">
        <v>41</v>
      </c>
      <c r="C222">
        <v>31</v>
      </c>
      <c r="D222">
        <v>372</v>
      </c>
      <c r="E222">
        <v>22</v>
      </c>
    </row>
    <row r="223" spans="1:5" x14ac:dyDescent="0.3">
      <c r="A223">
        <v>222</v>
      </c>
      <c r="B223">
        <v>14</v>
      </c>
      <c r="C223">
        <v>25</v>
      </c>
      <c r="D223">
        <v>333</v>
      </c>
      <c r="E223">
        <v>145</v>
      </c>
    </row>
    <row r="224" spans="1:5" x14ac:dyDescent="0.3">
      <c r="A224">
        <v>223</v>
      </c>
      <c r="B224">
        <v>14</v>
      </c>
      <c r="C224">
        <v>55</v>
      </c>
      <c r="D224">
        <v>302</v>
      </c>
      <c r="E224">
        <v>117</v>
      </c>
    </row>
    <row r="225" spans="1:5" x14ac:dyDescent="0.3">
      <c r="A225">
        <v>224</v>
      </c>
      <c r="B225">
        <v>33</v>
      </c>
      <c r="C225">
        <v>98</v>
      </c>
      <c r="D225">
        <v>69</v>
      </c>
      <c r="E225">
        <v>137</v>
      </c>
    </row>
    <row r="226" spans="1:5" x14ac:dyDescent="0.3">
      <c r="A226">
        <v>225</v>
      </c>
      <c r="B226">
        <v>23</v>
      </c>
      <c r="C226">
        <v>99</v>
      </c>
      <c r="D226">
        <v>409</v>
      </c>
      <c r="E226">
        <v>104</v>
      </c>
    </row>
    <row r="227" spans="1:5" x14ac:dyDescent="0.3">
      <c r="A227">
        <v>226</v>
      </c>
      <c r="B227">
        <v>49</v>
      </c>
      <c r="C227">
        <v>71</v>
      </c>
      <c r="D227">
        <v>318</v>
      </c>
      <c r="E227">
        <v>145</v>
      </c>
    </row>
    <row r="228" spans="1:5" x14ac:dyDescent="0.3">
      <c r="A228">
        <v>227</v>
      </c>
      <c r="B228">
        <v>3</v>
      </c>
      <c r="C228">
        <v>41</v>
      </c>
      <c r="D228">
        <v>381</v>
      </c>
      <c r="E228">
        <v>89</v>
      </c>
    </row>
    <row r="229" spans="1:5" x14ac:dyDescent="0.3">
      <c r="A229">
        <v>228</v>
      </c>
      <c r="B229">
        <v>25</v>
      </c>
      <c r="C229">
        <v>11</v>
      </c>
      <c r="D229">
        <v>14</v>
      </c>
      <c r="E229">
        <v>138</v>
      </c>
    </row>
    <row r="230" spans="1:5" x14ac:dyDescent="0.3">
      <c r="A230">
        <v>229</v>
      </c>
      <c r="B230">
        <v>49</v>
      </c>
      <c r="C230">
        <v>1</v>
      </c>
      <c r="D230">
        <v>344</v>
      </c>
      <c r="E230">
        <v>44</v>
      </c>
    </row>
    <row r="231" spans="1:5" x14ac:dyDescent="0.3">
      <c r="A231">
        <v>230</v>
      </c>
      <c r="B231">
        <v>33</v>
      </c>
      <c r="C231">
        <v>3</v>
      </c>
      <c r="D231">
        <v>338</v>
      </c>
      <c r="E231">
        <v>34</v>
      </c>
    </row>
    <row r="232" spans="1:5" x14ac:dyDescent="0.3">
      <c r="A232">
        <v>231</v>
      </c>
      <c r="B232">
        <v>8</v>
      </c>
      <c r="C232">
        <v>32</v>
      </c>
      <c r="D232">
        <v>493</v>
      </c>
      <c r="E232">
        <v>123</v>
      </c>
    </row>
    <row r="233" spans="1:5" x14ac:dyDescent="0.3">
      <c r="A233">
        <v>232</v>
      </c>
      <c r="B233">
        <v>50</v>
      </c>
      <c r="C233">
        <v>29</v>
      </c>
      <c r="D233">
        <v>328</v>
      </c>
      <c r="E233">
        <v>40</v>
      </c>
    </row>
    <row r="234" spans="1:5" x14ac:dyDescent="0.3">
      <c r="A234">
        <v>233</v>
      </c>
      <c r="B234">
        <v>33</v>
      </c>
      <c r="C234">
        <v>90</v>
      </c>
      <c r="D234">
        <v>16</v>
      </c>
      <c r="E234">
        <v>156</v>
      </c>
    </row>
    <row r="235" spans="1:5" x14ac:dyDescent="0.3">
      <c r="A235">
        <v>234</v>
      </c>
      <c r="B235">
        <v>33</v>
      </c>
      <c r="C235">
        <v>23</v>
      </c>
      <c r="D235">
        <v>156</v>
      </c>
      <c r="E235">
        <v>41</v>
      </c>
    </row>
    <row r="236" spans="1:5" x14ac:dyDescent="0.3">
      <c r="A236">
        <v>235</v>
      </c>
      <c r="B236">
        <v>30</v>
      </c>
      <c r="C236">
        <v>4</v>
      </c>
      <c r="D236">
        <v>101</v>
      </c>
      <c r="E236">
        <v>97</v>
      </c>
    </row>
    <row r="237" spans="1:5" x14ac:dyDescent="0.3">
      <c r="A237">
        <v>236</v>
      </c>
      <c r="B237">
        <v>17</v>
      </c>
      <c r="C237">
        <v>72</v>
      </c>
      <c r="D237">
        <v>36</v>
      </c>
      <c r="E237">
        <v>159</v>
      </c>
    </row>
    <row r="238" spans="1:5" x14ac:dyDescent="0.3">
      <c r="A238">
        <v>237</v>
      </c>
      <c r="B238">
        <v>38</v>
      </c>
      <c r="C238">
        <v>60</v>
      </c>
      <c r="D238">
        <v>459</v>
      </c>
      <c r="E238">
        <v>64</v>
      </c>
    </row>
    <row r="239" spans="1:5" x14ac:dyDescent="0.3">
      <c r="A239">
        <v>238</v>
      </c>
      <c r="B239">
        <v>16</v>
      </c>
      <c r="C239">
        <v>10</v>
      </c>
      <c r="D239">
        <v>444</v>
      </c>
      <c r="E239">
        <v>83</v>
      </c>
    </row>
    <row r="240" spans="1:5" x14ac:dyDescent="0.3">
      <c r="A240">
        <v>239</v>
      </c>
      <c r="B240">
        <v>22</v>
      </c>
      <c r="C240">
        <v>9</v>
      </c>
      <c r="D240">
        <v>47</v>
      </c>
      <c r="E240">
        <v>74</v>
      </c>
    </row>
    <row r="241" spans="1:5" x14ac:dyDescent="0.3">
      <c r="A241">
        <v>240</v>
      </c>
      <c r="B241">
        <v>8</v>
      </c>
      <c r="C241">
        <v>13</v>
      </c>
      <c r="D241">
        <v>407</v>
      </c>
      <c r="E241">
        <v>175</v>
      </c>
    </row>
    <row r="242" spans="1:5" x14ac:dyDescent="0.3">
      <c r="A242">
        <v>241</v>
      </c>
      <c r="B242">
        <v>41</v>
      </c>
      <c r="C242">
        <v>72</v>
      </c>
      <c r="D242">
        <v>413</v>
      </c>
      <c r="E242">
        <v>140</v>
      </c>
    </row>
    <row r="243" spans="1:5" x14ac:dyDescent="0.3">
      <c r="A243">
        <v>242</v>
      </c>
      <c r="B243">
        <v>42</v>
      </c>
      <c r="C243">
        <v>60</v>
      </c>
      <c r="D243">
        <v>384</v>
      </c>
      <c r="E243">
        <v>100</v>
      </c>
    </row>
    <row r="244" spans="1:5" x14ac:dyDescent="0.3">
      <c r="A244">
        <v>243</v>
      </c>
      <c r="B244">
        <v>46</v>
      </c>
      <c r="C244">
        <v>77</v>
      </c>
      <c r="D244">
        <v>97</v>
      </c>
      <c r="E244">
        <v>107</v>
      </c>
    </row>
    <row r="245" spans="1:5" x14ac:dyDescent="0.3">
      <c r="A245">
        <v>244</v>
      </c>
      <c r="B245">
        <v>7</v>
      </c>
      <c r="C245">
        <v>43</v>
      </c>
      <c r="D245">
        <v>176</v>
      </c>
      <c r="E245">
        <v>77</v>
      </c>
    </row>
    <row r="246" spans="1:5" x14ac:dyDescent="0.3">
      <c r="A246">
        <v>245</v>
      </c>
      <c r="B246">
        <v>50</v>
      </c>
      <c r="C246">
        <v>31</v>
      </c>
      <c r="D246">
        <v>368</v>
      </c>
      <c r="E246">
        <v>74</v>
      </c>
    </row>
    <row r="247" spans="1:5" x14ac:dyDescent="0.3">
      <c r="A247">
        <v>246</v>
      </c>
      <c r="B247">
        <v>22</v>
      </c>
      <c r="C247">
        <v>68</v>
      </c>
      <c r="D247">
        <v>147</v>
      </c>
      <c r="E247">
        <v>171</v>
      </c>
    </row>
    <row r="248" spans="1:5" x14ac:dyDescent="0.3">
      <c r="A248">
        <v>247</v>
      </c>
      <c r="B248">
        <v>4</v>
      </c>
      <c r="C248">
        <v>99</v>
      </c>
      <c r="D248">
        <v>417</v>
      </c>
      <c r="E248">
        <v>175</v>
      </c>
    </row>
    <row r="249" spans="1:5" x14ac:dyDescent="0.3">
      <c r="A249">
        <v>248</v>
      </c>
      <c r="B249">
        <v>5</v>
      </c>
      <c r="C249">
        <v>99</v>
      </c>
      <c r="D249">
        <v>482</v>
      </c>
      <c r="E249">
        <v>86</v>
      </c>
    </row>
    <row r="250" spans="1:5" x14ac:dyDescent="0.3">
      <c r="A250">
        <v>249</v>
      </c>
      <c r="B250">
        <v>8</v>
      </c>
      <c r="C250">
        <v>56</v>
      </c>
      <c r="D250">
        <v>419</v>
      </c>
      <c r="E250">
        <v>109</v>
      </c>
    </row>
    <row r="251" spans="1:5" x14ac:dyDescent="0.3">
      <c r="A251">
        <v>250</v>
      </c>
      <c r="B251">
        <v>43</v>
      </c>
      <c r="C251">
        <v>23</v>
      </c>
      <c r="D251">
        <v>368</v>
      </c>
      <c r="E251">
        <v>91</v>
      </c>
    </row>
    <row r="252" spans="1:5" x14ac:dyDescent="0.3">
      <c r="A252">
        <v>251</v>
      </c>
      <c r="B252">
        <v>31</v>
      </c>
      <c r="C252">
        <v>2</v>
      </c>
      <c r="D252">
        <v>300</v>
      </c>
      <c r="E252">
        <v>53</v>
      </c>
    </row>
    <row r="253" spans="1:5" x14ac:dyDescent="0.3">
      <c r="A253">
        <v>252</v>
      </c>
      <c r="B253">
        <v>47</v>
      </c>
      <c r="C253">
        <v>20</v>
      </c>
      <c r="D253">
        <v>452</v>
      </c>
      <c r="E253">
        <v>12</v>
      </c>
    </row>
    <row r="254" spans="1:5" x14ac:dyDescent="0.3">
      <c r="A254">
        <v>253</v>
      </c>
      <c r="B254">
        <v>36</v>
      </c>
      <c r="C254">
        <v>74</v>
      </c>
      <c r="D254">
        <v>199</v>
      </c>
      <c r="E254">
        <v>177</v>
      </c>
    </row>
    <row r="255" spans="1:5" x14ac:dyDescent="0.3">
      <c r="A255">
        <v>254</v>
      </c>
      <c r="B255">
        <v>47</v>
      </c>
      <c r="C255">
        <v>64</v>
      </c>
      <c r="D255">
        <v>230</v>
      </c>
      <c r="E255">
        <v>111</v>
      </c>
    </row>
    <row r="256" spans="1:5" x14ac:dyDescent="0.3">
      <c r="A256">
        <v>255</v>
      </c>
      <c r="B256">
        <v>44</v>
      </c>
      <c r="C256">
        <v>80</v>
      </c>
      <c r="D256">
        <v>464</v>
      </c>
      <c r="E256">
        <v>145</v>
      </c>
    </row>
    <row r="257" spans="1:5" x14ac:dyDescent="0.3">
      <c r="A257">
        <v>256</v>
      </c>
      <c r="B257">
        <v>11</v>
      </c>
      <c r="C257">
        <v>62</v>
      </c>
      <c r="D257">
        <v>332</v>
      </c>
      <c r="E257">
        <v>76</v>
      </c>
    </row>
    <row r="258" spans="1:5" x14ac:dyDescent="0.3">
      <c r="A258">
        <v>257</v>
      </c>
      <c r="B258">
        <v>22</v>
      </c>
      <c r="C258">
        <v>42</v>
      </c>
      <c r="D258">
        <v>357</v>
      </c>
      <c r="E258">
        <v>6</v>
      </c>
    </row>
    <row r="259" spans="1:5" x14ac:dyDescent="0.3">
      <c r="A259">
        <v>258</v>
      </c>
      <c r="B259">
        <v>38</v>
      </c>
      <c r="C259">
        <v>44</v>
      </c>
      <c r="D259">
        <v>242</v>
      </c>
      <c r="E259">
        <v>17</v>
      </c>
    </row>
    <row r="260" spans="1:5" x14ac:dyDescent="0.3">
      <c r="A260">
        <v>259</v>
      </c>
      <c r="B260">
        <v>23</v>
      </c>
      <c r="C260">
        <v>36</v>
      </c>
      <c r="D260">
        <v>295</v>
      </c>
      <c r="E260">
        <v>160</v>
      </c>
    </row>
    <row r="261" spans="1:5" x14ac:dyDescent="0.3">
      <c r="A261">
        <v>260</v>
      </c>
      <c r="B261">
        <v>19</v>
      </c>
      <c r="C261">
        <v>22</v>
      </c>
      <c r="D261">
        <v>354</v>
      </c>
      <c r="E261">
        <v>148</v>
      </c>
    </row>
    <row r="262" spans="1:5" x14ac:dyDescent="0.3">
      <c r="A262">
        <v>261</v>
      </c>
      <c r="B262">
        <v>41</v>
      </c>
      <c r="C262">
        <v>43</v>
      </c>
      <c r="D262">
        <v>48</v>
      </c>
      <c r="E262">
        <v>42</v>
      </c>
    </row>
    <row r="263" spans="1:5" x14ac:dyDescent="0.3">
      <c r="A263">
        <v>262</v>
      </c>
      <c r="B263">
        <v>21</v>
      </c>
      <c r="C263">
        <v>6</v>
      </c>
      <c r="D263">
        <v>481</v>
      </c>
      <c r="E263">
        <v>119</v>
      </c>
    </row>
    <row r="264" spans="1:5" x14ac:dyDescent="0.3">
      <c r="A264">
        <v>263</v>
      </c>
      <c r="B264">
        <v>28</v>
      </c>
      <c r="C264">
        <v>28</v>
      </c>
      <c r="D264">
        <v>93</v>
      </c>
      <c r="E264">
        <v>84</v>
      </c>
    </row>
    <row r="265" spans="1:5" x14ac:dyDescent="0.3">
      <c r="A265">
        <v>264</v>
      </c>
      <c r="B265">
        <v>2</v>
      </c>
      <c r="C265">
        <v>59</v>
      </c>
      <c r="D265">
        <v>384</v>
      </c>
      <c r="E265">
        <v>32</v>
      </c>
    </row>
    <row r="266" spans="1:5" x14ac:dyDescent="0.3">
      <c r="A266">
        <v>265</v>
      </c>
      <c r="B266">
        <v>13</v>
      </c>
      <c r="C266">
        <v>96</v>
      </c>
      <c r="D266">
        <v>186</v>
      </c>
      <c r="E266">
        <v>98</v>
      </c>
    </row>
    <row r="267" spans="1:5" x14ac:dyDescent="0.3">
      <c r="A267">
        <v>266</v>
      </c>
      <c r="B267">
        <v>7</v>
      </c>
      <c r="C267">
        <v>33</v>
      </c>
      <c r="D267">
        <v>267</v>
      </c>
      <c r="E267">
        <v>7</v>
      </c>
    </row>
    <row r="268" spans="1:5" x14ac:dyDescent="0.3">
      <c r="A268">
        <v>267</v>
      </c>
      <c r="B268">
        <v>50</v>
      </c>
      <c r="C268">
        <v>21</v>
      </c>
      <c r="D268">
        <v>190</v>
      </c>
      <c r="E268">
        <v>175</v>
      </c>
    </row>
    <row r="269" spans="1:5" x14ac:dyDescent="0.3">
      <c r="A269">
        <v>268</v>
      </c>
      <c r="B269">
        <v>12</v>
      </c>
      <c r="C269">
        <v>44</v>
      </c>
      <c r="D269">
        <v>417</v>
      </c>
      <c r="E269">
        <v>75</v>
      </c>
    </row>
    <row r="270" spans="1:5" x14ac:dyDescent="0.3">
      <c r="A270">
        <v>269</v>
      </c>
      <c r="B270">
        <v>4</v>
      </c>
      <c r="C270">
        <v>26</v>
      </c>
      <c r="D270">
        <v>315</v>
      </c>
      <c r="E270">
        <v>44</v>
      </c>
    </row>
    <row r="271" spans="1:5" x14ac:dyDescent="0.3">
      <c r="A271">
        <v>270</v>
      </c>
      <c r="B271">
        <v>8</v>
      </c>
      <c r="C271">
        <v>77</v>
      </c>
      <c r="D271">
        <v>379</v>
      </c>
      <c r="E271">
        <v>171</v>
      </c>
    </row>
    <row r="272" spans="1:5" x14ac:dyDescent="0.3">
      <c r="A272">
        <v>271</v>
      </c>
      <c r="B272">
        <v>20</v>
      </c>
      <c r="C272">
        <v>55</v>
      </c>
      <c r="D272">
        <v>148</v>
      </c>
      <c r="E272">
        <v>33</v>
      </c>
    </row>
    <row r="273" spans="1:5" x14ac:dyDescent="0.3">
      <c r="A273">
        <v>272</v>
      </c>
      <c r="B273">
        <v>23</v>
      </c>
      <c r="C273">
        <v>6</v>
      </c>
      <c r="D273">
        <v>32</v>
      </c>
      <c r="E273">
        <v>141</v>
      </c>
    </row>
    <row r="274" spans="1:5" x14ac:dyDescent="0.3">
      <c r="A274">
        <v>273</v>
      </c>
      <c r="B274">
        <v>42</v>
      </c>
      <c r="C274">
        <v>83</v>
      </c>
      <c r="D274">
        <v>354</v>
      </c>
      <c r="E274">
        <v>101</v>
      </c>
    </row>
    <row r="275" spans="1:5" x14ac:dyDescent="0.3">
      <c r="A275">
        <v>274</v>
      </c>
      <c r="B275">
        <v>11</v>
      </c>
      <c r="C275">
        <v>31</v>
      </c>
      <c r="D275">
        <v>102</v>
      </c>
      <c r="E275">
        <v>176</v>
      </c>
    </row>
    <row r="276" spans="1:5" x14ac:dyDescent="0.3">
      <c r="A276">
        <v>275</v>
      </c>
      <c r="B276">
        <v>2</v>
      </c>
      <c r="C276">
        <v>65</v>
      </c>
      <c r="D276">
        <v>63</v>
      </c>
      <c r="E276">
        <v>44</v>
      </c>
    </row>
    <row r="277" spans="1:5" x14ac:dyDescent="0.3">
      <c r="A277">
        <v>276</v>
      </c>
      <c r="B277">
        <v>4</v>
      </c>
      <c r="C277">
        <v>47</v>
      </c>
      <c r="D277">
        <v>245</v>
      </c>
      <c r="E277">
        <v>166</v>
      </c>
    </row>
    <row r="278" spans="1:5" x14ac:dyDescent="0.3">
      <c r="A278">
        <v>277</v>
      </c>
      <c r="B278">
        <v>22</v>
      </c>
      <c r="C278">
        <v>74</v>
      </c>
      <c r="D278">
        <v>124</v>
      </c>
      <c r="E278">
        <v>24</v>
      </c>
    </row>
    <row r="279" spans="1:5" x14ac:dyDescent="0.3">
      <c r="A279">
        <v>278</v>
      </c>
      <c r="B279">
        <v>50</v>
      </c>
      <c r="C279">
        <v>95</v>
      </c>
      <c r="D279">
        <v>221</v>
      </c>
      <c r="E279">
        <v>167</v>
      </c>
    </row>
    <row r="280" spans="1:5" x14ac:dyDescent="0.3">
      <c r="A280">
        <v>279</v>
      </c>
      <c r="B280">
        <v>23</v>
      </c>
      <c r="C280">
        <v>70</v>
      </c>
      <c r="D280">
        <v>104</v>
      </c>
      <c r="E280">
        <v>169</v>
      </c>
    </row>
    <row r="281" spans="1:5" x14ac:dyDescent="0.3">
      <c r="A281">
        <v>280</v>
      </c>
      <c r="B281">
        <v>35</v>
      </c>
      <c r="C281">
        <v>93</v>
      </c>
      <c r="D281">
        <v>435</v>
      </c>
      <c r="E281">
        <v>92</v>
      </c>
    </row>
    <row r="282" spans="1:5" x14ac:dyDescent="0.3">
      <c r="A282">
        <v>281</v>
      </c>
      <c r="B282">
        <v>14</v>
      </c>
      <c r="C282">
        <v>90</v>
      </c>
      <c r="D282">
        <v>1</v>
      </c>
      <c r="E282">
        <v>80</v>
      </c>
    </row>
    <row r="283" spans="1:5" x14ac:dyDescent="0.3">
      <c r="A283">
        <v>282</v>
      </c>
      <c r="B283">
        <v>23</v>
      </c>
      <c r="C283">
        <v>91</v>
      </c>
      <c r="D283">
        <v>197</v>
      </c>
      <c r="E283">
        <v>85</v>
      </c>
    </row>
    <row r="284" spans="1:5" x14ac:dyDescent="0.3">
      <c r="A284">
        <v>283</v>
      </c>
      <c r="B284">
        <v>26</v>
      </c>
      <c r="C284">
        <v>71</v>
      </c>
      <c r="D284">
        <v>309</v>
      </c>
      <c r="E284">
        <v>36</v>
      </c>
    </row>
    <row r="285" spans="1:5" x14ac:dyDescent="0.3">
      <c r="A285">
        <v>284</v>
      </c>
      <c r="B285">
        <v>13</v>
      </c>
      <c r="C285">
        <v>31</v>
      </c>
      <c r="D285">
        <v>316</v>
      </c>
      <c r="E285">
        <v>157</v>
      </c>
    </row>
    <row r="286" spans="1:5" x14ac:dyDescent="0.3">
      <c r="A286">
        <v>285</v>
      </c>
      <c r="B286">
        <v>46</v>
      </c>
      <c r="C286">
        <v>32</v>
      </c>
      <c r="D286">
        <v>248</v>
      </c>
      <c r="E286">
        <v>117</v>
      </c>
    </row>
    <row r="287" spans="1:5" x14ac:dyDescent="0.3">
      <c r="A287">
        <v>286</v>
      </c>
      <c r="B287">
        <v>16</v>
      </c>
      <c r="C287">
        <v>69</v>
      </c>
      <c r="D287">
        <v>335</v>
      </c>
      <c r="E287">
        <v>49</v>
      </c>
    </row>
    <row r="288" spans="1:5" x14ac:dyDescent="0.3">
      <c r="A288">
        <v>287</v>
      </c>
      <c r="B288">
        <v>15</v>
      </c>
      <c r="C288">
        <v>6</v>
      </c>
      <c r="D288">
        <v>168</v>
      </c>
      <c r="E288">
        <v>32</v>
      </c>
    </row>
    <row r="289" spans="1:5" x14ac:dyDescent="0.3">
      <c r="A289">
        <v>288</v>
      </c>
      <c r="B289">
        <v>9</v>
      </c>
      <c r="C289">
        <v>29</v>
      </c>
      <c r="D289">
        <v>470</v>
      </c>
      <c r="E289">
        <v>104</v>
      </c>
    </row>
    <row r="290" spans="1:5" x14ac:dyDescent="0.3">
      <c r="A290">
        <v>289</v>
      </c>
      <c r="B290">
        <v>19</v>
      </c>
      <c r="C290">
        <v>79</v>
      </c>
      <c r="D290">
        <v>312</v>
      </c>
      <c r="E290">
        <v>61</v>
      </c>
    </row>
    <row r="291" spans="1:5" x14ac:dyDescent="0.3">
      <c r="A291">
        <v>290</v>
      </c>
      <c r="B291">
        <v>4</v>
      </c>
      <c r="C291">
        <v>76</v>
      </c>
      <c r="D291">
        <v>36</v>
      </c>
      <c r="E291">
        <v>26</v>
      </c>
    </row>
    <row r="292" spans="1:5" x14ac:dyDescent="0.3">
      <c r="A292">
        <v>291</v>
      </c>
      <c r="B292">
        <v>21</v>
      </c>
      <c r="C292">
        <v>82</v>
      </c>
      <c r="D292">
        <v>179</v>
      </c>
      <c r="E292">
        <v>60</v>
      </c>
    </row>
    <row r="293" spans="1:5" x14ac:dyDescent="0.3">
      <c r="A293">
        <v>292</v>
      </c>
      <c r="B293">
        <v>27</v>
      </c>
      <c r="C293">
        <v>21</v>
      </c>
      <c r="D293">
        <v>416</v>
      </c>
      <c r="E293">
        <v>107</v>
      </c>
    </row>
    <row r="294" spans="1:5" x14ac:dyDescent="0.3">
      <c r="A294">
        <v>293</v>
      </c>
      <c r="B294">
        <v>34</v>
      </c>
      <c r="C294">
        <v>13</v>
      </c>
      <c r="D294">
        <v>314</v>
      </c>
      <c r="E294">
        <v>71</v>
      </c>
    </row>
    <row r="295" spans="1:5" x14ac:dyDescent="0.3">
      <c r="A295">
        <v>294</v>
      </c>
      <c r="B295">
        <v>19</v>
      </c>
      <c r="C295">
        <v>38</v>
      </c>
      <c r="D295">
        <v>52</v>
      </c>
      <c r="E295">
        <v>58</v>
      </c>
    </row>
    <row r="296" spans="1:5" x14ac:dyDescent="0.3">
      <c r="A296">
        <v>295</v>
      </c>
      <c r="B296">
        <v>20</v>
      </c>
      <c r="C296">
        <v>67</v>
      </c>
      <c r="D296">
        <v>148</v>
      </c>
      <c r="E296">
        <v>129</v>
      </c>
    </row>
    <row r="297" spans="1:5" x14ac:dyDescent="0.3">
      <c r="A297">
        <v>296</v>
      </c>
      <c r="B297">
        <v>9</v>
      </c>
      <c r="C297">
        <v>11</v>
      </c>
      <c r="D297">
        <v>362</v>
      </c>
      <c r="E297">
        <v>10</v>
      </c>
    </row>
    <row r="298" spans="1:5" x14ac:dyDescent="0.3">
      <c r="A298">
        <v>297</v>
      </c>
      <c r="B298">
        <v>49</v>
      </c>
      <c r="C298">
        <v>5</v>
      </c>
      <c r="D298">
        <v>37</v>
      </c>
      <c r="E298">
        <v>161</v>
      </c>
    </row>
    <row r="299" spans="1:5" x14ac:dyDescent="0.3">
      <c r="A299">
        <v>298</v>
      </c>
      <c r="B299">
        <v>28</v>
      </c>
      <c r="C299">
        <v>86</v>
      </c>
      <c r="D299">
        <v>23</v>
      </c>
      <c r="E299">
        <v>172</v>
      </c>
    </row>
    <row r="300" spans="1:5" x14ac:dyDescent="0.3">
      <c r="A300">
        <v>299</v>
      </c>
      <c r="B300">
        <v>42</v>
      </c>
      <c r="C300">
        <v>33</v>
      </c>
      <c r="D300">
        <v>190</v>
      </c>
      <c r="E300">
        <v>162</v>
      </c>
    </row>
    <row r="301" spans="1:5" x14ac:dyDescent="0.3">
      <c r="A301">
        <v>300</v>
      </c>
      <c r="B301">
        <v>46</v>
      </c>
      <c r="C301">
        <v>86</v>
      </c>
      <c r="D301">
        <v>169</v>
      </c>
      <c r="E301">
        <v>60</v>
      </c>
    </row>
    <row r="302" spans="1:5" x14ac:dyDescent="0.3">
      <c r="A302">
        <v>301</v>
      </c>
      <c r="B302">
        <v>36</v>
      </c>
      <c r="C302">
        <v>83</v>
      </c>
      <c r="D302">
        <v>431</v>
      </c>
      <c r="E302">
        <v>44</v>
      </c>
    </row>
    <row r="303" spans="1:5" x14ac:dyDescent="0.3">
      <c r="A303">
        <v>302</v>
      </c>
      <c r="B303">
        <v>15</v>
      </c>
      <c r="C303">
        <v>10</v>
      </c>
      <c r="D303">
        <v>367</v>
      </c>
      <c r="E303">
        <v>47</v>
      </c>
    </row>
    <row r="304" spans="1:5" x14ac:dyDescent="0.3">
      <c r="A304">
        <v>303</v>
      </c>
      <c r="B304">
        <v>45</v>
      </c>
      <c r="C304">
        <v>84</v>
      </c>
      <c r="D304">
        <v>293</v>
      </c>
      <c r="E304">
        <v>69</v>
      </c>
    </row>
    <row r="305" spans="1:5" x14ac:dyDescent="0.3">
      <c r="A305">
        <v>304</v>
      </c>
      <c r="B305">
        <v>7</v>
      </c>
      <c r="C305">
        <v>64</v>
      </c>
      <c r="D305">
        <v>473</v>
      </c>
      <c r="E305">
        <v>178</v>
      </c>
    </row>
    <row r="306" spans="1:5" x14ac:dyDescent="0.3">
      <c r="A306">
        <v>305</v>
      </c>
      <c r="B306">
        <v>23</v>
      </c>
      <c r="C306">
        <v>75</v>
      </c>
      <c r="D306">
        <v>81</v>
      </c>
      <c r="E306">
        <v>110</v>
      </c>
    </row>
    <row r="307" spans="1:5" x14ac:dyDescent="0.3">
      <c r="A307">
        <v>306</v>
      </c>
      <c r="B307">
        <v>37</v>
      </c>
      <c r="C307">
        <v>20</v>
      </c>
      <c r="D307">
        <v>24</v>
      </c>
      <c r="E307">
        <v>138</v>
      </c>
    </row>
    <row r="308" spans="1:5" x14ac:dyDescent="0.3">
      <c r="A308">
        <v>307</v>
      </c>
      <c r="B308">
        <v>10</v>
      </c>
      <c r="C308">
        <v>59</v>
      </c>
      <c r="D308">
        <v>163</v>
      </c>
      <c r="E308">
        <v>3</v>
      </c>
    </row>
    <row r="309" spans="1:5" x14ac:dyDescent="0.3">
      <c r="A309">
        <v>308</v>
      </c>
      <c r="B309">
        <v>41</v>
      </c>
      <c r="C309">
        <v>42</v>
      </c>
      <c r="D309">
        <v>154</v>
      </c>
      <c r="E309">
        <v>156</v>
      </c>
    </row>
    <row r="310" spans="1:5" x14ac:dyDescent="0.3">
      <c r="A310">
        <v>309</v>
      </c>
      <c r="B310">
        <v>41</v>
      </c>
      <c r="C310">
        <v>2</v>
      </c>
      <c r="D310">
        <v>377</v>
      </c>
      <c r="E310">
        <v>49</v>
      </c>
    </row>
    <row r="311" spans="1:5" x14ac:dyDescent="0.3">
      <c r="A311">
        <v>310</v>
      </c>
      <c r="B311">
        <v>26</v>
      </c>
      <c r="C311">
        <v>19</v>
      </c>
      <c r="D311">
        <v>153</v>
      </c>
      <c r="E311">
        <v>45</v>
      </c>
    </row>
    <row r="312" spans="1:5" x14ac:dyDescent="0.3">
      <c r="A312">
        <v>311</v>
      </c>
      <c r="B312">
        <v>11</v>
      </c>
      <c r="C312">
        <v>74</v>
      </c>
      <c r="D312">
        <v>86</v>
      </c>
      <c r="E312">
        <v>63</v>
      </c>
    </row>
    <row r="313" spans="1:5" x14ac:dyDescent="0.3">
      <c r="A313">
        <v>312</v>
      </c>
      <c r="B313">
        <v>49</v>
      </c>
      <c r="C313">
        <v>43</v>
      </c>
      <c r="D313">
        <v>103</v>
      </c>
      <c r="E313">
        <v>29</v>
      </c>
    </row>
    <row r="314" spans="1:5" x14ac:dyDescent="0.3">
      <c r="A314">
        <v>313</v>
      </c>
      <c r="B314">
        <v>43</v>
      </c>
      <c r="C314">
        <v>7</v>
      </c>
      <c r="D314">
        <v>107</v>
      </c>
      <c r="E314">
        <v>108</v>
      </c>
    </row>
    <row r="315" spans="1:5" x14ac:dyDescent="0.3">
      <c r="A315">
        <v>314</v>
      </c>
      <c r="B315">
        <v>32</v>
      </c>
      <c r="C315">
        <v>86</v>
      </c>
      <c r="D315">
        <v>62</v>
      </c>
      <c r="E315">
        <v>176</v>
      </c>
    </row>
    <row r="316" spans="1:5" x14ac:dyDescent="0.3">
      <c r="A316">
        <v>315</v>
      </c>
      <c r="B316">
        <v>40</v>
      </c>
      <c r="C316">
        <v>54</v>
      </c>
      <c r="D316">
        <v>303</v>
      </c>
      <c r="E316">
        <v>102</v>
      </c>
    </row>
    <row r="317" spans="1:5" x14ac:dyDescent="0.3">
      <c r="A317">
        <v>316</v>
      </c>
      <c r="B317">
        <v>5</v>
      </c>
      <c r="C317">
        <v>13</v>
      </c>
      <c r="D317">
        <v>21</v>
      </c>
      <c r="E317">
        <v>50</v>
      </c>
    </row>
    <row r="318" spans="1:5" x14ac:dyDescent="0.3">
      <c r="A318">
        <v>317</v>
      </c>
      <c r="B318">
        <v>26</v>
      </c>
      <c r="C318">
        <v>30</v>
      </c>
      <c r="D318">
        <v>62</v>
      </c>
      <c r="E318">
        <v>157</v>
      </c>
    </row>
    <row r="319" spans="1:5" x14ac:dyDescent="0.3">
      <c r="A319">
        <v>318</v>
      </c>
      <c r="B319">
        <v>7</v>
      </c>
      <c r="C319">
        <v>11</v>
      </c>
      <c r="D319">
        <v>400</v>
      </c>
      <c r="E319">
        <v>56</v>
      </c>
    </row>
    <row r="320" spans="1:5" x14ac:dyDescent="0.3">
      <c r="A320">
        <v>319</v>
      </c>
      <c r="B320">
        <v>29</v>
      </c>
      <c r="C320">
        <v>13</v>
      </c>
      <c r="D320">
        <v>140</v>
      </c>
      <c r="E320">
        <v>21</v>
      </c>
    </row>
    <row r="321" spans="1:5" x14ac:dyDescent="0.3">
      <c r="A321">
        <v>320</v>
      </c>
      <c r="B321">
        <v>38</v>
      </c>
      <c r="C321">
        <v>60</v>
      </c>
      <c r="D321">
        <v>8</v>
      </c>
      <c r="E321">
        <v>91</v>
      </c>
    </row>
    <row r="322" spans="1:5" x14ac:dyDescent="0.3">
      <c r="A322">
        <v>321</v>
      </c>
      <c r="B322">
        <v>35</v>
      </c>
      <c r="C322">
        <v>69</v>
      </c>
      <c r="D322">
        <v>149</v>
      </c>
      <c r="E322">
        <v>117</v>
      </c>
    </row>
    <row r="323" spans="1:5" x14ac:dyDescent="0.3">
      <c r="A323">
        <v>322</v>
      </c>
      <c r="B323">
        <v>43</v>
      </c>
      <c r="C323">
        <v>41</v>
      </c>
      <c r="D323">
        <v>481</v>
      </c>
      <c r="E323">
        <v>114</v>
      </c>
    </row>
    <row r="324" spans="1:5" x14ac:dyDescent="0.3">
      <c r="A324">
        <v>323</v>
      </c>
      <c r="B324">
        <v>7</v>
      </c>
      <c r="C324">
        <v>19</v>
      </c>
      <c r="D324">
        <v>158</v>
      </c>
      <c r="E324">
        <v>153</v>
      </c>
    </row>
    <row r="325" spans="1:5" x14ac:dyDescent="0.3">
      <c r="A325">
        <v>324</v>
      </c>
      <c r="B325">
        <v>37</v>
      </c>
      <c r="C325">
        <v>4</v>
      </c>
      <c r="D325">
        <v>260</v>
      </c>
      <c r="E325">
        <v>136</v>
      </c>
    </row>
    <row r="326" spans="1:5" x14ac:dyDescent="0.3">
      <c r="A326">
        <v>325</v>
      </c>
      <c r="B326">
        <v>42</v>
      </c>
      <c r="C326">
        <v>4</v>
      </c>
      <c r="D326">
        <v>116</v>
      </c>
      <c r="E326">
        <v>53</v>
      </c>
    </row>
    <row r="327" spans="1:5" x14ac:dyDescent="0.3">
      <c r="A327">
        <v>326</v>
      </c>
      <c r="B327">
        <v>50</v>
      </c>
      <c r="C327">
        <v>36</v>
      </c>
      <c r="D327">
        <v>221</v>
      </c>
      <c r="E327">
        <v>73</v>
      </c>
    </row>
    <row r="328" spans="1:5" x14ac:dyDescent="0.3">
      <c r="A328">
        <v>327</v>
      </c>
      <c r="B328">
        <v>28</v>
      </c>
      <c r="C328">
        <v>70</v>
      </c>
      <c r="D328">
        <v>245</v>
      </c>
      <c r="E328">
        <v>151</v>
      </c>
    </row>
    <row r="329" spans="1:5" x14ac:dyDescent="0.3">
      <c r="A329">
        <v>328</v>
      </c>
      <c r="B329">
        <v>41</v>
      </c>
      <c r="C329">
        <v>53</v>
      </c>
      <c r="D329">
        <v>324</v>
      </c>
      <c r="E329">
        <v>47</v>
      </c>
    </row>
    <row r="330" spans="1:5" x14ac:dyDescent="0.3">
      <c r="A330">
        <v>329</v>
      </c>
      <c r="B330">
        <v>12</v>
      </c>
      <c r="C330">
        <v>60</v>
      </c>
      <c r="D330">
        <v>359</v>
      </c>
      <c r="E330">
        <v>125</v>
      </c>
    </row>
    <row r="331" spans="1:5" x14ac:dyDescent="0.3">
      <c r="A331">
        <v>330</v>
      </c>
      <c r="B331">
        <v>40</v>
      </c>
      <c r="C331">
        <v>85</v>
      </c>
      <c r="D331">
        <v>44</v>
      </c>
      <c r="E331">
        <v>62</v>
      </c>
    </row>
    <row r="332" spans="1:5" x14ac:dyDescent="0.3">
      <c r="A332">
        <v>331</v>
      </c>
      <c r="B332">
        <v>28</v>
      </c>
      <c r="C332">
        <v>92</v>
      </c>
      <c r="D332">
        <v>136</v>
      </c>
      <c r="E332">
        <v>65</v>
      </c>
    </row>
    <row r="333" spans="1:5" x14ac:dyDescent="0.3">
      <c r="A333">
        <v>332</v>
      </c>
      <c r="B333">
        <v>48</v>
      </c>
      <c r="C333">
        <v>6</v>
      </c>
      <c r="D333">
        <v>143</v>
      </c>
      <c r="E333">
        <v>113</v>
      </c>
    </row>
    <row r="334" spans="1:5" x14ac:dyDescent="0.3">
      <c r="A334">
        <v>333</v>
      </c>
      <c r="B334">
        <v>40</v>
      </c>
      <c r="C334">
        <v>38</v>
      </c>
      <c r="D334">
        <v>100</v>
      </c>
      <c r="E334">
        <v>164</v>
      </c>
    </row>
    <row r="335" spans="1:5" x14ac:dyDescent="0.3">
      <c r="A335">
        <v>334</v>
      </c>
      <c r="B335">
        <v>10</v>
      </c>
      <c r="C335">
        <v>2</v>
      </c>
      <c r="D335">
        <v>453</v>
      </c>
      <c r="E335">
        <v>71</v>
      </c>
    </row>
    <row r="336" spans="1:5" x14ac:dyDescent="0.3">
      <c r="A336">
        <v>335</v>
      </c>
      <c r="B336">
        <v>20</v>
      </c>
      <c r="C336">
        <v>31</v>
      </c>
      <c r="D336">
        <v>309</v>
      </c>
      <c r="E336">
        <v>158</v>
      </c>
    </row>
    <row r="337" spans="1:5" x14ac:dyDescent="0.3">
      <c r="A337">
        <v>336</v>
      </c>
      <c r="B337">
        <v>15</v>
      </c>
      <c r="C337">
        <v>20</v>
      </c>
      <c r="D337">
        <v>380</v>
      </c>
      <c r="E337">
        <v>71</v>
      </c>
    </row>
    <row r="338" spans="1:5" x14ac:dyDescent="0.3">
      <c r="A338">
        <v>337</v>
      </c>
      <c r="B338">
        <v>38</v>
      </c>
      <c r="C338">
        <v>18</v>
      </c>
      <c r="D338">
        <v>458</v>
      </c>
      <c r="E338">
        <v>67</v>
      </c>
    </row>
    <row r="339" spans="1:5" x14ac:dyDescent="0.3">
      <c r="A339">
        <v>338</v>
      </c>
      <c r="B339">
        <v>6</v>
      </c>
      <c r="C339">
        <v>18</v>
      </c>
      <c r="D339">
        <v>386</v>
      </c>
      <c r="E339">
        <v>122</v>
      </c>
    </row>
    <row r="340" spans="1:5" x14ac:dyDescent="0.3">
      <c r="A340">
        <v>339</v>
      </c>
      <c r="B340">
        <v>37</v>
      </c>
      <c r="C340">
        <v>90</v>
      </c>
      <c r="D340">
        <v>314</v>
      </c>
      <c r="E340">
        <v>104</v>
      </c>
    </row>
    <row r="341" spans="1:5" x14ac:dyDescent="0.3">
      <c r="A341">
        <v>340</v>
      </c>
      <c r="B341">
        <v>7</v>
      </c>
      <c r="C341">
        <v>67</v>
      </c>
      <c r="D341">
        <v>10</v>
      </c>
      <c r="E341">
        <v>8</v>
      </c>
    </row>
    <row r="342" spans="1:5" x14ac:dyDescent="0.3">
      <c r="A342">
        <v>341</v>
      </c>
      <c r="B342">
        <v>8</v>
      </c>
      <c r="C342">
        <v>90</v>
      </c>
      <c r="D342">
        <v>278</v>
      </c>
      <c r="E342">
        <v>88</v>
      </c>
    </row>
    <row r="343" spans="1:5" x14ac:dyDescent="0.3">
      <c r="A343">
        <v>342</v>
      </c>
      <c r="B343">
        <v>42</v>
      </c>
      <c r="C343">
        <v>62</v>
      </c>
      <c r="D343">
        <v>496</v>
      </c>
      <c r="E343">
        <v>39</v>
      </c>
    </row>
    <row r="344" spans="1:5" x14ac:dyDescent="0.3">
      <c r="A344">
        <v>343</v>
      </c>
      <c r="B344">
        <v>10</v>
      </c>
      <c r="C344">
        <v>2</v>
      </c>
      <c r="D344">
        <v>85</v>
      </c>
      <c r="E344">
        <v>99</v>
      </c>
    </row>
    <row r="345" spans="1:5" x14ac:dyDescent="0.3">
      <c r="A345">
        <v>344</v>
      </c>
      <c r="B345">
        <v>44</v>
      </c>
      <c r="C345">
        <v>57</v>
      </c>
      <c r="D345">
        <v>142</v>
      </c>
      <c r="E345">
        <v>141</v>
      </c>
    </row>
    <row r="346" spans="1:5" x14ac:dyDescent="0.3">
      <c r="A346">
        <v>345</v>
      </c>
      <c r="B346">
        <v>36</v>
      </c>
      <c r="C346">
        <v>43</v>
      </c>
      <c r="D346">
        <v>257</v>
      </c>
      <c r="E346">
        <v>9</v>
      </c>
    </row>
    <row r="347" spans="1:5" x14ac:dyDescent="0.3">
      <c r="A347">
        <v>346</v>
      </c>
      <c r="B347">
        <v>1</v>
      </c>
      <c r="C347">
        <v>52</v>
      </c>
      <c r="D347">
        <v>484</v>
      </c>
      <c r="E347">
        <v>109</v>
      </c>
    </row>
    <row r="348" spans="1:5" x14ac:dyDescent="0.3">
      <c r="A348">
        <v>347</v>
      </c>
      <c r="B348">
        <v>35</v>
      </c>
      <c r="C348">
        <v>28</v>
      </c>
      <c r="D348">
        <v>220</v>
      </c>
      <c r="E348">
        <v>29</v>
      </c>
    </row>
    <row r="349" spans="1:5" x14ac:dyDescent="0.3">
      <c r="A349">
        <v>348</v>
      </c>
      <c r="B349">
        <v>35</v>
      </c>
      <c r="C349">
        <v>89</v>
      </c>
      <c r="D349">
        <v>267</v>
      </c>
      <c r="E349">
        <v>162</v>
      </c>
    </row>
    <row r="350" spans="1:5" x14ac:dyDescent="0.3">
      <c r="A350">
        <v>349</v>
      </c>
      <c r="B350">
        <v>26</v>
      </c>
      <c r="C350">
        <v>81</v>
      </c>
      <c r="D350">
        <v>409</v>
      </c>
      <c r="E350">
        <v>97</v>
      </c>
    </row>
    <row r="351" spans="1:5" x14ac:dyDescent="0.3">
      <c r="A351">
        <v>350</v>
      </c>
      <c r="B351">
        <v>6</v>
      </c>
      <c r="C351">
        <v>57</v>
      </c>
      <c r="D351">
        <v>31</v>
      </c>
      <c r="E351">
        <v>91</v>
      </c>
    </row>
    <row r="352" spans="1:5" x14ac:dyDescent="0.3">
      <c r="A352">
        <v>351</v>
      </c>
      <c r="B352">
        <v>41</v>
      </c>
      <c r="C352">
        <v>1</v>
      </c>
      <c r="D352">
        <v>214</v>
      </c>
      <c r="E352">
        <v>154</v>
      </c>
    </row>
    <row r="353" spans="1:5" x14ac:dyDescent="0.3">
      <c r="A353">
        <v>352</v>
      </c>
      <c r="B353">
        <v>1</v>
      </c>
      <c r="C353">
        <v>4</v>
      </c>
      <c r="D353">
        <v>464</v>
      </c>
      <c r="E353">
        <v>133</v>
      </c>
    </row>
    <row r="354" spans="1:5" x14ac:dyDescent="0.3">
      <c r="A354">
        <v>353</v>
      </c>
      <c r="B354">
        <v>1</v>
      </c>
      <c r="C354">
        <v>49</v>
      </c>
      <c r="D354">
        <v>340</v>
      </c>
      <c r="E354">
        <v>166</v>
      </c>
    </row>
    <row r="355" spans="1:5" x14ac:dyDescent="0.3">
      <c r="A355">
        <v>354</v>
      </c>
      <c r="B355">
        <v>30</v>
      </c>
      <c r="C355">
        <v>85</v>
      </c>
      <c r="D355">
        <v>198</v>
      </c>
      <c r="E355">
        <v>46</v>
      </c>
    </row>
    <row r="356" spans="1:5" x14ac:dyDescent="0.3">
      <c r="A356">
        <v>355</v>
      </c>
      <c r="B356">
        <v>8</v>
      </c>
      <c r="C356">
        <v>30</v>
      </c>
      <c r="D356">
        <v>57</v>
      </c>
      <c r="E356">
        <v>19</v>
      </c>
    </row>
    <row r="357" spans="1:5" x14ac:dyDescent="0.3">
      <c r="A357">
        <v>356</v>
      </c>
      <c r="B357">
        <v>35</v>
      </c>
      <c r="C357">
        <v>38</v>
      </c>
      <c r="D357">
        <v>388</v>
      </c>
      <c r="E357">
        <v>153</v>
      </c>
    </row>
    <row r="358" spans="1:5" x14ac:dyDescent="0.3">
      <c r="A358">
        <v>357</v>
      </c>
      <c r="B358">
        <v>27</v>
      </c>
      <c r="C358">
        <v>64</v>
      </c>
      <c r="D358">
        <v>118</v>
      </c>
      <c r="E358">
        <v>52</v>
      </c>
    </row>
    <row r="359" spans="1:5" x14ac:dyDescent="0.3">
      <c r="A359">
        <v>358</v>
      </c>
      <c r="B359">
        <v>13</v>
      </c>
      <c r="C359">
        <v>35</v>
      </c>
      <c r="D359">
        <v>264</v>
      </c>
      <c r="E359">
        <v>72</v>
      </c>
    </row>
    <row r="360" spans="1:5" x14ac:dyDescent="0.3">
      <c r="A360">
        <v>359</v>
      </c>
      <c r="B360">
        <v>44</v>
      </c>
      <c r="C360">
        <v>75</v>
      </c>
      <c r="D360">
        <v>485</v>
      </c>
      <c r="E360">
        <v>139</v>
      </c>
    </row>
    <row r="361" spans="1:5" x14ac:dyDescent="0.3">
      <c r="A361">
        <v>360</v>
      </c>
      <c r="B361">
        <v>38</v>
      </c>
      <c r="C361">
        <v>98</v>
      </c>
      <c r="D361">
        <v>86</v>
      </c>
      <c r="E361">
        <v>125</v>
      </c>
    </row>
    <row r="362" spans="1:5" x14ac:dyDescent="0.3">
      <c r="A362">
        <v>361</v>
      </c>
      <c r="B362">
        <v>20</v>
      </c>
      <c r="C362">
        <v>10</v>
      </c>
      <c r="D362">
        <v>124</v>
      </c>
      <c r="E362">
        <v>117</v>
      </c>
    </row>
    <row r="363" spans="1:5" x14ac:dyDescent="0.3">
      <c r="A363">
        <v>362</v>
      </c>
      <c r="B363">
        <v>2</v>
      </c>
      <c r="C363">
        <v>38</v>
      </c>
      <c r="D363">
        <v>373</v>
      </c>
      <c r="E363">
        <v>81</v>
      </c>
    </row>
    <row r="364" spans="1:5" x14ac:dyDescent="0.3">
      <c r="A364">
        <v>363</v>
      </c>
      <c r="B364">
        <v>7</v>
      </c>
      <c r="C364">
        <v>72</v>
      </c>
      <c r="D364">
        <v>459</v>
      </c>
      <c r="E364">
        <v>85</v>
      </c>
    </row>
    <row r="365" spans="1:5" x14ac:dyDescent="0.3">
      <c r="A365">
        <v>364</v>
      </c>
      <c r="B365">
        <v>27</v>
      </c>
      <c r="C365">
        <v>7</v>
      </c>
      <c r="D365">
        <v>401</v>
      </c>
      <c r="E365">
        <v>41</v>
      </c>
    </row>
    <row r="366" spans="1:5" x14ac:dyDescent="0.3">
      <c r="A366">
        <v>365</v>
      </c>
      <c r="B366">
        <v>3</v>
      </c>
      <c r="C366">
        <v>75</v>
      </c>
      <c r="D366">
        <v>409</v>
      </c>
      <c r="E366">
        <v>92</v>
      </c>
    </row>
    <row r="367" spans="1:5" x14ac:dyDescent="0.3">
      <c r="A367">
        <v>366</v>
      </c>
      <c r="B367">
        <v>31</v>
      </c>
      <c r="C367">
        <v>60</v>
      </c>
      <c r="D367">
        <v>303</v>
      </c>
      <c r="E367">
        <v>99</v>
      </c>
    </row>
    <row r="368" spans="1:5" x14ac:dyDescent="0.3">
      <c r="A368">
        <v>367</v>
      </c>
      <c r="B368">
        <v>47</v>
      </c>
      <c r="C368">
        <v>65</v>
      </c>
      <c r="D368">
        <v>126</v>
      </c>
      <c r="E368">
        <v>18</v>
      </c>
    </row>
    <row r="369" spans="1:5" x14ac:dyDescent="0.3">
      <c r="A369">
        <v>368</v>
      </c>
      <c r="B369">
        <v>5</v>
      </c>
      <c r="C369">
        <v>92</v>
      </c>
      <c r="D369">
        <v>485</v>
      </c>
      <c r="E369">
        <v>47</v>
      </c>
    </row>
    <row r="370" spans="1:5" x14ac:dyDescent="0.3">
      <c r="A370">
        <v>369</v>
      </c>
      <c r="B370">
        <v>50</v>
      </c>
      <c r="C370">
        <v>29</v>
      </c>
      <c r="D370">
        <v>410</v>
      </c>
      <c r="E370">
        <v>48</v>
      </c>
    </row>
    <row r="371" spans="1:5" x14ac:dyDescent="0.3">
      <c r="A371">
        <v>370</v>
      </c>
      <c r="B371">
        <v>8</v>
      </c>
      <c r="C371">
        <v>74</v>
      </c>
      <c r="D371">
        <v>277</v>
      </c>
      <c r="E371">
        <v>103</v>
      </c>
    </row>
    <row r="372" spans="1:5" x14ac:dyDescent="0.3">
      <c r="A372">
        <v>371</v>
      </c>
      <c r="B372">
        <v>10</v>
      </c>
      <c r="C372">
        <v>70</v>
      </c>
      <c r="D372">
        <v>488</v>
      </c>
      <c r="E372">
        <v>163</v>
      </c>
    </row>
    <row r="373" spans="1:5" x14ac:dyDescent="0.3">
      <c r="A373">
        <v>372</v>
      </c>
      <c r="B373">
        <v>4</v>
      </c>
      <c r="C373">
        <v>80</v>
      </c>
      <c r="D373">
        <v>103</v>
      </c>
      <c r="E373">
        <v>51</v>
      </c>
    </row>
    <row r="374" spans="1:5" x14ac:dyDescent="0.3">
      <c r="A374">
        <v>373</v>
      </c>
      <c r="B374">
        <v>34</v>
      </c>
      <c r="C374">
        <v>33</v>
      </c>
      <c r="D374">
        <v>435</v>
      </c>
      <c r="E374">
        <v>155</v>
      </c>
    </row>
    <row r="375" spans="1:5" x14ac:dyDescent="0.3">
      <c r="A375">
        <v>374</v>
      </c>
      <c r="B375">
        <v>10</v>
      </c>
      <c r="C375">
        <v>51</v>
      </c>
      <c r="D375">
        <v>491</v>
      </c>
      <c r="E375">
        <v>45</v>
      </c>
    </row>
    <row r="376" spans="1:5" x14ac:dyDescent="0.3">
      <c r="A376">
        <v>375</v>
      </c>
      <c r="B376">
        <v>33</v>
      </c>
      <c r="C376">
        <v>100</v>
      </c>
      <c r="D376">
        <v>157</v>
      </c>
      <c r="E376">
        <v>151</v>
      </c>
    </row>
    <row r="377" spans="1:5" x14ac:dyDescent="0.3">
      <c r="A377">
        <v>376</v>
      </c>
      <c r="B377">
        <v>43</v>
      </c>
      <c r="C377">
        <v>72</v>
      </c>
      <c r="D377">
        <v>373</v>
      </c>
      <c r="E377">
        <v>20</v>
      </c>
    </row>
    <row r="378" spans="1:5" x14ac:dyDescent="0.3">
      <c r="A378">
        <v>377</v>
      </c>
      <c r="B378">
        <v>13</v>
      </c>
      <c r="C378">
        <v>94</v>
      </c>
      <c r="D378">
        <v>448</v>
      </c>
      <c r="E378">
        <v>22</v>
      </c>
    </row>
    <row r="379" spans="1:5" x14ac:dyDescent="0.3">
      <c r="A379">
        <v>378</v>
      </c>
      <c r="B379">
        <v>25</v>
      </c>
      <c r="C379">
        <v>34</v>
      </c>
      <c r="D379">
        <v>220</v>
      </c>
      <c r="E379">
        <v>70</v>
      </c>
    </row>
    <row r="380" spans="1:5" x14ac:dyDescent="0.3">
      <c r="A380">
        <v>379</v>
      </c>
      <c r="B380">
        <v>6</v>
      </c>
      <c r="C380">
        <v>43</v>
      </c>
      <c r="D380">
        <v>324</v>
      </c>
      <c r="E380">
        <v>127</v>
      </c>
    </row>
    <row r="381" spans="1:5" x14ac:dyDescent="0.3">
      <c r="A381">
        <v>380</v>
      </c>
      <c r="B381">
        <v>29</v>
      </c>
      <c r="C381">
        <v>89</v>
      </c>
      <c r="D381">
        <v>487</v>
      </c>
      <c r="E381">
        <v>94</v>
      </c>
    </row>
    <row r="382" spans="1:5" x14ac:dyDescent="0.3">
      <c r="A382">
        <v>381</v>
      </c>
      <c r="B382">
        <v>9</v>
      </c>
      <c r="C382">
        <v>14</v>
      </c>
      <c r="D382">
        <v>76</v>
      </c>
      <c r="E382">
        <v>156</v>
      </c>
    </row>
    <row r="383" spans="1:5" x14ac:dyDescent="0.3">
      <c r="A383">
        <v>382</v>
      </c>
      <c r="B383">
        <v>43</v>
      </c>
      <c r="C383">
        <v>58</v>
      </c>
      <c r="D383">
        <v>113</v>
      </c>
      <c r="E383">
        <v>1</v>
      </c>
    </row>
    <row r="384" spans="1:5" x14ac:dyDescent="0.3">
      <c r="A384">
        <v>383</v>
      </c>
      <c r="B384">
        <v>39</v>
      </c>
      <c r="C384">
        <v>18</v>
      </c>
      <c r="D384">
        <v>32</v>
      </c>
      <c r="E384">
        <v>150</v>
      </c>
    </row>
    <row r="385" spans="1:5" x14ac:dyDescent="0.3">
      <c r="A385">
        <v>384</v>
      </c>
      <c r="B385">
        <v>22</v>
      </c>
      <c r="C385">
        <v>87</v>
      </c>
      <c r="D385">
        <v>344</v>
      </c>
      <c r="E385">
        <v>104</v>
      </c>
    </row>
    <row r="386" spans="1:5" x14ac:dyDescent="0.3">
      <c r="A386">
        <v>385</v>
      </c>
      <c r="B386">
        <v>8</v>
      </c>
      <c r="C386">
        <v>57</v>
      </c>
      <c r="D386">
        <v>419</v>
      </c>
      <c r="E386">
        <v>134</v>
      </c>
    </row>
    <row r="387" spans="1:5" x14ac:dyDescent="0.3">
      <c r="A387">
        <v>386</v>
      </c>
      <c r="B387">
        <v>35</v>
      </c>
      <c r="C387">
        <v>97</v>
      </c>
      <c r="D387">
        <v>108</v>
      </c>
      <c r="E387">
        <v>21</v>
      </c>
    </row>
    <row r="388" spans="1:5" x14ac:dyDescent="0.3">
      <c r="A388">
        <v>387</v>
      </c>
      <c r="B388">
        <v>36</v>
      </c>
      <c r="C388">
        <v>53</v>
      </c>
      <c r="D388">
        <v>460</v>
      </c>
      <c r="E388">
        <v>30</v>
      </c>
    </row>
    <row r="389" spans="1:5" x14ac:dyDescent="0.3">
      <c r="A389">
        <v>388</v>
      </c>
      <c r="B389">
        <v>12</v>
      </c>
      <c r="C389">
        <v>38</v>
      </c>
      <c r="D389">
        <v>243</v>
      </c>
      <c r="E389">
        <v>24</v>
      </c>
    </row>
    <row r="390" spans="1:5" x14ac:dyDescent="0.3">
      <c r="A390">
        <v>389</v>
      </c>
      <c r="B390">
        <v>28</v>
      </c>
      <c r="C390">
        <v>17</v>
      </c>
      <c r="D390">
        <v>496</v>
      </c>
      <c r="E390">
        <v>104</v>
      </c>
    </row>
    <row r="391" spans="1:5" x14ac:dyDescent="0.3">
      <c r="A391">
        <v>390</v>
      </c>
      <c r="B391">
        <v>19</v>
      </c>
      <c r="C391">
        <v>24</v>
      </c>
      <c r="D391">
        <v>68</v>
      </c>
      <c r="E391">
        <v>15</v>
      </c>
    </row>
    <row r="392" spans="1:5" x14ac:dyDescent="0.3">
      <c r="A392">
        <v>391</v>
      </c>
      <c r="B392">
        <v>34</v>
      </c>
      <c r="C392">
        <v>18</v>
      </c>
      <c r="D392">
        <v>192</v>
      </c>
      <c r="E392">
        <v>143</v>
      </c>
    </row>
    <row r="393" spans="1:5" x14ac:dyDescent="0.3">
      <c r="A393">
        <v>392</v>
      </c>
      <c r="B393">
        <v>27</v>
      </c>
      <c r="C393">
        <v>37</v>
      </c>
      <c r="D393">
        <v>27</v>
      </c>
      <c r="E393">
        <v>164</v>
      </c>
    </row>
    <row r="394" spans="1:5" x14ac:dyDescent="0.3">
      <c r="A394">
        <v>393</v>
      </c>
      <c r="B394">
        <v>10</v>
      </c>
      <c r="C394">
        <v>38</v>
      </c>
      <c r="D394">
        <v>111</v>
      </c>
      <c r="E394">
        <v>86</v>
      </c>
    </row>
    <row r="395" spans="1:5" x14ac:dyDescent="0.3">
      <c r="A395">
        <v>394</v>
      </c>
      <c r="B395">
        <v>20</v>
      </c>
      <c r="C395">
        <v>98</v>
      </c>
      <c r="D395">
        <v>26</v>
      </c>
      <c r="E395">
        <v>3</v>
      </c>
    </row>
    <row r="396" spans="1:5" x14ac:dyDescent="0.3">
      <c r="A396">
        <v>395</v>
      </c>
      <c r="B396">
        <v>19</v>
      </c>
      <c r="C396">
        <v>72</v>
      </c>
      <c r="D396">
        <v>418</v>
      </c>
      <c r="E396">
        <v>144</v>
      </c>
    </row>
    <row r="397" spans="1:5" x14ac:dyDescent="0.3">
      <c r="A397">
        <v>396</v>
      </c>
      <c r="B397">
        <v>5</v>
      </c>
      <c r="C397">
        <v>33</v>
      </c>
      <c r="D397">
        <v>77</v>
      </c>
      <c r="E397">
        <v>129</v>
      </c>
    </row>
    <row r="398" spans="1:5" x14ac:dyDescent="0.3">
      <c r="A398">
        <v>397</v>
      </c>
      <c r="B398">
        <v>11</v>
      </c>
      <c r="C398">
        <v>47</v>
      </c>
      <c r="D398">
        <v>9</v>
      </c>
      <c r="E398">
        <v>92</v>
      </c>
    </row>
    <row r="399" spans="1:5" x14ac:dyDescent="0.3">
      <c r="A399">
        <v>398</v>
      </c>
      <c r="B399">
        <v>11</v>
      </c>
      <c r="C399">
        <v>72</v>
      </c>
      <c r="D399">
        <v>446</v>
      </c>
      <c r="E399">
        <v>69</v>
      </c>
    </row>
    <row r="400" spans="1:5" x14ac:dyDescent="0.3">
      <c r="A400">
        <v>399</v>
      </c>
      <c r="B400">
        <v>2</v>
      </c>
      <c r="C400">
        <v>42</v>
      </c>
      <c r="D400">
        <v>285</v>
      </c>
      <c r="E400">
        <v>124</v>
      </c>
    </row>
    <row r="401" spans="1:5" x14ac:dyDescent="0.3">
      <c r="A401">
        <v>400</v>
      </c>
      <c r="B401">
        <v>31</v>
      </c>
      <c r="C401">
        <v>97</v>
      </c>
      <c r="D401">
        <v>283</v>
      </c>
      <c r="E401">
        <v>50</v>
      </c>
    </row>
    <row r="402" spans="1:5" x14ac:dyDescent="0.3">
      <c r="A402">
        <v>401</v>
      </c>
      <c r="B402">
        <v>14</v>
      </c>
      <c r="C402">
        <v>1</v>
      </c>
      <c r="D402">
        <v>77</v>
      </c>
      <c r="E402">
        <v>19</v>
      </c>
    </row>
    <row r="403" spans="1:5" x14ac:dyDescent="0.3">
      <c r="A403">
        <v>402</v>
      </c>
      <c r="B403">
        <v>40</v>
      </c>
      <c r="C403">
        <v>89</v>
      </c>
      <c r="D403">
        <v>148</v>
      </c>
      <c r="E403">
        <v>103</v>
      </c>
    </row>
    <row r="404" spans="1:5" x14ac:dyDescent="0.3">
      <c r="A404">
        <v>403</v>
      </c>
      <c r="B404">
        <v>1</v>
      </c>
      <c r="C404">
        <v>49</v>
      </c>
      <c r="D404">
        <v>294</v>
      </c>
      <c r="E404">
        <v>53</v>
      </c>
    </row>
    <row r="405" spans="1:5" x14ac:dyDescent="0.3">
      <c r="A405">
        <v>404</v>
      </c>
      <c r="B405">
        <v>8</v>
      </c>
      <c r="C405">
        <v>24</v>
      </c>
      <c r="D405">
        <v>352</v>
      </c>
      <c r="E405">
        <v>10</v>
      </c>
    </row>
    <row r="406" spans="1:5" x14ac:dyDescent="0.3">
      <c r="A406">
        <v>405</v>
      </c>
      <c r="B406">
        <v>39</v>
      </c>
      <c r="C406">
        <v>65</v>
      </c>
      <c r="D406">
        <v>332</v>
      </c>
      <c r="E406">
        <v>104</v>
      </c>
    </row>
    <row r="407" spans="1:5" x14ac:dyDescent="0.3">
      <c r="A407">
        <v>406</v>
      </c>
      <c r="B407">
        <v>3</v>
      </c>
      <c r="C407">
        <v>64</v>
      </c>
      <c r="D407">
        <v>244</v>
      </c>
      <c r="E407">
        <v>80</v>
      </c>
    </row>
    <row r="408" spans="1:5" x14ac:dyDescent="0.3">
      <c r="A408">
        <v>407</v>
      </c>
      <c r="B408">
        <v>11</v>
      </c>
      <c r="C408">
        <v>15</v>
      </c>
      <c r="D408">
        <v>248</v>
      </c>
      <c r="E408">
        <v>87</v>
      </c>
    </row>
    <row r="409" spans="1:5" x14ac:dyDescent="0.3">
      <c r="A409">
        <v>408</v>
      </c>
      <c r="B409">
        <v>11</v>
      </c>
      <c r="C409">
        <v>44</v>
      </c>
      <c r="D409">
        <v>52</v>
      </c>
      <c r="E409">
        <v>70</v>
      </c>
    </row>
    <row r="410" spans="1:5" x14ac:dyDescent="0.3">
      <c r="A410">
        <v>409</v>
      </c>
      <c r="B410">
        <v>12</v>
      </c>
      <c r="C410">
        <v>26</v>
      </c>
      <c r="D410">
        <v>10</v>
      </c>
      <c r="E410">
        <v>105</v>
      </c>
    </row>
    <row r="411" spans="1:5" x14ac:dyDescent="0.3">
      <c r="A411">
        <v>410</v>
      </c>
      <c r="B411">
        <v>23</v>
      </c>
      <c r="C411">
        <v>12</v>
      </c>
      <c r="D411">
        <v>256</v>
      </c>
      <c r="E411">
        <v>51</v>
      </c>
    </row>
    <row r="412" spans="1:5" x14ac:dyDescent="0.3">
      <c r="A412">
        <v>411</v>
      </c>
      <c r="B412">
        <v>42</v>
      </c>
      <c r="C412">
        <v>79</v>
      </c>
      <c r="D412">
        <v>434</v>
      </c>
      <c r="E412">
        <v>96</v>
      </c>
    </row>
    <row r="413" spans="1:5" x14ac:dyDescent="0.3">
      <c r="A413">
        <v>412</v>
      </c>
      <c r="B413">
        <v>42</v>
      </c>
      <c r="C413">
        <v>18</v>
      </c>
      <c r="D413">
        <v>252</v>
      </c>
      <c r="E413">
        <v>18</v>
      </c>
    </row>
    <row r="414" spans="1:5" x14ac:dyDescent="0.3">
      <c r="A414">
        <v>413</v>
      </c>
      <c r="B414">
        <v>43</v>
      </c>
      <c r="C414">
        <v>91</v>
      </c>
      <c r="D414">
        <v>192</v>
      </c>
      <c r="E414">
        <v>55</v>
      </c>
    </row>
    <row r="415" spans="1:5" x14ac:dyDescent="0.3">
      <c r="A415">
        <v>414</v>
      </c>
      <c r="B415">
        <v>41</v>
      </c>
      <c r="C415">
        <v>70</v>
      </c>
      <c r="D415">
        <v>321</v>
      </c>
      <c r="E415">
        <v>9</v>
      </c>
    </row>
    <row r="416" spans="1:5" x14ac:dyDescent="0.3">
      <c r="A416">
        <v>415</v>
      </c>
      <c r="B416">
        <v>16</v>
      </c>
      <c r="C416">
        <v>26</v>
      </c>
      <c r="D416">
        <v>385</v>
      </c>
      <c r="E416">
        <v>81</v>
      </c>
    </row>
    <row r="417" spans="1:5" x14ac:dyDescent="0.3">
      <c r="A417">
        <v>416</v>
      </c>
      <c r="B417">
        <v>43</v>
      </c>
      <c r="C417">
        <v>31</v>
      </c>
      <c r="D417">
        <v>117</v>
      </c>
      <c r="E417">
        <v>97</v>
      </c>
    </row>
    <row r="418" spans="1:5" x14ac:dyDescent="0.3">
      <c r="A418">
        <v>417</v>
      </c>
      <c r="B418">
        <v>24</v>
      </c>
      <c r="C418">
        <v>91</v>
      </c>
      <c r="D418">
        <v>191</v>
      </c>
      <c r="E418">
        <v>77</v>
      </c>
    </row>
    <row r="419" spans="1:5" x14ac:dyDescent="0.3">
      <c r="A419">
        <v>418</v>
      </c>
      <c r="B419">
        <v>31</v>
      </c>
      <c r="C419">
        <v>55</v>
      </c>
      <c r="D419">
        <v>40</v>
      </c>
      <c r="E419">
        <v>146</v>
      </c>
    </row>
    <row r="420" spans="1:5" x14ac:dyDescent="0.3">
      <c r="A420">
        <v>419</v>
      </c>
      <c r="B420">
        <v>13</v>
      </c>
      <c r="C420">
        <v>98</v>
      </c>
      <c r="D420">
        <v>224</v>
      </c>
      <c r="E420">
        <v>176</v>
      </c>
    </row>
    <row r="421" spans="1:5" x14ac:dyDescent="0.3">
      <c r="A421">
        <v>420</v>
      </c>
      <c r="B421">
        <v>7</v>
      </c>
      <c r="C421">
        <v>42</v>
      </c>
      <c r="D421">
        <v>89</v>
      </c>
      <c r="E421">
        <v>134</v>
      </c>
    </row>
    <row r="422" spans="1:5" x14ac:dyDescent="0.3">
      <c r="A422">
        <v>421</v>
      </c>
      <c r="B422">
        <v>16</v>
      </c>
      <c r="C422">
        <v>7</v>
      </c>
      <c r="D422">
        <v>95</v>
      </c>
      <c r="E422">
        <v>155</v>
      </c>
    </row>
    <row r="423" spans="1:5" x14ac:dyDescent="0.3">
      <c r="A423">
        <v>422</v>
      </c>
      <c r="B423">
        <v>37</v>
      </c>
      <c r="C423">
        <v>72</v>
      </c>
      <c r="D423">
        <v>336</v>
      </c>
      <c r="E423">
        <v>63</v>
      </c>
    </row>
    <row r="424" spans="1:5" x14ac:dyDescent="0.3">
      <c r="A424">
        <v>423</v>
      </c>
      <c r="B424">
        <v>11</v>
      </c>
      <c r="C424">
        <v>48</v>
      </c>
      <c r="D424">
        <v>213</v>
      </c>
      <c r="E424">
        <v>14</v>
      </c>
    </row>
    <row r="425" spans="1:5" x14ac:dyDescent="0.3">
      <c r="A425">
        <v>424</v>
      </c>
      <c r="B425">
        <v>19</v>
      </c>
      <c r="C425">
        <v>10</v>
      </c>
      <c r="D425">
        <v>96</v>
      </c>
      <c r="E425">
        <v>100</v>
      </c>
    </row>
    <row r="426" spans="1:5" x14ac:dyDescent="0.3">
      <c r="A426">
        <v>425</v>
      </c>
      <c r="B426">
        <v>34</v>
      </c>
      <c r="C426">
        <v>42</v>
      </c>
      <c r="D426">
        <v>161</v>
      </c>
      <c r="E426">
        <v>102</v>
      </c>
    </row>
    <row r="427" spans="1:5" x14ac:dyDescent="0.3">
      <c r="A427">
        <v>426</v>
      </c>
      <c r="B427">
        <v>36</v>
      </c>
      <c r="C427">
        <v>53</v>
      </c>
      <c r="D427">
        <v>244</v>
      </c>
      <c r="E427">
        <v>22</v>
      </c>
    </row>
    <row r="428" spans="1:5" x14ac:dyDescent="0.3">
      <c r="A428">
        <v>427</v>
      </c>
      <c r="B428">
        <v>30</v>
      </c>
      <c r="C428">
        <v>11</v>
      </c>
      <c r="D428">
        <v>25</v>
      </c>
      <c r="E428">
        <v>158</v>
      </c>
    </row>
    <row r="429" spans="1:5" x14ac:dyDescent="0.3">
      <c r="A429">
        <v>428</v>
      </c>
      <c r="B429">
        <v>46</v>
      </c>
      <c r="C429">
        <v>52</v>
      </c>
      <c r="D429">
        <v>228</v>
      </c>
      <c r="E429">
        <v>104</v>
      </c>
    </row>
    <row r="430" spans="1:5" x14ac:dyDescent="0.3">
      <c r="A430">
        <v>429</v>
      </c>
      <c r="B430">
        <v>16</v>
      </c>
      <c r="C430">
        <v>67</v>
      </c>
      <c r="D430">
        <v>470</v>
      </c>
      <c r="E430">
        <v>127</v>
      </c>
    </row>
    <row r="431" spans="1:5" x14ac:dyDescent="0.3">
      <c r="A431">
        <v>430</v>
      </c>
      <c r="B431">
        <v>2</v>
      </c>
      <c r="C431">
        <v>47</v>
      </c>
      <c r="D431">
        <v>243</v>
      </c>
      <c r="E431">
        <v>133</v>
      </c>
    </row>
    <row r="432" spans="1:5" x14ac:dyDescent="0.3">
      <c r="A432">
        <v>431</v>
      </c>
      <c r="B432">
        <v>31</v>
      </c>
      <c r="C432">
        <v>98</v>
      </c>
      <c r="D432">
        <v>418</v>
      </c>
      <c r="E432">
        <v>66</v>
      </c>
    </row>
    <row r="433" spans="1:5" x14ac:dyDescent="0.3">
      <c r="A433">
        <v>432</v>
      </c>
      <c r="B433">
        <v>29</v>
      </c>
      <c r="C433">
        <v>7</v>
      </c>
      <c r="D433">
        <v>174</v>
      </c>
      <c r="E433">
        <v>44</v>
      </c>
    </row>
    <row r="434" spans="1:5" x14ac:dyDescent="0.3">
      <c r="A434">
        <v>433</v>
      </c>
      <c r="B434">
        <v>36</v>
      </c>
      <c r="C434">
        <v>66</v>
      </c>
      <c r="D434">
        <v>59</v>
      </c>
      <c r="E434">
        <v>143</v>
      </c>
    </row>
    <row r="435" spans="1:5" x14ac:dyDescent="0.3">
      <c r="A435">
        <v>434</v>
      </c>
      <c r="B435">
        <v>13</v>
      </c>
      <c r="C435">
        <v>92</v>
      </c>
      <c r="D435">
        <v>329</v>
      </c>
      <c r="E435">
        <v>13</v>
      </c>
    </row>
    <row r="436" spans="1:5" x14ac:dyDescent="0.3">
      <c r="A436">
        <v>435</v>
      </c>
      <c r="B436">
        <v>35</v>
      </c>
      <c r="C436">
        <v>57</v>
      </c>
      <c r="D436">
        <v>373</v>
      </c>
      <c r="E436">
        <v>35</v>
      </c>
    </row>
    <row r="437" spans="1:5" x14ac:dyDescent="0.3">
      <c r="A437">
        <v>436</v>
      </c>
      <c r="B437">
        <v>38</v>
      </c>
      <c r="C437">
        <v>65</v>
      </c>
      <c r="D437">
        <v>51</v>
      </c>
      <c r="E437">
        <v>171</v>
      </c>
    </row>
    <row r="438" spans="1:5" x14ac:dyDescent="0.3">
      <c r="A438">
        <v>437</v>
      </c>
      <c r="B438">
        <v>24</v>
      </c>
      <c r="C438">
        <v>4</v>
      </c>
      <c r="D438">
        <v>426</v>
      </c>
      <c r="E438">
        <v>107</v>
      </c>
    </row>
    <row r="439" spans="1:5" x14ac:dyDescent="0.3">
      <c r="A439">
        <v>438</v>
      </c>
      <c r="B439">
        <v>4</v>
      </c>
      <c r="C439">
        <v>18</v>
      </c>
      <c r="D439">
        <v>170</v>
      </c>
      <c r="E439">
        <v>51</v>
      </c>
    </row>
    <row r="440" spans="1:5" x14ac:dyDescent="0.3">
      <c r="A440">
        <v>439</v>
      </c>
      <c r="B440">
        <v>10</v>
      </c>
      <c r="C440">
        <v>17</v>
      </c>
      <c r="D440">
        <v>1</v>
      </c>
      <c r="E440">
        <v>98</v>
      </c>
    </row>
    <row r="441" spans="1:5" x14ac:dyDescent="0.3">
      <c r="A441">
        <v>440</v>
      </c>
      <c r="B441">
        <v>33</v>
      </c>
      <c r="C441">
        <v>31</v>
      </c>
      <c r="D441">
        <v>138</v>
      </c>
      <c r="E441">
        <v>63</v>
      </c>
    </row>
    <row r="442" spans="1:5" x14ac:dyDescent="0.3">
      <c r="A442">
        <v>441</v>
      </c>
      <c r="B442">
        <v>6</v>
      </c>
      <c r="C442">
        <v>82</v>
      </c>
      <c r="D442">
        <v>219</v>
      </c>
      <c r="E442">
        <v>168</v>
      </c>
    </row>
    <row r="443" spans="1:5" x14ac:dyDescent="0.3">
      <c r="A443">
        <v>442</v>
      </c>
      <c r="B443">
        <v>18</v>
      </c>
      <c r="C443">
        <v>86</v>
      </c>
      <c r="D443">
        <v>392</v>
      </c>
      <c r="E443">
        <v>32</v>
      </c>
    </row>
    <row r="444" spans="1:5" x14ac:dyDescent="0.3">
      <c r="A444">
        <v>443</v>
      </c>
      <c r="B444">
        <v>8</v>
      </c>
      <c r="C444">
        <v>43</v>
      </c>
      <c r="D444">
        <v>125</v>
      </c>
      <c r="E444">
        <v>86</v>
      </c>
    </row>
    <row r="445" spans="1:5" x14ac:dyDescent="0.3">
      <c r="A445">
        <v>444</v>
      </c>
      <c r="B445">
        <v>38</v>
      </c>
      <c r="C445">
        <v>65</v>
      </c>
      <c r="D445">
        <v>232</v>
      </c>
      <c r="E445">
        <v>48</v>
      </c>
    </row>
    <row r="446" spans="1:5" x14ac:dyDescent="0.3">
      <c r="A446">
        <v>445</v>
      </c>
      <c r="B446">
        <v>3</v>
      </c>
      <c r="C446">
        <v>40</v>
      </c>
      <c r="D446">
        <v>145</v>
      </c>
      <c r="E446">
        <v>163</v>
      </c>
    </row>
    <row r="447" spans="1:5" x14ac:dyDescent="0.3">
      <c r="A447">
        <v>446</v>
      </c>
      <c r="B447">
        <v>39</v>
      </c>
      <c r="C447">
        <v>82</v>
      </c>
      <c r="D447">
        <v>134</v>
      </c>
      <c r="E447">
        <v>98</v>
      </c>
    </row>
    <row r="448" spans="1:5" x14ac:dyDescent="0.3">
      <c r="A448">
        <v>447</v>
      </c>
      <c r="B448">
        <v>10</v>
      </c>
      <c r="C448">
        <v>89</v>
      </c>
      <c r="D448">
        <v>447</v>
      </c>
      <c r="E448">
        <v>171</v>
      </c>
    </row>
    <row r="449" spans="1:5" x14ac:dyDescent="0.3">
      <c r="A449">
        <v>448</v>
      </c>
      <c r="B449">
        <v>37</v>
      </c>
      <c r="C449">
        <v>57</v>
      </c>
      <c r="D449">
        <v>393</v>
      </c>
      <c r="E449">
        <v>9</v>
      </c>
    </row>
    <row r="450" spans="1:5" x14ac:dyDescent="0.3">
      <c r="A450">
        <v>449</v>
      </c>
      <c r="B450">
        <v>1</v>
      </c>
      <c r="C450">
        <v>29</v>
      </c>
      <c r="D450">
        <v>200</v>
      </c>
      <c r="E450">
        <v>68</v>
      </c>
    </row>
    <row r="451" spans="1:5" x14ac:dyDescent="0.3">
      <c r="A451">
        <v>450</v>
      </c>
      <c r="B451">
        <v>4</v>
      </c>
      <c r="C451">
        <v>75</v>
      </c>
      <c r="D451">
        <v>157</v>
      </c>
      <c r="E451">
        <v>70</v>
      </c>
    </row>
    <row r="452" spans="1:5" x14ac:dyDescent="0.3">
      <c r="A452">
        <v>451</v>
      </c>
      <c r="B452">
        <v>24</v>
      </c>
      <c r="C452">
        <v>95</v>
      </c>
      <c r="D452">
        <v>445</v>
      </c>
      <c r="E452">
        <v>48</v>
      </c>
    </row>
    <row r="453" spans="1:5" x14ac:dyDescent="0.3">
      <c r="A453">
        <v>452</v>
      </c>
      <c r="B453">
        <v>36</v>
      </c>
      <c r="C453">
        <v>8</v>
      </c>
      <c r="D453">
        <v>208</v>
      </c>
      <c r="E453">
        <v>45</v>
      </c>
    </row>
    <row r="454" spans="1:5" x14ac:dyDescent="0.3">
      <c r="A454">
        <v>453</v>
      </c>
      <c r="B454">
        <v>8</v>
      </c>
      <c r="C454">
        <v>82</v>
      </c>
      <c r="D454">
        <v>25</v>
      </c>
      <c r="E454">
        <v>113</v>
      </c>
    </row>
    <row r="455" spans="1:5" x14ac:dyDescent="0.3">
      <c r="A455">
        <v>454</v>
      </c>
      <c r="B455">
        <v>36</v>
      </c>
      <c r="C455">
        <v>15</v>
      </c>
      <c r="D455">
        <v>44</v>
      </c>
      <c r="E455">
        <v>52</v>
      </c>
    </row>
    <row r="456" spans="1:5" x14ac:dyDescent="0.3">
      <c r="A456">
        <v>455</v>
      </c>
      <c r="B456">
        <v>13</v>
      </c>
      <c r="C456">
        <v>94</v>
      </c>
      <c r="D456">
        <v>355</v>
      </c>
      <c r="E456">
        <v>150</v>
      </c>
    </row>
    <row r="457" spans="1:5" x14ac:dyDescent="0.3">
      <c r="A457">
        <v>456</v>
      </c>
      <c r="B457">
        <v>49</v>
      </c>
      <c r="C457">
        <v>41</v>
      </c>
      <c r="D457">
        <v>99</v>
      </c>
      <c r="E457">
        <v>120</v>
      </c>
    </row>
    <row r="458" spans="1:5" x14ac:dyDescent="0.3">
      <c r="A458">
        <v>457</v>
      </c>
      <c r="B458">
        <v>35</v>
      </c>
      <c r="C458">
        <v>47</v>
      </c>
      <c r="D458">
        <v>492</v>
      </c>
      <c r="E458">
        <v>40</v>
      </c>
    </row>
    <row r="459" spans="1:5" x14ac:dyDescent="0.3">
      <c r="A459">
        <v>458</v>
      </c>
      <c r="B459">
        <v>9</v>
      </c>
      <c r="C459">
        <v>98</v>
      </c>
      <c r="D459">
        <v>257</v>
      </c>
      <c r="E459">
        <v>152</v>
      </c>
    </row>
    <row r="460" spans="1:5" x14ac:dyDescent="0.3">
      <c r="A460">
        <v>459</v>
      </c>
      <c r="B460">
        <v>48</v>
      </c>
      <c r="C460">
        <v>60</v>
      </c>
      <c r="D460">
        <v>88</v>
      </c>
      <c r="E460">
        <v>4</v>
      </c>
    </row>
    <row r="461" spans="1:5" x14ac:dyDescent="0.3">
      <c r="A461">
        <v>460</v>
      </c>
      <c r="B461">
        <v>44</v>
      </c>
      <c r="C461">
        <v>38</v>
      </c>
      <c r="D461">
        <v>494</v>
      </c>
      <c r="E461">
        <v>135</v>
      </c>
    </row>
    <row r="462" spans="1:5" x14ac:dyDescent="0.3">
      <c r="A462">
        <v>461</v>
      </c>
      <c r="B462">
        <v>36</v>
      </c>
      <c r="C462">
        <v>87</v>
      </c>
      <c r="D462">
        <v>169</v>
      </c>
      <c r="E462">
        <v>106</v>
      </c>
    </row>
    <row r="463" spans="1:5" x14ac:dyDescent="0.3">
      <c r="A463">
        <v>462</v>
      </c>
      <c r="B463">
        <v>6</v>
      </c>
      <c r="C463">
        <v>63</v>
      </c>
      <c r="D463">
        <v>160</v>
      </c>
      <c r="E463">
        <v>96</v>
      </c>
    </row>
    <row r="464" spans="1:5" x14ac:dyDescent="0.3">
      <c r="A464">
        <v>463</v>
      </c>
      <c r="B464">
        <v>5</v>
      </c>
      <c r="C464">
        <v>14</v>
      </c>
      <c r="D464">
        <v>118</v>
      </c>
      <c r="E464">
        <v>158</v>
      </c>
    </row>
    <row r="465" spans="1:5" x14ac:dyDescent="0.3">
      <c r="A465">
        <v>464</v>
      </c>
      <c r="B465">
        <v>25</v>
      </c>
      <c r="C465">
        <v>52</v>
      </c>
      <c r="D465">
        <v>437</v>
      </c>
      <c r="E465">
        <v>24</v>
      </c>
    </row>
    <row r="466" spans="1:5" x14ac:dyDescent="0.3">
      <c r="A466">
        <v>465</v>
      </c>
      <c r="B466">
        <v>42</v>
      </c>
      <c r="C466">
        <v>38</v>
      </c>
      <c r="D466">
        <v>287</v>
      </c>
      <c r="E466">
        <v>134</v>
      </c>
    </row>
    <row r="467" spans="1:5" x14ac:dyDescent="0.3">
      <c r="A467">
        <v>466</v>
      </c>
      <c r="B467">
        <v>38</v>
      </c>
      <c r="C467">
        <v>4</v>
      </c>
      <c r="D467">
        <v>7</v>
      </c>
      <c r="E467">
        <v>75</v>
      </c>
    </row>
    <row r="468" spans="1:5" x14ac:dyDescent="0.3">
      <c r="A468">
        <v>467</v>
      </c>
      <c r="B468">
        <v>34</v>
      </c>
      <c r="C468">
        <v>6</v>
      </c>
      <c r="D468">
        <v>447</v>
      </c>
      <c r="E468">
        <v>86</v>
      </c>
    </row>
    <row r="469" spans="1:5" x14ac:dyDescent="0.3">
      <c r="A469">
        <v>468</v>
      </c>
      <c r="B469">
        <v>49</v>
      </c>
      <c r="C469">
        <v>73</v>
      </c>
      <c r="D469">
        <v>392</v>
      </c>
      <c r="E469">
        <v>87</v>
      </c>
    </row>
    <row r="470" spans="1:5" x14ac:dyDescent="0.3">
      <c r="A470">
        <v>469</v>
      </c>
      <c r="B470">
        <v>43</v>
      </c>
      <c r="C470">
        <v>59</v>
      </c>
      <c r="D470">
        <v>140</v>
      </c>
      <c r="E470">
        <v>46</v>
      </c>
    </row>
    <row r="471" spans="1:5" x14ac:dyDescent="0.3">
      <c r="A471">
        <v>470</v>
      </c>
      <c r="B471">
        <v>30</v>
      </c>
      <c r="C471">
        <v>31</v>
      </c>
      <c r="D471">
        <v>434</v>
      </c>
      <c r="E471">
        <v>116</v>
      </c>
    </row>
    <row r="472" spans="1:5" x14ac:dyDescent="0.3">
      <c r="A472">
        <v>471</v>
      </c>
      <c r="B472">
        <v>3</v>
      </c>
      <c r="C472">
        <v>98</v>
      </c>
      <c r="D472">
        <v>422</v>
      </c>
      <c r="E472">
        <v>174</v>
      </c>
    </row>
    <row r="473" spans="1:5" x14ac:dyDescent="0.3">
      <c r="A473">
        <v>472</v>
      </c>
      <c r="B473">
        <v>5</v>
      </c>
      <c r="C473">
        <v>45</v>
      </c>
      <c r="D473">
        <v>273</v>
      </c>
      <c r="E473">
        <v>56</v>
      </c>
    </row>
    <row r="474" spans="1:5" x14ac:dyDescent="0.3">
      <c r="A474">
        <v>473</v>
      </c>
      <c r="B474">
        <v>21</v>
      </c>
      <c r="C474">
        <v>74</v>
      </c>
      <c r="D474">
        <v>139</v>
      </c>
      <c r="E474">
        <v>21</v>
      </c>
    </row>
    <row r="475" spans="1:5" x14ac:dyDescent="0.3">
      <c r="A475">
        <v>474</v>
      </c>
      <c r="B475">
        <v>32</v>
      </c>
      <c r="C475">
        <v>96</v>
      </c>
      <c r="D475">
        <v>280</v>
      </c>
      <c r="E475">
        <v>156</v>
      </c>
    </row>
    <row r="476" spans="1:5" x14ac:dyDescent="0.3">
      <c r="A476">
        <v>475</v>
      </c>
      <c r="B476">
        <v>9</v>
      </c>
      <c r="C476">
        <v>53</v>
      </c>
      <c r="D476">
        <v>36</v>
      </c>
      <c r="E476">
        <v>173</v>
      </c>
    </row>
    <row r="477" spans="1:5" x14ac:dyDescent="0.3">
      <c r="A477">
        <v>476</v>
      </c>
      <c r="B477">
        <v>27</v>
      </c>
      <c r="C477">
        <v>13</v>
      </c>
      <c r="D477">
        <v>167</v>
      </c>
      <c r="E477">
        <v>138</v>
      </c>
    </row>
    <row r="478" spans="1:5" x14ac:dyDescent="0.3">
      <c r="A478">
        <v>477</v>
      </c>
      <c r="B478">
        <v>40</v>
      </c>
      <c r="C478">
        <v>39</v>
      </c>
      <c r="D478">
        <v>79</v>
      </c>
      <c r="E478">
        <v>128</v>
      </c>
    </row>
    <row r="479" spans="1:5" x14ac:dyDescent="0.3">
      <c r="A479">
        <v>478</v>
      </c>
      <c r="B479">
        <v>4</v>
      </c>
      <c r="C479">
        <v>38</v>
      </c>
      <c r="D479">
        <v>10</v>
      </c>
      <c r="E479">
        <v>32</v>
      </c>
    </row>
    <row r="480" spans="1:5" x14ac:dyDescent="0.3">
      <c r="A480">
        <v>479</v>
      </c>
      <c r="B480">
        <v>47</v>
      </c>
      <c r="C480">
        <v>35</v>
      </c>
      <c r="D480">
        <v>496</v>
      </c>
      <c r="E480">
        <v>156</v>
      </c>
    </row>
    <row r="481" spans="1:5" x14ac:dyDescent="0.3">
      <c r="A481">
        <v>480</v>
      </c>
      <c r="B481">
        <v>18</v>
      </c>
      <c r="C481">
        <v>80</v>
      </c>
      <c r="D481">
        <v>399</v>
      </c>
      <c r="E481">
        <v>66</v>
      </c>
    </row>
    <row r="482" spans="1:5" x14ac:dyDescent="0.3">
      <c r="A482">
        <v>481</v>
      </c>
      <c r="B482">
        <v>33</v>
      </c>
      <c r="C482">
        <v>68</v>
      </c>
      <c r="D482">
        <v>82</v>
      </c>
      <c r="E482">
        <v>79</v>
      </c>
    </row>
    <row r="483" spans="1:5" x14ac:dyDescent="0.3">
      <c r="A483">
        <v>482</v>
      </c>
      <c r="B483">
        <v>6</v>
      </c>
      <c r="C483">
        <v>60</v>
      </c>
      <c r="D483">
        <v>30</v>
      </c>
      <c r="E483">
        <v>61</v>
      </c>
    </row>
    <row r="484" spans="1:5" x14ac:dyDescent="0.3">
      <c r="A484">
        <v>483</v>
      </c>
      <c r="B484">
        <v>17</v>
      </c>
      <c r="C484">
        <v>5</v>
      </c>
      <c r="D484">
        <v>440</v>
      </c>
      <c r="E484">
        <v>120</v>
      </c>
    </row>
    <row r="485" spans="1:5" x14ac:dyDescent="0.3">
      <c r="A485">
        <v>484</v>
      </c>
      <c r="B485">
        <v>13</v>
      </c>
      <c r="C485">
        <v>4</v>
      </c>
      <c r="D485">
        <v>249</v>
      </c>
      <c r="E485">
        <v>80</v>
      </c>
    </row>
    <row r="486" spans="1:5" x14ac:dyDescent="0.3">
      <c r="A486">
        <v>485</v>
      </c>
      <c r="B486">
        <v>37</v>
      </c>
      <c r="C486">
        <v>35</v>
      </c>
      <c r="D486">
        <v>402</v>
      </c>
      <c r="E486">
        <v>93</v>
      </c>
    </row>
    <row r="487" spans="1:5" x14ac:dyDescent="0.3">
      <c r="A487">
        <v>486</v>
      </c>
      <c r="B487">
        <v>43</v>
      </c>
      <c r="C487">
        <v>8</v>
      </c>
      <c r="D487">
        <v>144</v>
      </c>
      <c r="E487">
        <v>132</v>
      </c>
    </row>
    <row r="488" spans="1:5" x14ac:dyDescent="0.3">
      <c r="A488">
        <v>487</v>
      </c>
      <c r="B488">
        <v>8</v>
      </c>
      <c r="C488">
        <v>12</v>
      </c>
      <c r="D488">
        <v>33</v>
      </c>
      <c r="E488">
        <v>77</v>
      </c>
    </row>
    <row r="489" spans="1:5" x14ac:dyDescent="0.3">
      <c r="A489">
        <v>488</v>
      </c>
      <c r="B489">
        <v>26</v>
      </c>
      <c r="C489">
        <v>48</v>
      </c>
      <c r="D489">
        <v>269</v>
      </c>
      <c r="E489">
        <v>35</v>
      </c>
    </row>
    <row r="490" spans="1:5" x14ac:dyDescent="0.3">
      <c r="A490">
        <v>489</v>
      </c>
      <c r="B490">
        <v>30</v>
      </c>
      <c r="C490">
        <v>50</v>
      </c>
      <c r="D490">
        <v>229</v>
      </c>
      <c r="E490">
        <v>95</v>
      </c>
    </row>
    <row r="491" spans="1:5" x14ac:dyDescent="0.3">
      <c r="A491">
        <v>490</v>
      </c>
      <c r="B491">
        <v>29</v>
      </c>
      <c r="C491">
        <v>88</v>
      </c>
      <c r="D491">
        <v>384</v>
      </c>
      <c r="E491">
        <v>104</v>
      </c>
    </row>
    <row r="492" spans="1:5" x14ac:dyDescent="0.3">
      <c r="A492">
        <v>491</v>
      </c>
      <c r="B492">
        <v>11</v>
      </c>
      <c r="C492">
        <v>85</v>
      </c>
      <c r="D492">
        <v>146</v>
      </c>
      <c r="E492">
        <v>79</v>
      </c>
    </row>
    <row r="493" spans="1:5" x14ac:dyDescent="0.3">
      <c r="A493">
        <v>492</v>
      </c>
      <c r="B493">
        <v>16</v>
      </c>
      <c r="C493">
        <v>89</v>
      </c>
      <c r="D493">
        <v>452</v>
      </c>
      <c r="E493">
        <v>81</v>
      </c>
    </row>
    <row r="494" spans="1:5" x14ac:dyDescent="0.3">
      <c r="A494">
        <v>493</v>
      </c>
      <c r="B494">
        <v>46</v>
      </c>
      <c r="C494">
        <v>52</v>
      </c>
      <c r="D494">
        <v>188</v>
      </c>
      <c r="E494">
        <v>73</v>
      </c>
    </row>
    <row r="495" spans="1:5" x14ac:dyDescent="0.3">
      <c r="A495">
        <v>494</v>
      </c>
      <c r="B495">
        <v>30</v>
      </c>
      <c r="C495">
        <v>71</v>
      </c>
      <c r="D495">
        <v>399</v>
      </c>
      <c r="E495">
        <v>29</v>
      </c>
    </row>
    <row r="496" spans="1:5" x14ac:dyDescent="0.3">
      <c r="A496">
        <v>495</v>
      </c>
      <c r="B496">
        <v>45</v>
      </c>
      <c r="C496">
        <v>22</v>
      </c>
      <c r="D496">
        <v>464</v>
      </c>
      <c r="E496">
        <v>53</v>
      </c>
    </row>
    <row r="497" spans="1:5" x14ac:dyDescent="0.3">
      <c r="A497">
        <v>496</v>
      </c>
      <c r="B497">
        <v>6</v>
      </c>
      <c r="C497">
        <v>56</v>
      </c>
      <c r="D497">
        <v>191</v>
      </c>
      <c r="E497">
        <v>138</v>
      </c>
    </row>
    <row r="498" spans="1:5" x14ac:dyDescent="0.3">
      <c r="A498">
        <v>497</v>
      </c>
      <c r="B498">
        <v>3</v>
      </c>
      <c r="C498">
        <v>58</v>
      </c>
      <c r="D498">
        <v>43</v>
      </c>
      <c r="E498">
        <v>78</v>
      </c>
    </row>
    <row r="499" spans="1:5" x14ac:dyDescent="0.3">
      <c r="A499">
        <v>498</v>
      </c>
      <c r="B499">
        <v>43</v>
      </c>
      <c r="C499">
        <v>12</v>
      </c>
      <c r="D499">
        <v>31</v>
      </c>
      <c r="E499">
        <v>43</v>
      </c>
    </row>
    <row r="500" spans="1:5" x14ac:dyDescent="0.3">
      <c r="A500">
        <v>499</v>
      </c>
      <c r="B500">
        <v>32</v>
      </c>
      <c r="C500">
        <v>21</v>
      </c>
      <c r="D500">
        <v>94</v>
      </c>
      <c r="E500">
        <v>19</v>
      </c>
    </row>
    <row r="501" spans="1:5" x14ac:dyDescent="0.3">
      <c r="A501">
        <v>500</v>
      </c>
      <c r="B501">
        <v>38</v>
      </c>
      <c r="C501">
        <v>42</v>
      </c>
      <c r="D501">
        <v>496</v>
      </c>
      <c r="E501">
        <v>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7445-CE02-4CF2-BD0E-6CA699945A9A}">
  <dimension ref="A1:V501"/>
  <sheetViews>
    <sheetView workbookViewId="0">
      <selection sqref="A1:V501"/>
    </sheetView>
  </sheetViews>
  <sheetFormatPr defaultRowHeight="14.4" x14ac:dyDescent="0.3"/>
  <sheetData>
    <row r="1" spans="1:22" x14ac:dyDescent="0.3">
      <c r="A1" t="s">
        <v>407</v>
      </c>
      <c r="B1" t="s">
        <v>8</v>
      </c>
      <c r="C1" t="s">
        <v>0</v>
      </c>
      <c r="D1" t="s">
        <v>216</v>
      </c>
      <c r="E1" t="s">
        <v>330</v>
      </c>
      <c r="F1" t="s">
        <v>408</v>
      </c>
      <c r="G1" t="s">
        <v>409</v>
      </c>
      <c r="H1" t="s">
        <v>410</v>
      </c>
      <c r="I1" t="s">
        <v>411</v>
      </c>
      <c r="J1" t="s">
        <v>13</v>
      </c>
      <c r="K1" t="s">
        <v>412</v>
      </c>
      <c r="L1" t="s">
        <v>413</v>
      </c>
      <c r="M1" t="s">
        <v>414</v>
      </c>
      <c r="N1" t="s">
        <v>6</v>
      </c>
      <c r="O1" t="s">
        <v>7</v>
      </c>
      <c r="P1" t="s">
        <v>5</v>
      </c>
      <c r="Q1" t="s">
        <v>415</v>
      </c>
      <c r="R1" t="s">
        <v>2</v>
      </c>
      <c r="S1" t="s">
        <v>416</v>
      </c>
      <c r="T1" t="s">
        <v>417</v>
      </c>
      <c r="U1" t="s">
        <v>418</v>
      </c>
      <c r="V1" t="s">
        <v>419</v>
      </c>
    </row>
    <row r="2" spans="1:22" x14ac:dyDescent="0.3">
      <c r="A2">
        <v>1</v>
      </c>
      <c r="B2">
        <v>101</v>
      </c>
      <c r="C2">
        <v>32</v>
      </c>
      <c r="D2">
        <v>95</v>
      </c>
      <c r="E2">
        <v>9</v>
      </c>
      <c r="F2">
        <v>2</v>
      </c>
      <c r="G2">
        <v>54</v>
      </c>
      <c r="H2">
        <v>108</v>
      </c>
      <c r="I2">
        <v>56</v>
      </c>
      <c r="J2">
        <f>[1]Transactions!F2*[1]Transactions!G2</f>
        <v>108</v>
      </c>
      <c r="K2">
        <f>_xlfn.XLOOKUP([1]Transactions!D2,[1]Inventory!$C$2:$C$501,[1]Inventory!$A$2:$A$501)</f>
        <v>75</v>
      </c>
      <c r="L2">
        <f>_xlfn.XLOOKUP(K2,[1]Inventory!$A$2:$A$501,[1]Inventory!$D$2:$D$501)</f>
        <v>363</v>
      </c>
      <c r="M2">
        <f>_xlfn.XLOOKUP(K2,[1]Inventory!$A$2:$A$501,[1]Inventory!$E$2:$E$501)</f>
        <v>57</v>
      </c>
      <c r="N2" t="str">
        <f>_xlfn.XLOOKUP([1]Transactions!C2,[1]Customers!$A$2:$A$201,[1]Customers!$G$2:$G$201)</f>
        <v>Gujarat</v>
      </c>
      <c r="O2" t="str">
        <f>_xlfn.XLOOKUP(C2,[1]Customers!$A$2:$A$201,[1]Customers!$H$2:$H$201)</f>
        <v>West</v>
      </c>
      <c r="P2" t="str">
        <f>_xlfn.XLOOKUP(C2,[1]Customers!$A$2:$A$201,[1]Customers!$F$2:$F$201)</f>
        <v>Ahmedabad</v>
      </c>
      <c r="Q2">
        <f>_xlfn.XLOOKUP(C2,[1]Customers!$A$2:$A$201,[1]Customers!$D$2:$D$201)</f>
        <v>46</v>
      </c>
      <c r="R2" t="str">
        <f>_xlfn.XLOOKUP([1]Transactions!C2,[1]Customers!$A$2:$A$201,[1]Customers!$C$2:$C$201)</f>
        <v>Male</v>
      </c>
      <c r="S2" t="str">
        <f>_xlfn.XLOOKUP(C2,[1]Customers!$A$2:$A$201,[1]Customers!$B$2:$B$201)</f>
        <v>Customer_32</v>
      </c>
      <c r="T2" t="str">
        <f>_xlfn.XLOOKUP(D2,[1]Products!$A$2:$A$101,[1]Products!$C$2:$C$101)</f>
        <v>Snacks</v>
      </c>
      <c r="U2">
        <f>_xlfn.XLOOKUP(D2,[1]Products!$A$2:$A$101,[1]Products!$E$2:$E$101)</f>
        <v>73</v>
      </c>
      <c r="V2">
        <f>[1]Transactions!F2*[1]Transactions!U2</f>
        <v>146</v>
      </c>
    </row>
    <row r="3" spans="1:22" x14ac:dyDescent="0.3">
      <c r="A3">
        <v>2</v>
      </c>
      <c r="B3">
        <v>165</v>
      </c>
      <c r="C3">
        <v>192</v>
      </c>
      <c r="D3">
        <v>90</v>
      </c>
      <c r="E3">
        <v>7</v>
      </c>
      <c r="F3">
        <v>2</v>
      </c>
      <c r="G3">
        <v>106</v>
      </c>
      <c r="H3">
        <v>212</v>
      </c>
      <c r="I3">
        <v>21</v>
      </c>
      <c r="J3">
        <f>[1]Transactions!F3*[1]Transactions!G3</f>
        <v>212</v>
      </c>
      <c r="K3">
        <f>_xlfn.XLOOKUP([1]Transactions!D3,[1]Inventory!$C$2:$C$501,[1]Inventory!$A$2:$A$501)</f>
        <v>17</v>
      </c>
      <c r="L3">
        <f>_xlfn.XLOOKUP(K3,[1]Inventory!$A$2:$A$501,[1]Inventory!$D$2:$D$501)</f>
        <v>293</v>
      </c>
      <c r="M3">
        <f>_xlfn.XLOOKUP(K3,[1]Inventory!$A$2:$A$501,[1]Inventory!$E$2:$E$501)</f>
        <v>177</v>
      </c>
      <c r="N3" t="str">
        <f>_xlfn.XLOOKUP([1]Transactions!C3,[1]Customers!$A$2:$A$201,[1]Customers!$G$2:$G$201)</f>
        <v>Rajasthan</v>
      </c>
      <c r="O3" t="str">
        <f>_xlfn.XLOOKUP(C3,[1]Customers!$A$2:$A$201,[1]Customers!$H$2:$H$201)</f>
        <v>North</v>
      </c>
      <c r="P3" t="str">
        <f>_xlfn.XLOOKUP(C3,[1]Customers!$A$2:$A$201,[1]Customers!$F$2:$F$201)</f>
        <v>Jaipur</v>
      </c>
      <c r="Q3">
        <f>_xlfn.XLOOKUP(C3,[1]Customers!$A$2:$A$201,[1]Customers!$D$2:$D$201)</f>
        <v>31</v>
      </c>
      <c r="R3" t="str">
        <f>_xlfn.XLOOKUP([1]Transactions!C3,[1]Customers!$A$2:$A$201,[1]Customers!$C$2:$C$201)</f>
        <v>Female</v>
      </c>
      <c r="S3" t="str">
        <f>_xlfn.XLOOKUP(C3,[1]Customers!$A$2:$A$201,[1]Customers!$B$2:$B$201)</f>
        <v>Customer_192</v>
      </c>
      <c r="T3" t="str">
        <f>_xlfn.XLOOKUP(D3,[1]Products!$A$2:$A$101,[1]Products!$C$2:$C$101)</f>
        <v>Snacks</v>
      </c>
      <c r="U3">
        <f>_xlfn.XLOOKUP(D3,[1]Products!$A$2:$A$101,[1]Products!$E$2:$E$101)</f>
        <v>255</v>
      </c>
      <c r="V3">
        <f>[1]Transactions!F3*[1]Transactions!U3</f>
        <v>510</v>
      </c>
    </row>
    <row r="4" spans="1:22" x14ac:dyDescent="0.3">
      <c r="A4">
        <v>3</v>
      </c>
      <c r="B4">
        <v>8</v>
      </c>
      <c r="C4">
        <v>168</v>
      </c>
      <c r="D4">
        <v>41</v>
      </c>
      <c r="E4">
        <v>26</v>
      </c>
      <c r="F4">
        <v>1</v>
      </c>
      <c r="G4">
        <v>339</v>
      </c>
      <c r="H4">
        <v>339</v>
      </c>
      <c r="I4">
        <v>34</v>
      </c>
      <c r="J4">
        <f>[1]Transactions!F4*[1]Transactions!G4</f>
        <v>339</v>
      </c>
      <c r="K4">
        <f>_xlfn.XLOOKUP([1]Transactions!D4,[1]Inventory!$C$2:$C$501,[1]Inventory!$A$2:$A$501)</f>
        <v>19</v>
      </c>
      <c r="L4">
        <f>_xlfn.XLOOKUP(K4,[1]Inventory!$A$2:$A$501,[1]Inventory!$D$2:$D$501)</f>
        <v>60</v>
      </c>
      <c r="M4">
        <f>_xlfn.XLOOKUP(K4,[1]Inventory!$A$2:$A$501,[1]Inventory!$E$2:$E$501)</f>
        <v>140</v>
      </c>
      <c r="N4" t="str">
        <f>_xlfn.XLOOKUP([1]Transactions!C4,[1]Customers!$A$2:$A$201,[1]Customers!$G$2:$G$201)</f>
        <v>West Bengal</v>
      </c>
      <c r="O4" t="str">
        <f>_xlfn.XLOOKUP(C4,[1]Customers!$A$2:$A$201,[1]Customers!$H$2:$H$201)</f>
        <v>East</v>
      </c>
      <c r="P4" t="str">
        <f>_xlfn.XLOOKUP(C4,[1]Customers!$A$2:$A$201,[1]Customers!$F$2:$F$201)</f>
        <v>Kolkata</v>
      </c>
      <c r="Q4">
        <f>_xlfn.XLOOKUP(C4,[1]Customers!$A$2:$A$201,[1]Customers!$D$2:$D$201)</f>
        <v>27</v>
      </c>
      <c r="R4" t="str">
        <f>_xlfn.XLOOKUP([1]Transactions!C4,[1]Customers!$A$2:$A$201,[1]Customers!$C$2:$C$201)</f>
        <v>Female</v>
      </c>
      <c r="S4" t="str">
        <f>_xlfn.XLOOKUP(C4,[1]Customers!$A$2:$A$201,[1]Customers!$B$2:$B$201)</f>
        <v>Customer_168</v>
      </c>
      <c r="T4" t="str">
        <f>_xlfn.XLOOKUP(D4,[1]Products!$A$2:$A$101,[1]Products!$C$2:$C$101)</f>
        <v>Snacks</v>
      </c>
      <c r="U4">
        <f>_xlfn.XLOOKUP(D4,[1]Products!$A$2:$A$101,[1]Products!$E$2:$E$101)</f>
        <v>459</v>
      </c>
      <c r="V4">
        <f>[1]Transactions!F4*[1]Transactions!U4</f>
        <v>459</v>
      </c>
    </row>
    <row r="5" spans="1:22" x14ac:dyDescent="0.3">
      <c r="A5">
        <v>4</v>
      </c>
      <c r="B5">
        <v>129</v>
      </c>
      <c r="C5">
        <v>106</v>
      </c>
      <c r="D5">
        <v>41</v>
      </c>
      <c r="E5">
        <v>41</v>
      </c>
      <c r="F5">
        <v>4</v>
      </c>
      <c r="G5">
        <v>381</v>
      </c>
      <c r="H5">
        <v>1524</v>
      </c>
      <c r="I5">
        <v>19</v>
      </c>
      <c r="J5">
        <f>[1]Transactions!F5*[1]Transactions!G5</f>
        <v>1524</v>
      </c>
      <c r="K5">
        <f>_xlfn.XLOOKUP([1]Transactions!D5,[1]Inventory!$C$2:$C$501,[1]Inventory!$A$2:$A$501)</f>
        <v>19</v>
      </c>
      <c r="L5">
        <f>_xlfn.XLOOKUP(K5,[1]Inventory!$A$2:$A$501,[1]Inventory!$D$2:$D$501)</f>
        <v>60</v>
      </c>
      <c r="M5">
        <f>_xlfn.XLOOKUP(K5,[1]Inventory!$A$2:$A$501,[1]Inventory!$E$2:$E$501)</f>
        <v>140</v>
      </c>
      <c r="N5" t="str">
        <f>_xlfn.XLOOKUP([1]Transactions!C5,[1]Customers!$A$2:$A$201,[1]Customers!$G$2:$G$201)</f>
        <v>Rajasthan</v>
      </c>
      <c r="O5" t="str">
        <f>_xlfn.XLOOKUP(C5,[1]Customers!$A$2:$A$201,[1]Customers!$H$2:$H$201)</f>
        <v>North</v>
      </c>
      <c r="P5" t="str">
        <f>_xlfn.XLOOKUP(C5,[1]Customers!$A$2:$A$201,[1]Customers!$F$2:$F$201)</f>
        <v>Jaipur</v>
      </c>
      <c r="Q5">
        <f>_xlfn.XLOOKUP(C5,[1]Customers!$A$2:$A$201,[1]Customers!$D$2:$D$201)</f>
        <v>60</v>
      </c>
      <c r="R5" t="str">
        <f>_xlfn.XLOOKUP([1]Transactions!C5,[1]Customers!$A$2:$A$201,[1]Customers!$C$2:$C$201)</f>
        <v>Male</v>
      </c>
      <c r="S5" t="str">
        <f>_xlfn.XLOOKUP(C5,[1]Customers!$A$2:$A$201,[1]Customers!$B$2:$B$201)</f>
        <v>Customer_106</v>
      </c>
      <c r="T5" t="str">
        <f>_xlfn.XLOOKUP(D5,[1]Products!$A$2:$A$101,[1]Products!$C$2:$C$101)</f>
        <v>Snacks</v>
      </c>
      <c r="U5">
        <f>_xlfn.XLOOKUP(D5,[1]Products!$A$2:$A$101,[1]Products!$E$2:$E$101)</f>
        <v>459</v>
      </c>
      <c r="V5">
        <f>[1]Transactions!F5*[1]Transactions!U5</f>
        <v>1836</v>
      </c>
    </row>
    <row r="6" spans="1:22" x14ac:dyDescent="0.3">
      <c r="A6">
        <v>5</v>
      </c>
      <c r="B6">
        <v>37</v>
      </c>
      <c r="C6">
        <v>85</v>
      </c>
      <c r="D6">
        <v>17</v>
      </c>
      <c r="E6">
        <v>10</v>
      </c>
      <c r="F6">
        <v>4</v>
      </c>
      <c r="G6">
        <v>211</v>
      </c>
      <c r="H6">
        <v>844</v>
      </c>
      <c r="I6">
        <v>47</v>
      </c>
      <c r="J6">
        <f>[1]Transactions!F6*[1]Transactions!G6</f>
        <v>844</v>
      </c>
      <c r="K6">
        <f>_xlfn.XLOOKUP([1]Transactions!D6,[1]Inventory!$C$2:$C$501,[1]Inventory!$A$2:$A$501)</f>
        <v>1</v>
      </c>
      <c r="L6">
        <f>_xlfn.XLOOKUP(K6,[1]Inventory!$A$2:$A$501,[1]Inventory!$D$2:$D$501)</f>
        <v>179</v>
      </c>
      <c r="M6">
        <f>_xlfn.XLOOKUP(K6,[1]Inventory!$A$2:$A$501,[1]Inventory!$E$2:$E$501)</f>
        <v>124</v>
      </c>
      <c r="N6" t="str">
        <f>_xlfn.XLOOKUP([1]Transactions!C6,[1]Customers!$A$2:$A$201,[1]Customers!$G$2:$G$201)</f>
        <v>UP</v>
      </c>
      <c r="O6" t="str">
        <f>_xlfn.XLOOKUP(C6,[1]Customers!$A$2:$A$201,[1]Customers!$H$2:$H$201)</f>
        <v>North</v>
      </c>
      <c r="P6" t="str">
        <f>_xlfn.XLOOKUP(C6,[1]Customers!$A$2:$A$201,[1]Customers!$F$2:$F$201)</f>
        <v>Lucknow</v>
      </c>
      <c r="Q6">
        <f>_xlfn.XLOOKUP(C6,[1]Customers!$A$2:$A$201,[1]Customers!$D$2:$D$201)</f>
        <v>19</v>
      </c>
      <c r="R6" t="str">
        <f>_xlfn.XLOOKUP([1]Transactions!C6,[1]Customers!$A$2:$A$201,[1]Customers!$C$2:$C$201)</f>
        <v>Male</v>
      </c>
      <c r="S6" t="str">
        <f>_xlfn.XLOOKUP(C6,[1]Customers!$A$2:$A$201,[1]Customers!$B$2:$B$201)</f>
        <v>Customer_85</v>
      </c>
      <c r="T6" t="str">
        <f>_xlfn.XLOOKUP(D6,[1]Products!$A$2:$A$101,[1]Products!$C$2:$C$101)</f>
        <v>Snacks</v>
      </c>
      <c r="U6">
        <f>_xlfn.XLOOKUP(D6,[1]Products!$A$2:$A$101,[1]Products!$E$2:$E$101)</f>
        <v>55</v>
      </c>
      <c r="V6">
        <f>[1]Transactions!F6*[1]Transactions!U6</f>
        <v>220</v>
      </c>
    </row>
    <row r="7" spans="1:22" x14ac:dyDescent="0.3">
      <c r="A7">
        <v>6</v>
      </c>
      <c r="B7">
        <v>143</v>
      </c>
      <c r="C7">
        <v>94</v>
      </c>
      <c r="D7">
        <v>78</v>
      </c>
      <c r="E7">
        <v>38</v>
      </c>
      <c r="F7">
        <v>4</v>
      </c>
      <c r="G7">
        <v>196</v>
      </c>
      <c r="H7">
        <v>784</v>
      </c>
      <c r="I7">
        <v>43</v>
      </c>
      <c r="J7">
        <f>[1]Transactions!F7*[1]Transactions!G7</f>
        <v>784</v>
      </c>
      <c r="K7">
        <f>_xlfn.XLOOKUP([1]Transactions!D7,[1]Inventory!$C$2:$C$501,[1]Inventory!$A$2:$A$501)</f>
        <v>41</v>
      </c>
      <c r="L7">
        <f>_xlfn.XLOOKUP(K7,[1]Inventory!$A$2:$A$501,[1]Inventory!$D$2:$D$501)</f>
        <v>262</v>
      </c>
      <c r="M7">
        <f>_xlfn.XLOOKUP(K7,[1]Inventory!$A$2:$A$501,[1]Inventory!$E$2:$E$501)</f>
        <v>25</v>
      </c>
      <c r="N7" t="str">
        <f>_xlfn.XLOOKUP([1]Transactions!C7,[1]Customers!$A$2:$A$201,[1]Customers!$G$2:$G$201)</f>
        <v>UP</v>
      </c>
      <c r="O7" t="str">
        <f>_xlfn.XLOOKUP(C7,[1]Customers!$A$2:$A$201,[1]Customers!$H$2:$H$201)</f>
        <v>North</v>
      </c>
      <c r="P7" t="str">
        <f>_xlfn.XLOOKUP(C7,[1]Customers!$A$2:$A$201,[1]Customers!$F$2:$F$201)</f>
        <v>Lucknow</v>
      </c>
      <c r="Q7">
        <f>_xlfn.XLOOKUP(C7,[1]Customers!$A$2:$A$201,[1]Customers!$D$2:$D$201)</f>
        <v>45</v>
      </c>
      <c r="R7" t="str">
        <f>_xlfn.XLOOKUP([1]Transactions!C7,[1]Customers!$A$2:$A$201,[1]Customers!$C$2:$C$201)</f>
        <v>Female</v>
      </c>
      <c r="S7" t="str">
        <f>_xlfn.XLOOKUP(C7,[1]Customers!$A$2:$A$201,[1]Customers!$B$2:$B$201)</f>
        <v>Customer_94</v>
      </c>
      <c r="T7" t="str">
        <f>_xlfn.XLOOKUP(D7,[1]Products!$A$2:$A$101,[1]Products!$C$2:$C$101)</f>
        <v>Grocery</v>
      </c>
      <c r="U7">
        <f>_xlfn.XLOOKUP(D7,[1]Products!$A$2:$A$101,[1]Products!$E$2:$E$101)</f>
        <v>88</v>
      </c>
      <c r="V7">
        <f>[1]Transactions!F7*[1]Transactions!U7</f>
        <v>352</v>
      </c>
    </row>
    <row r="8" spans="1:22" x14ac:dyDescent="0.3">
      <c r="A8">
        <v>7</v>
      </c>
      <c r="B8">
        <v>8</v>
      </c>
      <c r="C8">
        <v>98</v>
      </c>
      <c r="D8">
        <v>36</v>
      </c>
      <c r="E8">
        <v>35</v>
      </c>
      <c r="F8">
        <v>5</v>
      </c>
      <c r="G8">
        <v>98</v>
      </c>
      <c r="H8">
        <v>490</v>
      </c>
      <c r="I8">
        <v>12</v>
      </c>
      <c r="J8">
        <f>[1]Transactions!F8*[1]Transactions!G8</f>
        <v>490</v>
      </c>
      <c r="K8">
        <f>_xlfn.XLOOKUP([1]Transactions!D8,[1]Inventory!$C$2:$C$501,[1]Inventory!$A$2:$A$501)</f>
        <v>52</v>
      </c>
      <c r="L8">
        <f>_xlfn.XLOOKUP(K8,[1]Inventory!$A$2:$A$501,[1]Inventory!$D$2:$D$501)</f>
        <v>56</v>
      </c>
      <c r="M8">
        <f>_xlfn.XLOOKUP(K8,[1]Inventory!$A$2:$A$501,[1]Inventory!$E$2:$E$501)</f>
        <v>148</v>
      </c>
      <c r="N8" t="str">
        <f>_xlfn.XLOOKUP([1]Transactions!C8,[1]Customers!$A$2:$A$201,[1]Customers!$G$2:$G$201)</f>
        <v>Gujarat</v>
      </c>
      <c r="O8" t="str">
        <f>_xlfn.XLOOKUP(C8,[1]Customers!$A$2:$A$201,[1]Customers!$H$2:$H$201)</f>
        <v>West</v>
      </c>
      <c r="P8" t="str">
        <f>_xlfn.XLOOKUP(C8,[1]Customers!$A$2:$A$201,[1]Customers!$F$2:$F$201)</f>
        <v>Ahmedabad</v>
      </c>
      <c r="Q8">
        <f>_xlfn.XLOOKUP(C8,[1]Customers!$A$2:$A$201,[1]Customers!$D$2:$D$201)</f>
        <v>33</v>
      </c>
      <c r="R8" t="str">
        <f>_xlfn.XLOOKUP([1]Transactions!C8,[1]Customers!$A$2:$A$201,[1]Customers!$C$2:$C$201)</f>
        <v>Male</v>
      </c>
      <c r="S8" t="str">
        <f>_xlfn.XLOOKUP(C8,[1]Customers!$A$2:$A$201,[1]Customers!$B$2:$B$201)</f>
        <v>Customer_98</v>
      </c>
      <c r="T8" t="str">
        <f>_xlfn.XLOOKUP(D8,[1]Products!$A$2:$A$101,[1]Products!$C$2:$C$101)</f>
        <v>Grocery</v>
      </c>
      <c r="U8">
        <f>_xlfn.XLOOKUP(D8,[1]Products!$A$2:$A$101,[1]Products!$E$2:$E$101)</f>
        <v>467</v>
      </c>
      <c r="V8">
        <f>[1]Transactions!F8*[1]Transactions!U8</f>
        <v>2335</v>
      </c>
    </row>
    <row r="9" spans="1:22" x14ac:dyDescent="0.3">
      <c r="A9">
        <v>8</v>
      </c>
      <c r="B9">
        <v>180</v>
      </c>
      <c r="C9">
        <v>5</v>
      </c>
      <c r="D9">
        <v>42</v>
      </c>
      <c r="E9">
        <v>18</v>
      </c>
      <c r="F9">
        <v>1</v>
      </c>
      <c r="G9">
        <v>479</v>
      </c>
      <c r="H9">
        <v>479</v>
      </c>
      <c r="I9">
        <v>20</v>
      </c>
      <c r="J9">
        <f>[1]Transactions!F9*[1]Transactions!G9</f>
        <v>479</v>
      </c>
      <c r="K9">
        <f>_xlfn.XLOOKUP([1]Transactions!D9,[1]Inventory!$C$2:$C$501,[1]Inventory!$A$2:$A$501)</f>
        <v>108</v>
      </c>
      <c r="L9">
        <f>_xlfn.XLOOKUP(K9,[1]Inventory!$A$2:$A$501,[1]Inventory!$D$2:$D$501)</f>
        <v>212</v>
      </c>
      <c r="M9">
        <f>_xlfn.XLOOKUP(K9,[1]Inventory!$A$2:$A$501,[1]Inventory!$E$2:$E$501)</f>
        <v>113</v>
      </c>
      <c r="N9" t="str">
        <f>_xlfn.XLOOKUP([1]Transactions!C9,[1]Customers!$A$2:$A$201,[1]Customers!$G$2:$G$201)</f>
        <v>Tamil Nadu</v>
      </c>
      <c r="O9" t="str">
        <f>_xlfn.XLOOKUP(C9,[1]Customers!$A$2:$A$201,[1]Customers!$H$2:$H$201)</f>
        <v>South</v>
      </c>
      <c r="P9" t="str">
        <f>_xlfn.XLOOKUP(C9,[1]Customers!$A$2:$A$201,[1]Customers!$F$2:$F$201)</f>
        <v>Chennai</v>
      </c>
      <c r="Q9">
        <f>_xlfn.XLOOKUP(C9,[1]Customers!$A$2:$A$201,[1]Customers!$D$2:$D$201)</f>
        <v>18</v>
      </c>
      <c r="R9" t="str">
        <f>_xlfn.XLOOKUP([1]Transactions!C9,[1]Customers!$A$2:$A$201,[1]Customers!$C$2:$C$201)</f>
        <v>Female</v>
      </c>
      <c r="S9" t="str">
        <f>_xlfn.XLOOKUP(C9,[1]Customers!$A$2:$A$201,[1]Customers!$B$2:$B$201)</f>
        <v>Customer_5</v>
      </c>
      <c r="T9" t="str">
        <f>_xlfn.XLOOKUP(D9,[1]Products!$A$2:$A$101,[1]Products!$C$2:$C$101)</f>
        <v>Snacks</v>
      </c>
      <c r="U9">
        <f>_xlfn.XLOOKUP(D9,[1]Products!$A$2:$A$101,[1]Products!$E$2:$E$101)</f>
        <v>77</v>
      </c>
      <c r="V9">
        <f>[1]Transactions!F9*[1]Transactions!U9</f>
        <v>77</v>
      </c>
    </row>
    <row r="10" spans="1:22" x14ac:dyDescent="0.3">
      <c r="A10">
        <v>9</v>
      </c>
      <c r="B10">
        <v>30</v>
      </c>
      <c r="C10">
        <v>124</v>
      </c>
      <c r="D10">
        <v>92</v>
      </c>
      <c r="E10">
        <v>3</v>
      </c>
      <c r="F10">
        <v>3</v>
      </c>
      <c r="G10">
        <v>377</v>
      </c>
      <c r="H10">
        <v>1131</v>
      </c>
      <c r="I10">
        <v>10</v>
      </c>
      <c r="J10">
        <f>[1]Transactions!F10*[1]Transactions!G10</f>
        <v>1131</v>
      </c>
      <c r="K10">
        <f>_xlfn.XLOOKUP([1]Transactions!D10,[1]Inventory!$C$2:$C$501,[1]Inventory!$A$2:$A$501)</f>
        <v>160</v>
      </c>
      <c r="L10">
        <f>_xlfn.XLOOKUP(K10,[1]Inventory!$A$2:$A$501,[1]Inventory!$D$2:$D$501)</f>
        <v>357</v>
      </c>
      <c r="M10">
        <f>_xlfn.XLOOKUP(K10,[1]Inventory!$A$2:$A$501,[1]Inventory!$E$2:$E$501)</f>
        <v>130</v>
      </c>
      <c r="N10" t="str">
        <f>_xlfn.XLOOKUP([1]Transactions!C10,[1]Customers!$A$2:$A$201,[1]Customers!$G$2:$G$201)</f>
        <v>Maharashtra</v>
      </c>
      <c r="O10" t="str">
        <f>_xlfn.XLOOKUP(C10,[1]Customers!$A$2:$A$201,[1]Customers!$H$2:$H$201)</f>
        <v>West</v>
      </c>
      <c r="P10" t="str">
        <f>_xlfn.XLOOKUP(C10,[1]Customers!$A$2:$A$201,[1]Customers!$F$2:$F$201)</f>
        <v>Pune</v>
      </c>
      <c r="Q10">
        <f>_xlfn.XLOOKUP(C10,[1]Customers!$A$2:$A$201,[1]Customers!$D$2:$D$201)</f>
        <v>45</v>
      </c>
      <c r="R10" t="str">
        <f>_xlfn.XLOOKUP([1]Transactions!C10,[1]Customers!$A$2:$A$201,[1]Customers!$C$2:$C$201)</f>
        <v>Female</v>
      </c>
      <c r="S10" t="str">
        <f>_xlfn.XLOOKUP(C10,[1]Customers!$A$2:$A$201,[1]Customers!$B$2:$B$201)</f>
        <v>Customer_124</v>
      </c>
      <c r="T10" t="str">
        <f>_xlfn.XLOOKUP(D10,[1]Products!$A$2:$A$101,[1]Products!$C$2:$C$101)</f>
        <v>Snacks</v>
      </c>
      <c r="U10">
        <f>_xlfn.XLOOKUP(D10,[1]Products!$A$2:$A$101,[1]Products!$E$2:$E$101)</f>
        <v>55</v>
      </c>
      <c r="V10">
        <f>[1]Transactions!F10*[1]Transactions!U10</f>
        <v>165</v>
      </c>
    </row>
    <row r="11" spans="1:22" x14ac:dyDescent="0.3">
      <c r="A11">
        <v>10</v>
      </c>
      <c r="B11">
        <v>126</v>
      </c>
      <c r="C11">
        <v>47</v>
      </c>
      <c r="D11">
        <v>44</v>
      </c>
      <c r="E11">
        <v>16</v>
      </c>
      <c r="F11">
        <v>3</v>
      </c>
      <c r="G11">
        <v>249</v>
      </c>
      <c r="H11">
        <v>747</v>
      </c>
      <c r="I11">
        <v>44</v>
      </c>
      <c r="J11">
        <f>[1]Transactions!F11*[1]Transactions!G11</f>
        <v>747</v>
      </c>
      <c r="K11">
        <f>_xlfn.XLOOKUP([1]Transactions!D11,[1]Inventory!$C$2:$C$501,[1]Inventory!$A$2:$A$501)</f>
        <v>72</v>
      </c>
      <c r="L11">
        <f>_xlfn.XLOOKUP(K11,[1]Inventory!$A$2:$A$501,[1]Inventory!$D$2:$D$501)</f>
        <v>462</v>
      </c>
      <c r="M11">
        <f>_xlfn.XLOOKUP(K11,[1]Inventory!$A$2:$A$501,[1]Inventory!$E$2:$E$501)</f>
        <v>9</v>
      </c>
      <c r="N11" t="str">
        <f>_xlfn.XLOOKUP([1]Transactions!C11,[1]Customers!$A$2:$A$201,[1]Customers!$G$2:$G$201)</f>
        <v>West Bengal</v>
      </c>
      <c r="O11" t="str">
        <f>_xlfn.XLOOKUP(C11,[1]Customers!$A$2:$A$201,[1]Customers!$H$2:$H$201)</f>
        <v>East</v>
      </c>
      <c r="P11" t="str">
        <f>_xlfn.XLOOKUP(C11,[1]Customers!$A$2:$A$201,[1]Customers!$F$2:$F$201)</f>
        <v>Kolkata</v>
      </c>
      <c r="Q11">
        <f>_xlfn.XLOOKUP(C11,[1]Customers!$A$2:$A$201,[1]Customers!$D$2:$D$201)</f>
        <v>33</v>
      </c>
      <c r="R11" t="str">
        <f>_xlfn.XLOOKUP([1]Transactions!C11,[1]Customers!$A$2:$A$201,[1]Customers!$C$2:$C$201)</f>
        <v>Male</v>
      </c>
      <c r="S11" t="str">
        <f>_xlfn.XLOOKUP(C11,[1]Customers!$A$2:$A$201,[1]Customers!$B$2:$B$201)</f>
        <v>Customer_47</v>
      </c>
      <c r="T11" t="str">
        <f>_xlfn.XLOOKUP(D11,[1]Products!$A$2:$A$101,[1]Products!$C$2:$C$101)</f>
        <v>Dairy</v>
      </c>
      <c r="U11">
        <f>_xlfn.XLOOKUP(D11,[1]Products!$A$2:$A$101,[1]Products!$E$2:$E$101)</f>
        <v>181</v>
      </c>
      <c r="V11">
        <f>[1]Transactions!F11*[1]Transactions!U11</f>
        <v>543</v>
      </c>
    </row>
    <row r="12" spans="1:22" x14ac:dyDescent="0.3">
      <c r="A12">
        <v>11</v>
      </c>
      <c r="B12">
        <v>135</v>
      </c>
      <c r="C12">
        <v>84</v>
      </c>
      <c r="D12">
        <v>43</v>
      </c>
      <c r="E12">
        <v>11</v>
      </c>
      <c r="F12">
        <v>4</v>
      </c>
      <c r="G12">
        <v>24</v>
      </c>
      <c r="H12">
        <v>96</v>
      </c>
      <c r="I12">
        <v>42</v>
      </c>
      <c r="J12">
        <f>[1]Transactions!F12*[1]Transactions!G12</f>
        <v>96</v>
      </c>
      <c r="K12">
        <f>_xlfn.XLOOKUP([1]Transactions!D12,[1]Inventory!$C$2:$C$501,[1]Inventory!$A$2:$A$501)</f>
        <v>34</v>
      </c>
      <c r="L12">
        <f>_xlfn.XLOOKUP(K12,[1]Inventory!$A$2:$A$501,[1]Inventory!$D$2:$D$501)</f>
        <v>211</v>
      </c>
      <c r="M12">
        <f>_xlfn.XLOOKUP(K12,[1]Inventory!$A$2:$A$501,[1]Inventory!$E$2:$E$501)</f>
        <v>50</v>
      </c>
      <c r="N12" t="str">
        <f>_xlfn.XLOOKUP([1]Transactions!C12,[1]Customers!$A$2:$A$201,[1]Customers!$G$2:$G$201)</f>
        <v>Maharashtra</v>
      </c>
      <c r="O12" t="str">
        <f>_xlfn.XLOOKUP(C12,[1]Customers!$A$2:$A$201,[1]Customers!$H$2:$H$201)</f>
        <v>West</v>
      </c>
      <c r="P12" t="str">
        <f>_xlfn.XLOOKUP(C12,[1]Customers!$A$2:$A$201,[1]Customers!$F$2:$F$201)</f>
        <v>Pune</v>
      </c>
      <c r="Q12">
        <f>_xlfn.XLOOKUP(C12,[1]Customers!$A$2:$A$201,[1]Customers!$D$2:$D$201)</f>
        <v>33</v>
      </c>
      <c r="R12" t="str">
        <f>_xlfn.XLOOKUP([1]Transactions!C12,[1]Customers!$A$2:$A$201,[1]Customers!$C$2:$C$201)</f>
        <v>Female</v>
      </c>
      <c r="S12" t="str">
        <f>_xlfn.XLOOKUP(C12,[1]Customers!$A$2:$A$201,[1]Customers!$B$2:$B$201)</f>
        <v>Customer_84</v>
      </c>
      <c r="T12" t="str">
        <f>_xlfn.XLOOKUP(D12,[1]Products!$A$2:$A$101,[1]Products!$C$2:$C$101)</f>
        <v>Grocery</v>
      </c>
      <c r="U12">
        <f>_xlfn.XLOOKUP(D12,[1]Products!$A$2:$A$101,[1]Products!$E$2:$E$101)</f>
        <v>293</v>
      </c>
      <c r="V12">
        <f>[1]Transactions!F12*[1]Transactions!U12</f>
        <v>1172</v>
      </c>
    </row>
    <row r="13" spans="1:22" x14ac:dyDescent="0.3">
      <c r="A13">
        <v>12</v>
      </c>
      <c r="B13">
        <v>173</v>
      </c>
      <c r="C13">
        <v>158</v>
      </c>
      <c r="D13">
        <v>70</v>
      </c>
      <c r="E13">
        <v>2</v>
      </c>
      <c r="F13">
        <v>2</v>
      </c>
      <c r="G13">
        <v>470</v>
      </c>
      <c r="H13">
        <v>940</v>
      </c>
      <c r="I13">
        <v>45</v>
      </c>
      <c r="J13">
        <f>[1]Transactions!F13*[1]Transactions!G13</f>
        <v>940</v>
      </c>
      <c r="K13">
        <f>_xlfn.XLOOKUP([1]Transactions!D13,[1]Inventory!$C$2:$C$501,[1]Inventory!$A$2:$A$501)</f>
        <v>33</v>
      </c>
      <c r="L13">
        <f>_xlfn.XLOOKUP(K13,[1]Inventory!$A$2:$A$501,[1]Inventory!$D$2:$D$501)</f>
        <v>115</v>
      </c>
      <c r="M13">
        <f>_xlfn.XLOOKUP(K13,[1]Inventory!$A$2:$A$501,[1]Inventory!$E$2:$E$501)</f>
        <v>86</v>
      </c>
      <c r="N13" t="str">
        <f>_xlfn.XLOOKUP([1]Transactions!C13,[1]Customers!$A$2:$A$201,[1]Customers!$G$2:$G$201)</f>
        <v>Telangana</v>
      </c>
      <c r="O13" t="str">
        <f>_xlfn.XLOOKUP(C13,[1]Customers!$A$2:$A$201,[1]Customers!$H$2:$H$201)</f>
        <v>South</v>
      </c>
      <c r="P13" t="str">
        <f>_xlfn.XLOOKUP(C13,[1]Customers!$A$2:$A$201,[1]Customers!$F$2:$F$201)</f>
        <v>Hyderabad</v>
      </c>
      <c r="Q13">
        <f>_xlfn.XLOOKUP(C13,[1]Customers!$A$2:$A$201,[1]Customers!$D$2:$D$201)</f>
        <v>30</v>
      </c>
      <c r="R13" t="str">
        <f>_xlfn.XLOOKUP([1]Transactions!C13,[1]Customers!$A$2:$A$201,[1]Customers!$C$2:$C$201)</f>
        <v>Male</v>
      </c>
      <c r="S13" t="str">
        <f>_xlfn.XLOOKUP(C13,[1]Customers!$A$2:$A$201,[1]Customers!$B$2:$B$201)</f>
        <v>Customer_158</v>
      </c>
      <c r="T13" t="str">
        <f>_xlfn.XLOOKUP(D13,[1]Products!$A$2:$A$101,[1]Products!$C$2:$C$101)</f>
        <v>Personal Care</v>
      </c>
      <c r="U13">
        <f>_xlfn.XLOOKUP(D13,[1]Products!$A$2:$A$101,[1]Products!$E$2:$E$101)</f>
        <v>308</v>
      </c>
      <c r="V13">
        <f>[1]Transactions!F13*[1]Transactions!U13</f>
        <v>616</v>
      </c>
    </row>
    <row r="14" spans="1:22" x14ac:dyDescent="0.3">
      <c r="A14">
        <v>13</v>
      </c>
      <c r="B14">
        <v>25</v>
      </c>
      <c r="C14">
        <v>11</v>
      </c>
      <c r="D14">
        <v>8</v>
      </c>
      <c r="E14">
        <v>4</v>
      </c>
      <c r="F14">
        <v>5</v>
      </c>
      <c r="G14">
        <v>134</v>
      </c>
      <c r="H14">
        <v>670</v>
      </c>
      <c r="I14">
        <v>39</v>
      </c>
      <c r="J14">
        <f>[1]Transactions!F14*[1]Transactions!G14</f>
        <v>670</v>
      </c>
      <c r="K14">
        <f>_xlfn.XLOOKUP([1]Transactions!D14,[1]Inventory!$C$2:$C$501,[1]Inventory!$A$2:$A$501)</f>
        <v>67</v>
      </c>
      <c r="L14">
        <f>_xlfn.XLOOKUP(K14,[1]Inventory!$A$2:$A$501,[1]Inventory!$D$2:$D$501)</f>
        <v>378</v>
      </c>
      <c r="M14">
        <f>_xlfn.XLOOKUP(K14,[1]Inventory!$A$2:$A$501,[1]Inventory!$E$2:$E$501)</f>
        <v>151</v>
      </c>
      <c r="N14" t="str">
        <f>_xlfn.XLOOKUP([1]Transactions!C14,[1]Customers!$A$2:$A$201,[1]Customers!$G$2:$G$201)</f>
        <v>Rajasthan</v>
      </c>
      <c r="O14" t="str">
        <f>_xlfn.XLOOKUP(C14,[1]Customers!$A$2:$A$201,[1]Customers!$H$2:$H$201)</f>
        <v>North</v>
      </c>
      <c r="P14" t="str">
        <f>_xlfn.XLOOKUP(C14,[1]Customers!$A$2:$A$201,[1]Customers!$F$2:$F$201)</f>
        <v>Jaipur</v>
      </c>
      <c r="Q14">
        <f>_xlfn.XLOOKUP(C14,[1]Customers!$A$2:$A$201,[1]Customers!$D$2:$D$201)</f>
        <v>46</v>
      </c>
      <c r="R14" t="str">
        <f>_xlfn.XLOOKUP([1]Transactions!C14,[1]Customers!$A$2:$A$201,[1]Customers!$C$2:$C$201)</f>
        <v>Female</v>
      </c>
      <c r="S14" t="str">
        <f>_xlfn.XLOOKUP(C14,[1]Customers!$A$2:$A$201,[1]Customers!$B$2:$B$201)</f>
        <v>Customer_11</v>
      </c>
      <c r="T14" t="str">
        <f>_xlfn.XLOOKUP(D14,[1]Products!$A$2:$A$101,[1]Products!$C$2:$C$101)</f>
        <v>Dairy</v>
      </c>
      <c r="U14">
        <f>_xlfn.XLOOKUP(D14,[1]Products!$A$2:$A$101,[1]Products!$E$2:$E$101)</f>
        <v>293</v>
      </c>
      <c r="V14">
        <f>[1]Transactions!F14*[1]Transactions!U14</f>
        <v>1465</v>
      </c>
    </row>
    <row r="15" spans="1:22" x14ac:dyDescent="0.3">
      <c r="A15">
        <v>14</v>
      </c>
      <c r="B15">
        <v>60</v>
      </c>
      <c r="C15">
        <v>88</v>
      </c>
      <c r="D15">
        <v>61</v>
      </c>
      <c r="E15">
        <v>18</v>
      </c>
      <c r="F15">
        <v>5</v>
      </c>
      <c r="G15">
        <v>378</v>
      </c>
      <c r="H15">
        <v>1890</v>
      </c>
      <c r="I15">
        <v>50</v>
      </c>
      <c r="J15">
        <f>[1]Transactions!F15*[1]Transactions!G15</f>
        <v>1890</v>
      </c>
      <c r="K15">
        <f>_xlfn.XLOOKUP([1]Transactions!D15,[1]Inventory!$C$2:$C$501,[1]Inventory!$A$2:$A$501)</f>
        <v>92</v>
      </c>
      <c r="L15">
        <f>_xlfn.XLOOKUP(K15,[1]Inventory!$A$2:$A$501,[1]Inventory!$D$2:$D$501)</f>
        <v>48</v>
      </c>
      <c r="M15">
        <f>_xlfn.XLOOKUP(K15,[1]Inventory!$A$2:$A$501,[1]Inventory!$E$2:$E$501)</f>
        <v>23</v>
      </c>
      <c r="N15" t="str">
        <f>_xlfn.XLOOKUP([1]Transactions!C15,[1]Customers!$A$2:$A$201,[1]Customers!$G$2:$G$201)</f>
        <v>West Bengal</v>
      </c>
      <c r="O15" t="str">
        <f>_xlfn.XLOOKUP(C15,[1]Customers!$A$2:$A$201,[1]Customers!$H$2:$H$201)</f>
        <v>East</v>
      </c>
      <c r="P15" t="str">
        <f>_xlfn.XLOOKUP(C15,[1]Customers!$A$2:$A$201,[1]Customers!$F$2:$F$201)</f>
        <v>Kolkata</v>
      </c>
      <c r="Q15">
        <f>_xlfn.XLOOKUP(C15,[1]Customers!$A$2:$A$201,[1]Customers!$D$2:$D$201)</f>
        <v>36</v>
      </c>
      <c r="R15" t="str">
        <f>_xlfn.XLOOKUP([1]Transactions!C15,[1]Customers!$A$2:$A$201,[1]Customers!$C$2:$C$201)</f>
        <v>Female</v>
      </c>
      <c r="S15" t="str">
        <f>_xlfn.XLOOKUP(C15,[1]Customers!$A$2:$A$201,[1]Customers!$B$2:$B$201)</f>
        <v>Customer_88</v>
      </c>
      <c r="T15" t="str">
        <f>_xlfn.XLOOKUP(D15,[1]Products!$A$2:$A$101,[1]Products!$C$2:$C$101)</f>
        <v>Beverages</v>
      </c>
      <c r="U15">
        <f>_xlfn.XLOOKUP(D15,[1]Products!$A$2:$A$101,[1]Products!$E$2:$E$101)</f>
        <v>360</v>
      </c>
      <c r="V15">
        <f>[1]Transactions!F15*[1]Transactions!U15</f>
        <v>1800</v>
      </c>
    </row>
    <row r="16" spans="1:22" x14ac:dyDescent="0.3">
      <c r="A16">
        <v>15</v>
      </c>
      <c r="B16">
        <v>127</v>
      </c>
      <c r="C16">
        <v>170</v>
      </c>
      <c r="D16">
        <v>26</v>
      </c>
      <c r="E16">
        <v>19</v>
      </c>
      <c r="F16">
        <v>4</v>
      </c>
      <c r="G16">
        <v>330</v>
      </c>
      <c r="H16">
        <v>1320</v>
      </c>
      <c r="I16">
        <v>59</v>
      </c>
      <c r="J16">
        <f>[1]Transactions!F16*[1]Transactions!G16</f>
        <v>1320</v>
      </c>
      <c r="K16">
        <f>_xlfn.XLOOKUP([1]Transactions!D16,[1]Inventory!$C$2:$C$501,[1]Inventory!$A$2:$A$501)</f>
        <v>11</v>
      </c>
      <c r="L16">
        <f>_xlfn.XLOOKUP(K16,[1]Inventory!$A$2:$A$501,[1]Inventory!$D$2:$D$501)</f>
        <v>235</v>
      </c>
      <c r="M16">
        <f>_xlfn.XLOOKUP(K16,[1]Inventory!$A$2:$A$501,[1]Inventory!$E$2:$E$501)</f>
        <v>78</v>
      </c>
      <c r="N16" t="str">
        <f>_xlfn.XLOOKUP([1]Transactions!C16,[1]Customers!$A$2:$A$201,[1]Customers!$G$2:$G$201)</f>
        <v>Delhi</v>
      </c>
      <c r="O16" t="str">
        <f>_xlfn.XLOOKUP(C16,[1]Customers!$A$2:$A$201,[1]Customers!$H$2:$H$201)</f>
        <v>North</v>
      </c>
      <c r="P16" t="str">
        <f>_xlfn.XLOOKUP(C16,[1]Customers!$A$2:$A$201,[1]Customers!$F$2:$F$201)</f>
        <v>Delhi</v>
      </c>
      <c r="Q16">
        <f>_xlfn.XLOOKUP(C16,[1]Customers!$A$2:$A$201,[1]Customers!$D$2:$D$201)</f>
        <v>21</v>
      </c>
      <c r="R16" t="str">
        <f>_xlfn.XLOOKUP([1]Transactions!C16,[1]Customers!$A$2:$A$201,[1]Customers!$C$2:$C$201)</f>
        <v>Female</v>
      </c>
      <c r="S16" t="str">
        <f>_xlfn.XLOOKUP(C16,[1]Customers!$A$2:$A$201,[1]Customers!$B$2:$B$201)</f>
        <v>Customer_170</v>
      </c>
      <c r="T16" t="str">
        <f>_xlfn.XLOOKUP(D16,[1]Products!$A$2:$A$101,[1]Products!$C$2:$C$101)</f>
        <v>Snacks</v>
      </c>
      <c r="U16">
        <f>_xlfn.XLOOKUP(D16,[1]Products!$A$2:$A$101,[1]Products!$E$2:$E$101)</f>
        <v>462</v>
      </c>
      <c r="V16">
        <f>[1]Transactions!F16*[1]Transactions!U16</f>
        <v>1848</v>
      </c>
    </row>
    <row r="17" spans="1:22" x14ac:dyDescent="0.3">
      <c r="A17">
        <v>16</v>
      </c>
      <c r="B17">
        <v>102</v>
      </c>
      <c r="C17">
        <v>134</v>
      </c>
      <c r="D17">
        <v>47</v>
      </c>
      <c r="E17">
        <v>8</v>
      </c>
      <c r="F17">
        <v>4</v>
      </c>
      <c r="G17">
        <v>94</v>
      </c>
      <c r="H17">
        <v>376</v>
      </c>
      <c r="I17">
        <v>45</v>
      </c>
      <c r="J17">
        <f>[1]Transactions!F17*[1]Transactions!G17</f>
        <v>376</v>
      </c>
      <c r="K17">
        <f>_xlfn.XLOOKUP([1]Transactions!D17,[1]Inventory!$C$2:$C$501,[1]Inventory!$A$2:$A$501)</f>
        <v>276</v>
      </c>
      <c r="L17">
        <f>_xlfn.XLOOKUP(K17,[1]Inventory!$A$2:$A$501,[1]Inventory!$D$2:$D$501)</f>
        <v>245</v>
      </c>
      <c r="M17">
        <f>_xlfn.XLOOKUP(K17,[1]Inventory!$A$2:$A$501,[1]Inventory!$E$2:$E$501)</f>
        <v>166</v>
      </c>
      <c r="N17" t="str">
        <f>_xlfn.XLOOKUP([1]Transactions!C17,[1]Customers!$A$2:$A$201,[1]Customers!$G$2:$G$201)</f>
        <v>Maharashtra</v>
      </c>
      <c r="O17" t="str">
        <f>_xlfn.XLOOKUP(C17,[1]Customers!$A$2:$A$201,[1]Customers!$H$2:$H$201)</f>
        <v>West</v>
      </c>
      <c r="P17" t="str">
        <f>_xlfn.XLOOKUP(C17,[1]Customers!$A$2:$A$201,[1]Customers!$F$2:$F$201)</f>
        <v>Mumbai</v>
      </c>
      <c r="Q17">
        <f>_xlfn.XLOOKUP(C17,[1]Customers!$A$2:$A$201,[1]Customers!$D$2:$D$201)</f>
        <v>36</v>
      </c>
      <c r="R17" t="str">
        <f>_xlfn.XLOOKUP([1]Transactions!C17,[1]Customers!$A$2:$A$201,[1]Customers!$C$2:$C$201)</f>
        <v>Female</v>
      </c>
      <c r="S17" t="str">
        <f>_xlfn.XLOOKUP(C17,[1]Customers!$A$2:$A$201,[1]Customers!$B$2:$B$201)</f>
        <v>Customer_134</v>
      </c>
      <c r="T17" t="str">
        <f>_xlfn.XLOOKUP(D17,[1]Products!$A$2:$A$101,[1]Products!$C$2:$C$101)</f>
        <v>Snacks</v>
      </c>
      <c r="U17">
        <f>_xlfn.XLOOKUP(D17,[1]Products!$A$2:$A$101,[1]Products!$E$2:$E$101)</f>
        <v>441</v>
      </c>
      <c r="V17">
        <f>[1]Transactions!F17*[1]Transactions!U17</f>
        <v>1764</v>
      </c>
    </row>
    <row r="18" spans="1:22" x14ac:dyDescent="0.3">
      <c r="A18">
        <v>17</v>
      </c>
      <c r="B18">
        <v>157</v>
      </c>
      <c r="C18">
        <v>89</v>
      </c>
      <c r="D18">
        <v>47</v>
      </c>
      <c r="E18">
        <v>28</v>
      </c>
      <c r="F18">
        <v>1</v>
      </c>
      <c r="G18">
        <v>445</v>
      </c>
      <c r="H18">
        <v>445</v>
      </c>
      <c r="I18">
        <v>56</v>
      </c>
      <c r="J18">
        <f>[1]Transactions!F18*[1]Transactions!G18</f>
        <v>445</v>
      </c>
      <c r="K18">
        <f>_xlfn.XLOOKUP([1]Transactions!D18,[1]Inventory!$C$2:$C$501,[1]Inventory!$A$2:$A$501)</f>
        <v>276</v>
      </c>
      <c r="L18">
        <f>_xlfn.XLOOKUP(K18,[1]Inventory!$A$2:$A$501,[1]Inventory!$D$2:$D$501)</f>
        <v>245</v>
      </c>
      <c r="M18">
        <f>_xlfn.XLOOKUP(K18,[1]Inventory!$A$2:$A$501,[1]Inventory!$E$2:$E$501)</f>
        <v>166</v>
      </c>
      <c r="N18" t="str">
        <f>_xlfn.XLOOKUP([1]Transactions!C18,[1]Customers!$A$2:$A$201,[1]Customers!$G$2:$G$201)</f>
        <v>Tamil Nadu</v>
      </c>
      <c r="O18" t="str">
        <f>_xlfn.XLOOKUP(C18,[1]Customers!$A$2:$A$201,[1]Customers!$H$2:$H$201)</f>
        <v>South</v>
      </c>
      <c r="P18" t="str">
        <f>_xlfn.XLOOKUP(C18,[1]Customers!$A$2:$A$201,[1]Customers!$F$2:$F$201)</f>
        <v>Chennai</v>
      </c>
      <c r="Q18">
        <f>_xlfn.XLOOKUP(C18,[1]Customers!$A$2:$A$201,[1]Customers!$D$2:$D$201)</f>
        <v>44</v>
      </c>
      <c r="R18" t="str">
        <f>_xlfn.XLOOKUP([1]Transactions!C18,[1]Customers!$A$2:$A$201,[1]Customers!$C$2:$C$201)</f>
        <v>Male</v>
      </c>
      <c r="S18" t="str">
        <f>_xlfn.XLOOKUP(C18,[1]Customers!$A$2:$A$201,[1]Customers!$B$2:$B$201)</f>
        <v>Customer_89</v>
      </c>
      <c r="T18" t="str">
        <f>_xlfn.XLOOKUP(D18,[1]Products!$A$2:$A$101,[1]Products!$C$2:$C$101)</f>
        <v>Snacks</v>
      </c>
      <c r="U18">
        <f>_xlfn.XLOOKUP(D18,[1]Products!$A$2:$A$101,[1]Products!$E$2:$E$101)</f>
        <v>441</v>
      </c>
      <c r="V18">
        <f>[1]Transactions!F18*[1]Transactions!U18</f>
        <v>441</v>
      </c>
    </row>
    <row r="19" spans="1:22" x14ac:dyDescent="0.3">
      <c r="A19">
        <v>18</v>
      </c>
      <c r="B19">
        <v>40</v>
      </c>
      <c r="C19">
        <v>62</v>
      </c>
      <c r="D19">
        <v>40</v>
      </c>
      <c r="E19">
        <v>6</v>
      </c>
      <c r="F19">
        <v>1</v>
      </c>
      <c r="G19">
        <v>490</v>
      </c>
      <c r="H19">
        <v>490</v>
      </c>
      <c r="I19">
        <v>10</v>
      </c>
      <c r="J19">
        <f>[1]Transactions!F19*[1]Transactions!G19</f>
        <v>490</v>
      </c>
      <c r="K19">
        <f>_xlfn.XLOOKUP([1]Transactions!D19,[1]Inventory!$C$2:$C$501,[1]Inventory!$A$2:$A$501)</f>
        <v>113</v>
      </c>
      <c r="L19">
        <f>_xlfn.XLOOKUP(K19,[1]Inventory!$A$2:$A$501,[1]Inventory!$D$2:$D$501)</f>
        <v>462</v>
      </c>
      <c r="M19">
        <f>_xlfn.XLOOKUP(K19,[1]Inventory!$A$2:$A$501,[1]Inventory!$E$2:$E$501)</f>
        <v>68</v>
      </c>
      <c r="N19" t="str">
        <f>_xlfn.XLOOKUP([1]Transactions!C19,[1]Customers!$A$2:$A$201,[1]Customers!$G$2:$G$201)</f>
        <v>Telangana</v>
      </c>
      <c r="O19" t="str">
        <f>_xlfn.XLOOKUP(C19,[1]Customers!$A$2:$A$201,[1]Customers!$H$2:$H$201)</f>
        <v>South</v>
      </c>
      <c r="P19" t="str">
        <f>_xlfn.XLOOKUP(C19,[1]Customers!$A$2:$A$201,[1]Customers!$F$2:$F$201)</f>
        <v>Hyderabad</v>
      </c>
      <c r="Q19">
        <f>_xlfn.XLOOKUP(C19,[1]Customers!$A$2:$A$201,[1]Customers!$D$2:$D$201)</f>
        <v>30</v>
      </c>
      <c r="R19" t="str">
        <f>_xlfn.XLOOKUP([1]Transactions!C19,[1]Customers!$A$2:$A$201,[1]Customers!$C$2:$C$201)</f>
        <v>Male</v>
      </c>
      <c r="S19" t="str">
        <f>_xlfn.XLOOKUP(C19,[1]Customers!$A$2:$A$201,[1]Customers!$B$2:$B$201)</f>
        <v>Customer_62</v>
      </c>
      <c r="T19" t="str">
        <f>_xlfn.XLOOKUP(D19,[1]Products!$A$2:$A$101,[1]Products!$C$2:$C$101)</f>
        <v>Grocery</v>
      </c>
      <c r="U19">
        <f>_xlfn.XLOOKUP(D19,[1]Products!$A$2:$A$101,[1]Products!$E$2:$E$101)</f>
        <v>184</v>
      </c>
      <c r="V19">
        <f>[1]Transactions!F19*[1]Transactions!U19</f>
        <v>184</v>
      </c>
    </row>
    <row r="20" spans="1:22" x14ac:dyDescent="0.3">
      <c r="A20">
        <v>19</v>
      </c>
      <c r="B20">
        <v>18</v>
      </c>
      <c r="C20">
        <v>179</v>
      </c>
      <c r="D20">
        <v>7</v>
      </c>
      <c r="E20">
        <v>16</v>
      </c>
      <c r="F20">
        <v>2</v>
      </c>
      <c r="G20">
        <v>103</v>
      </c>
      <c r="H20">
        <v>206</v>
      </c>
      <c r="I20">
        <v>49</v>
      </c>
      <c r="J20">
        <f>[1]Transactions!F20*[1]Transactions!G20</f>
        <v>206</v>
      </c>
      <c r="K20">
        <f>_xlfn.XLOOKUP([1]Transactions!D20,[1]Inventory!$C$2:$C$501,[1]Inventory!$A$2:$A$501)</f>
        <v>32</v>
      </c>
      <c r="L20">
        <f>_xlfn.XLOOKUP(K20,[1]Inventory!$A$2:$A$501,[1]Inventory!$D$2:$D$501)</f>
        <v>377</v>
      </c>
      <c r="M20">
        <f>_xlfn.XLOOKUP(K20,[1]Inventory!$A$2:$A$501,[1]Inventory!$E$2:$E$501)</f>
        <v>135</v>
      </c>
      <c r="N20" t="str">
        <f>_xlfn.XLOOKUP([1]Transactions!C20,[1]Customers!$A$2:$A$201,[1]Customers!$G$2:$G$201)</f>
        <v>Delhi</v>
      </c>
      <c r="O20" t="str">
        <f>_xlfn.XLOOKUP(C20,[1]Customers!$A$2:$A$201,[1]Customers!$H$2:$H$201)</f>
        <v>North</v>
      </c>
      <c r="P20" t="str">
        <f>_xlfn.XLOOKUP(C20,[1]Customers!$A$2:$A$201,[1]Customers!$F$2:$F$201)</f>
        <v>Delhi</v>
      </c>
      <c r="Q20">
        <f>_xlfn.XLOOKUP(C20,[1]Customers!$A$2:$A$201,[1]Customers!$D$2:$D$201)</f>
        <v>19</v>
      </c>
      <c r="R20" t="str">
        <f>_xlfn.XLOOKUP([1]Transactions!C20,[1]Customers!$A$2:$A$201,[1]Customers!$C$2:$C$201)</f>
        <v>Female</v>
      </c>
      <c r="S20" t="str">
        <f>_xlfn.XLOOKUP(C20,[1]Customers!$A$2:$A$201,[1]Customers!$B$2:$B$201)</f>
        <v>Customer_179</v>
      </c>
      <c r="T20" t="str">
        <f>_xlfn.XLOOKUP(D20,[1]Products!$A$2:$A$101,[1]Products!$C$2:$C$101)</f>
        <v>Dairy</v>
      </c>
      <c r="U20">
        <f>_xlfn.XLOOKUP(D20,[1]Products!$A$2:$A$101,[1]Products!$E$2:$E$101)</f>
        <v>65</v>
      </c>
      <c r="V20">
        <f>[1]Transactions!F20*[1]Transactions!U20</f>
        <v>130</v>
      </c>
    </row>
    <row r="21" spans="1:22" x14ac:dyDescent="0.3">
      <c r="A21">
        <v>20</v>
      </c>
      <c r="B21">
        <v>108</v>
      </c>
      <c r="C21">
        <v>106</v>
      </c>
      <c r="D21">
        <v>55</v>
      </c>
      <c r="E21">
        <v>30</v>
      </c>
      <c r="F21">
        <v>4</v>
      </c>
      <c r="G21">
        <v>106</v>
      </c>
      <c r="H21">
        <v>424</v>
      </c>
      <c r="I21">
        <v>18</v>
      </c>
      <c r="J21">
        <f>[1]Transactions!F21*[1]Transactions!G21</f>
        <v>424</v>
      </c>
      <c r="K21">
        <f>_xlfn.XLOOKUP([1]Transactions!D21,[1]Inventory!$C$2:$C$501,[1]Inventory!$A$2:$A$501)</f>
        <v>167</v>
      </c>
      <c r="L21">
        <f>_xlfn.XLOOKUP(K21,[1]Inventory!$A$2:$A$501,[1]Inventory!$D$2:$D$501)</f>
        <v>200</v>
      </c>
      <c r="M21">
        <f>_xlfn.XLOOKUP(K21,[1]Inventory!$A$2:$A$501,[1]Inventory!$E$2:$E$501)</f>
        <v>125</v>
      </c>
      <c r="N21" t="str">
        <f>_xlfn.XLOOKUP([1]Transactions!C21,[1]Customers!$A$2:$A$201,[1]Customers!$G$2:$G$201)</f>
        <v>Rajasthan</v>
      </c>
      <c r="O21" t="str">
        <f>_xlfn.XLOOKUP(C21,[1]Customers!$A$2:$A$201,[1]Customers!$H$2:$H$201)</f>
        <v>North</v>
      </c>
      <c r="P21" t="str">
        <f>_xlfn.XLOOKUP(C21,[1]Customers!$A$2:$A$201,[1]Customers!$F$2:$F$201)</f>
        <v>Jaipur</v>
      </c>
      <c r="Q21">
        <f>_xlfn.XLOOKUP(C21,[1]Customers!$A$2:$A$201,[1]Customers!$D$2:$D$201)</f>
        <v>60</v>
      </c>
      <c r="R21" t="str">
        <f>_xlfn.XLOOKUP([1]Transactions!C21,[1]Customers!$A$2:$A$201,[1]Customers!$C$2:$C$201)</f>
        <v>Male</v>
      </c>
      <c r="S21" t="str">
        <f>_xlfn.XLOOKUP(C21,[1]Customers!$A$2:$A$201,[1]Customers!$B$2:$B$201)</f>
        <v>Customer_106</v>
      </c>
      <c r="T21" t="str">
        <f>_xlfn.XLOOKUP(D21,[1]Products!$A$2:$A$101,[1]Products!$C$2:$C$101)</f>
        <v>Dairy</v>
      </c>
      <c r="U21">
        <f>_xlfn.XLOOKUP(D21,[1]Products!$A$2:$A$101,[1]Products!$E$2:$E$101)</f>
        <v>454</v>
      </c>
      <c r="V21">
        <f>[1]Transactions!F21*[1]Transactions!U21</f>
        <v>1816</v>
      </c>
    </row>
    <row r="22" spans="1:22" x14ac:dyDescent="0.3">
      <c r="A22">
        <v>21</v>
      </c>
      <c r="B22">
        <v>131</v>
      </c>
      <c r="C22">
        <v>90</v>
      </c>
      <c r="D22">
        <v>52</v>
      </c>
      <c r="E22">
        <v>44</v>
      </c>
      <c r="F22">
        <v>1</v>
      </c>
      <c r="G22">
        <v>352</v>
      </c>
      <c r="H22">
        <v>352</v>
      </c>
      <c r="I22">
        <v>48</v>
      </c>
      <c r="J22">
        <f>[1]Transactions!F22*[1]Transactions!G22</f>
        <v>352</v>
      </c>
      <c r="K22">
        <f>_xlfn.XLOOKUP([1]Transactions!D22,[1]Inventory!$C$2:$C$501,[1]Inventory!$A$2:$A$501)</f>
        <v>2</v>
      </c>
      <c r="L22">
        <f>_xlfn.XLOOKUP(K22,[1]Inventory!$A$2:$A$501,[1]Inventory!$D$2:$D$501)</f>
        <v>420</v>
      </c>
      <c r="M22">
        <f>_xlfn.XLOOKUP(K22,[1]Inventory!$A$2:$A$501,[1]Inventory!$E$2:$E$501)</f>
        <v>29</v>
      </c>
      <c r="N22" t="str">
        <f>_xlfn.XLOOKUP([1]Transactions!C22,[1]Customers!$A$2:$A$201,[1]Customers!$G$2:$G$201)</f>
        <v>West Bengal</v>
      </c>
      <c r="O22" t="str">
        <f>_xlfn.XLOOKUP(C22,[1]Customers!$A$2:$A$201,[1]Customers!$H$2:$H$201)</f>
        <v>East</v>
      </c>
      <c r="P22" t="str">
        <f>_xlfn.XLOOKUP(C22,[1]Customers!$A$2:$A$201,[1]Customers!$F$2:$F$201)</f>
        <v>Kolkata</v>
      </c>
      <c r="Q22">
        <f>_xlfn.XLOOKUP(C22,[1]Customers!$A$2:$A$201,[1]Customers!$D$2:$D$201)</f>
        <v>20</v>
      </c>
      <c r="R22" t="str">
        <f>_xlfn.XLOOKUP([1]Transactions!C22,[1]Customers!$A$2:$A$201,[1]Customers!$C$2:$C$201)</f>
        <v>Male</v>
      </c>
      <c r="S22" t="str">
        <f>_xlfn.XLOOKUP(C22,[1]Customers!$A$2:$A$201,[1]Customers!$B$2:$B$201)</f>
        <v>Customer_90</v>
      </c>
      <c r="T22" t="str">
        <f>_xlfn.XLOOKUP(D22,[1]Products!$A$2:$A$101,[1]Products!$C$2:$C$101)</f>
        <v>Dairy</v>
      </c>
      <c r="U22">
        <f>_xlfn.XLOOKUP(D22,[1]Products!$A$2:$A$101,[1]Products!$E$2:$E$101)</f>
        <v>257</v>
      </c>
      <c r="V22">
        <f>[1]Transactions!F22*[1]Transactions!U22</f>
        <v>257</v>
      </c>
    </row>
    <row r="23" spans="1:22" x14ac:dyDescent="0.3">
      <c r="A23">
        <v>22</v>
      </c>
      <c r="B23">
        <v>134</v>
      </c>
      <c r="C23">
        <v>108</v>
      </c>
      <c r="D23">
        <v>49</v>
      </c>
      <c r="E23">
        <v>14</v>
      </c>
      <c r="F23">
        <v>5</v>
      </c>
      <c r="G23">
        <v>126</v>
      </c>
      <c r="H23">
        <v>630</v>
      </c>
      <c r="I23">
        <v>33</v>
      </c>
      <c r="J23">
        <f>[1]Transactions!F23*[1]Transactions!G23</f>
        <v>630</v>
      </c>
      <c r="K23">
        <f>_xlfn.XLOOKUP([1]Transactions!D23,[1]Inventory!$C$2:$C$501,[1]Inventory!$A$2:$A$501)</f>
        <v>4</v>
      </c>
      <c r="L23">
        <f>_xlfn.XLOOKUP(K23,[1]Inventory!$A$2:$A$501,[1]Inventory!$D$2:$D$501)</f>
        <v>344</v>
      </c>
      <c r="M23">
        <f>_xlfn.XLOOKUP(K23,[1]Inventory!$A$2:$A$501,[1]Inventory!$E$2:$E$501)</f>
        <v>3</v>
      </c>
      <c r="N23" t="str">
        <f>_xlfn.XLOOKUP([1]Transactions!C23,[1]Customers!$A$2:$A$201,[1]Customers!$G$2:$G$201)</f>
        <v>Tamil Nadu</v>
      </c>
      <c r="O23" t="str">
        <f>_xlfn.XLOOKUP(C23,[1]Customers!$A$2:$A$201,[1]Customers!$H$2:$H$201)</f>
        <v>South</v>
      </c>
      <c r="P23" t="str">
        <f>_xlfn.XLOOKUP(C23,[1]Customers!$A$2:$A$201,[1]Customers!$F$2:$F$201)</f>
        <v>Chennai</v>
      </c>
      <c r="Q23">
        <f>_xlfn.XLOOKUP(C23,[1]Customers!$A$2:$A$201,[1]Customers!$D$2:$D$201)</f>
        <v>49</v>
      </c>
      <c r="R23" t="str">
        <f>_xlfn.XLOOKUP([1]Transactions!C23,[1]Customers!$A$2:$A$201,[1]Customers!$C$2:$C$201)</f>
        <v>Male</v>
      </c>
      <c r="S23" t="str">
        <f>_xlfn.XLOOKUP(C23,[1]Customers!$A$2:$A$201,[1]Customers!$B$2:$B$201)</f>
        <v>Customer_108</v>
      </c>
      <c r="T23" t="str">
        <f>_xlfn.XLOOKUP(D23,[1]Products!$A$2:$A$101,[1]Products!$C$2:$C$101)</f>
        <v>Dairy</v>
      </c>
      <c r="U23">
        <f>_xlfn.XLOOKUP(D23,[1]Products!$A$2:$A$101,[1]Products!$E$2:$E$101)</f>
        <v>117</v>
      </c>
      <c r="V23">
        <f>[1]Transactions!F23*[1]Transactions!U23</f>
        <v>585</v>
      </c>
    </row>
    <row r="24" spans="1:22" x14ac:dyDescent="0.3">
      <c r="A24">
        <v>23</v>
      </c>
      <c r="B24">
        <v>87</v>
      </c>
      <c r="C24">
        <v>156</v>
      </c>
      <c r="D24">
        <v>81</v>
      </c>
      <c r="E24">
        <v>16</v>
      </c>
      <c r="F24">
        <v>1</v>
      </c>
      <c r="G24">
        <v>304</v>
      </c>
      <c r="H24">
        <v>304</v>
      </c>
      <c r="I24">
        <v>20</v>
      </c>
      <c r="J24">
        <f>[1]Transactions!F24*[1]Transactions!G24</f>
        <v>304</v>
      </c>
      <c r="K24">
        <f>_xlfn.XLOOKUP([1]Transactions!D24,[1]Inventory!$C$2:$C$501,[1]Inventory!$A$2:$A$501)</f>
        <v>80</v>
      </c>
      <c r="L24">
        <f>_xlfn.XLOOKUP(K24,[1]Inventory!$A$2:$A$501,[1]Inventory!$D$2:$D$501)</f>
        <v>9</v>
      </c>
      <c r="M24">
        <f>_xlfn.XLOOKUP(K24,[1]Inventory!$A$2:$A$501,[1]Inventory!$E$2:$E$501)</f>
        <v>4</v>
      </c>
      <c r="N24" t="str">
        <f>_xlfn.XLOOKUP([1]Transactions!C24,[1]Customers!$A$2:$A$201,[1]Customers!$G$2:$G$201)</f>
        <v>Maharashtra</v>
      </c>
      <c r="O24" t="str">
        <f>_xlfn.XLOOKUP(C24,[1]Customers!$A$2:$A$201,[1]Customers!$H$2:$H$201)</f>
        <v>West</v>
      </c>
      <c r="P24" t="str">
        <f>_xlfn.XLOOKUP(C24,[1]Customers!$A$2:$A$201,[1]Customers!$F$2:$F$201)</f>
        <v>Pune</v>
      </c>
      <c r="Q24">
        <f>_xlfn.XLOOKUP(C24,[1]Customers!$A$2:$A$201,[1]Customers!$D$2:$D$201)</f>
        <v>47</v>
      </c>
      <c r="R24" t="str">
        <f>_xlfn.XLOOKUP([1]Transactions!C24,[1]Customers!$A$2:$A$201,[1]Customers!$C$2:$C$201)</f>
        <v>Female</v>
      </c>
      <c r="S24" t="str">
        <f>_xlfn.XLOOKUP(C24,[1]Customers!$A$2:$A$201,[1]Customers!$B$2:$B$201)</f>
        <v>Customer_156</v>
      </c>
      <c r="T24" t="str">
        <f>_xlfn.XLOOKUP(D24,[1]Products!$A$2:$A$101,[1]Products!$C$2:$C$101)</f>
        <v>Beverages</v>
      </c>
      <c r="U24">
        <f>_xlfn.XLOOKUP(D24,[1]Products!$A$2:$A$101,[1]Products!$E$2:$E$101)</f>
        <v>262</v>
      </c>
      <c r="V24">
        <f>[1]Transactions!F24*[1]Transactions!U24</f>
        <v>262</v>
      </c>
    </row>
    <row r="25" spans="1:22" x14ac:dyDescent="0.3">
      <c r="A25">
        <v>24</v>
      </c>
      <c r="B25">
        <v>59</v>
      </c>
      <c r="C25">
        <v>26</v>
      </c>
      <c r="D25">
        <v>71</v>
      </c>
      <c r="E25">
        <v>16</v>
      </c>
      <c r="F25">
        <v>1</v>
      </c>
      <c r="G25">
        <v>283</v>
      </c>
      <c r="H25">
        <v>283</v>
      </c>
      <c r="I25">
        <v>57</v>
      </c>
      <c r="J25">
        <f>[1]Transactions!F25*[1]Transactions!G25</f>
        <v>283</v>
      </c>
      <c r="K25">
        <f>_xlfn.XLOOKUP([1]Transactions!D25,[1]Inventory!$C$2:$C$501,[1]Inventory!$A$2:$A$501)</f>
        <v>30</v>
      </c>
      <c r="L25">
        <f>_xlfn.XLOOKUP(K25,[1]Inventory!$A$2:$A$501,[1]Inventory!$D$2:$D$501)</f>
        <v>155</v>
      </c>
      <c r="M25">
        <f>_xlfn.XLOOKUP(K25,[1]Inventory!$A$2:$A$501,[1]Inventory!$E$2:$E$501)</f>
        <v>79</v>
      </c>
      <c r="N25" t="str">
        <f>_xlfn.XLOOKUP([1]Transactions!C25,[1]Customers!$A$2:$A$201,[1]Customers!$G$2:$G$201)</f>
        <v>Tamil Nadu</v>
      </c>
      <c r="O25" t="str">
        <f>_xlfn.XLOOKUP(C25,[1]Customers!$A$2:$A$201,[1]Customers!$H$2:$H$201)</f>
        <v>South</v>
      </c>
      <c r="P25" t="str">
        <f>_xlfn.XLOOKUP(C25,[1]Customers!$A$2:$A$201,[1]Customers!$F$2:$F$201)</f>
        <v>Chennai</v>
      </c>
      <c r="Q25">
        <f>_xlfn.XLOOKUP(C25,[1]Customers!$A$2:$A$201,[1]Customers!$D$2:$D$201)</f>
        <v>38</v>
      </c>
      <c r="R25" t="str">
        <f>_xlfn.XLOOKUP([1]Transactions!C25,[1]Customers!$A$2:$A$201,[1]Customers!$C$2:$C$201)</f>
        <v>Male</v>
      </c>
      <c r="S25" t="str">
        <f>_xlfn.XLOOKUP(C25,[1]Customers!$A$2:$A$201,[1]Customers!$B$2:$B$201)</f>
        <v>Customer_26</v>
      </c>
      <c r="T25" t="str">
        <f>_xlfn.XLOOKUP(D25,[1]Products!$A$2:$A$101,[1]Products!$C$2:$C$101)</f>
        <v>Snacks</v>
      </c>
      <c r="U25">
        <f>_xlfn.XLOOKUP(D25,[1]Products!$A$2:$A$101,[1]Products!$E$2:$E$101)</f>
        <v>389</v>
      </c>
      <c r="V25">
        <f>[1]Transactions!F25*[1]Transactions!U25</f>
        <v>389</v>
      </c>
    </row>
    <row r="26" spans="1:22" x14ac:dyDescent="0.3">
      <c r="A26">
        <v>25</v>
      </c>
      <c r="B26">
        <v>59</v>
      </c>
      <c r="C26">
        <v>181</v>
      </c>
      <c r="D26">
        <v>51</v>
      </c>
      <c r="E26">
        <v>23</v>
      </c>
      <c r="F26">
        <v>2</v>
      </c>
      <c r="G26">
        <v>79</v>
      </c>
      <c r="H26">
        <v>158</v>
      </c>
      <c r="I26">
        <v>31</v>
      </c>
      <c r="J26">
        <f>[1]Transactions!F26*[1]Transactions!G26</f>
        <v>158</v>
      </c>
      <c r="K26">
        <f>_xlfn.XLOOKUP([1]Transactions!D26,[1]Inventory!$C$2:$C$501,[1]Inventory!$A$2:$A$501)</f>
        <v>55</v>
      </c>
      <c r="L26">
        <f>_xlfn.XLOOKUP(K26,[1]Inventory!$A$2:$A$501,[1]Inventory!$D$2:$D$501)</f>
        <v>336</v>
      </c>
      <c r="M26">
        <f>_xlfn.XLOOKUP(K26,[1]Inventory!$A$2:$A$501,[1]Inventory!$E$2:$E$501)</f>
        <v>49</v>
      </c>
      <c r="N26" t="str">
        <f>_xlfn.XLOOKUP([1]Transactions!C26,[1]Customers!$A$2:$A$201,[1]Customers!$G$2:$G$201)</f>
        <v>Gujarat</v>
      </c>
      <c r="O26" t="str">
        <f>_xlfn.XLOOKUP(C26,[1]Customers!$A$2:$A$201,[1]Customers!$H$2:$H$201)</f>
        <v>West</v>
      </c>
      <c r="P26" t="str">
        <f>_xlfn.XLOOKUP(C26,[1]Customers!$A$2:$A$201,[1]Customers!$F$2:$F$201)</f>
        <v>Ahmedabad</v>
      </c>
      <c r="Q26">
        <f>_xlfn.XLOOKUP(C26,[1]Customers!$A$2:$A$201,[1]Customers!$D$2:$D$201)</f>
        <v>45</v>
      </c>
      <c r="R26" t="str">
        <f>_xlfn.XLOOKUP([1]Transactions!C26,[1]Customers!$A$2:$A$201,[1]Customers!$C$2:$C$201)</f>
        <v>Female</v>
      </c>
      <c r="S26" t="str">
        <f>_xlfn.XLOOKUP(C26,[1]Customers!$A$2:$A$201,[1]Customers!$B$2:$B$201)</f>
        <v>Customer_181</v>
      </c>
      <c r="T26" t="str">
        <f>_xlfn.XLOOKUP(D26,[1]Products!$A$2:$A$101,[1]Products!$C$2:$C$101)</f>
        <v>Beverages</v>
      </c>
      <c r="U26">
        <f>_xlfn.XLOOKUP(D26,[1]Products!$A$2:$A$101,[1]Products!$E$2:$E$101)</f>
        <v>27</v>
      </c>
      <c r="V26">
        <f>[1]Transactions!F26*[1]Transactions!U26</f>
        <v>54</v>
      </c>
    </row>
    <row r="27" spans="1:22" x14ac:dyDescent="0.3">
      <c r="A27">
        <v>26</v>
      </c>
      <c r="B27">
        <v>45</v>
      </c>
      <c r="C27">
        <v>180</v>
      </c>
      <c r="D27">
        <v>41</v>
      </c>
      <c r="E27">
        <v>19</v>
      </c>
      <c r="F27">
        <v>1</v>
      </c>
      <c r="G27">
        <v>130</v>
      </c>
      <c r="H27">
        <v>130</v>
      </c>
      <c r="I27">
        <v>53</v>
      </c>
      <c r="J27">
        <f>[1]Transactions!F27*[1]Transactions!G27</f>
        <v>130</v>
      </c>
      <c r="K27">
        <f>_xlfn.XLOOKUP([1]Transactions!D27,[1]Inventory!$C$2:$C$501,[1]Inventory!$A$2:$A$501)</f>
        <v>19</v>
      </c>
      <c r="L27">
        <f>_xlfn.XLOOKUP(K27,[1]Inventory!$A$2:$A$501,[1]Inventory!$D$2:$D$501)</f>
        <v>60</v>
      </c>
      <c r="M27">
        <f>_xlfn.XLOOKUP(K27,[1]Inventory!$A$2:$A$501,[1]Inventory!$E$2:$E$501)</f>
        <v>140</v>
      </c>
      <c r="N27" t="str">
        <f>_xlfn.XLOOKUP([1]Transactions!C27,[1]Customers!$A$2:$A$201,[1]Customers!$G$2:$G$201)</f>
        <v>Delhi</v>
      </c>
      <c r="O27" t="str">
        <f>_xlfn.XLOOKUP(C27,[1]Customers!$A$2:$A$201,[1]Customers!$H$2:$H$201)</f>
        <v>North</v>
      </c>
      <c r="P27" t="str">
        <f>_xlfn.XLOOKUP(C27,[1]Customers!$A$2:$A$201,[1]Customers!$F$2:$F$201)</f>
        <v>Delhi</v>
      </c>
      <c r="Q27">
        <f>_xlfn.XLOOKUP(C27,[1]Customers!$A$2:$A$201,[1]Customers!$D$2:$D$201)</f>
        <v>30</v>
      </c>
      <c r="R27" t="str">
        <f>_xlfn.XLOOKUP([1]Transactions!C27,[1]Customers!$A$2:$A$201,[1]Customers!$C$2:$C$201)</f>
        <v>Female</v>
      </c>
      <c r="S27" t="str">
        <f>_xlfn.XLOOKUP(C27,[1]Customers!$A$2:$A$201,[1]Customers!$B$2:$B$201)</f>
        <v>Customer_180</v>
      </c>
      <c r="T27" t="str">
        <f>_xlfn.XLOOKUP(D27,[1]Products!$A$2:$A$101,[1]Products!$C$2:$C$101)</f>
        <v>Snacks</v>
      </c>
      <c r="U27">
        <f>_xlfn.XLOOKUP(D27,[1]Products!$A$2:$A$101,[1]Products!$E$2:$E$101)</f>
        <v>459</v>
      </c>
      <c r="V27">
        <f>[1]Transactions!F27*[1]Transactions!U27</f>
        <v>459</v>
      </c>
    </row>
    <row r="28" spans="1:22" x14ac:dyDescent="0.3">
      <c r="A28">
        <v>27</v>
      </c>
      <c r="B28">
        <v>169</v>
      </c>
      <c r="C28">
        <v>77</v>
      </c>
      <c r="D28">
        <v>13</v>
      </c>
      <c r="E28">
        <v>23</v>
      </c>
      <c r="F28">
        <v>3</v>
      </c>
      <c r="G28">
        <v>146</v>
      </c>
      <c r="H28">
        <v>438</v>
      </c>
      <c r="I28">
        <v>56</v>
      </c>
      <c r="J28">
        <f>[1]Transactions!F28*[1]Transactions!G28</f>
        <v>438</v>
      </c>
      <c r="K28">
        <f>_xlfn.XLOOKUP([1]Transactions!D28,[1]Inventory!$C$2:$C$501,[1]Inventory!$A$2:$A$501)</f>
        <v>37</v>
      </c>
      <c r="L28">
        <f>_xlfn.XLOOKUP(K28,[1]Inventory!$A$2:$A$501,[1]Inventory!$D$2:$D$501)</f>
        <v>372</v>
      </c>
      <c r="M28">
        <f>_xlfn.XLOOKUP(K28,[1]Inventory!$A$2:$A$501,[1]Inventory!$E$2:$E$501)</f>
        <v>135</v>
      </c>
      <c r="N28" t="str">
        <f>_xlfn.XLOOKUP([1]Transactions!C28,[1]Customers!$A$2:$A$201,[1]Customers!$G$2:$G$201)</f>
        <v>Maharashtra</v>
      </c>
      <c r="O28" t="str">
        <f>_xlfn.XLOOKUP(C28,[1]Customers!$A$2:$A$201,[1]Customers!$H$2:$H$201)</f>
        <v>West</v>
      </c>
      <c r="P28" t="str">
        <f>_xlfn.XLOOKUP(C28,[1]Customers!$A$2:$A$201,[1]Customers!$F$2:$F$201)</f>
        <v>Mumbai</v>
      </c>
      <c r="Q28">
        <f>_xlfn.XLOOKUP(C28,[1]Customers!$A$2:$A$201,[1]Customers!$D$2:$D$201)</f>
        <v>25</v>
      </c>
      <c r="R28" t="str">
        <f>_xlfn.XLOOKUP([1]Transactions!C28,[1]Customers!$A$2:$A$201,[1]Customers!$C$2:$C$201)</f>
        <v>Female</v>
      </c>
      <c r="S28" t="str">
        <f>_xlfn.XLOOKUP(C28,[1]Customers!$A$2:$A$201,[1]Customers!$B$2:$B$201)</f>
        <v>Customer_77</v>
      </c>
      <c r="T28" t="str">
        <f>_xlfn.XLOOKUP(D28,[1]Products!$A$2:$A$101,[1]Products!$C$2:$C$101)</f>
        <v>Dairy</v>
      </c>
      <c r="U28">
        <f>_xlfn.XLOOKUP(D28,[1]Products!$A$2:$A$101,[1]Products!$E$2:$E$101)</f>
        <v>34</v>
      </c>
      <c r="V28">
        <f>[1]Transactions!F28*[1]Transactions!U28</f>
        <v>102</v>
      </c>
    </row>
    <row r="29" spans="1:22" x14ac:dyDescent="0.3">
      <c r="A29">
        <v>28</v>
      </c>
      <c r="B29">
        <v>171</v>
      </c>
      <c r="C29">
        <v>112</v>
      </c>
      <c r="D29">
        <v>46</v>
      </c>
      <c r="E29">
        <v>26</v>
      </c>
      <c r="F29">
        <v>4</v>
      </c>
      <c r="G29">
        <v>99</v>
      </c>
      <c r="H29">
        <v>396</v>
      </c>
      <c r="I29">
        <v>20</v>
      </c>
      <c r="J29">
        <f>[1]Transactions!F29*[1]Transactions!G29</f>
        <v>396</v>
      </c>
      <c r="K29">
        <f>_xlfn.XLOOKUP([1]Transactions!D29,[1]Inventory!$C$2:$C$501,[1]Inventory!$A$2:$A$501)</f>
        <v>218</v>
      </c>
      <c r="L29">
        <f>_xlfn.XLOOKUP(K29,[1]Inventory!$A$2:$A$501,[1]Inventory!$D$2:$D$501)</f>
        <v>426</v>
      </c>
      <c r="M29">
        <f>_xlfn.XLOOKUP(K29,[1]Inventory!$A$2:$A$501,[1]Inventory!$E$2:$E$501)</f>
        <v>14</v>
      </c>
      <c r="N29" t="str">
        <f>_xlfn.XLOOKUP([1]Transactions!C29,[1]Customers!$A$2:$A$201,[1]Customers!$G$2:$G$201)</f>
        <v>Telangana</v>
      </c>
      <c r="O29" t="str">
        <f>_xlfn.XLOOKUP(C29,[1]Customers!$A$2:$A$201,[1]Customers!$H$2:$H$201)</f>
        <v>South</v>
      </c>
      <c r="P29" t="str">
        <f>_xlfn.XLOOKUP(C29,[1]Customers!$A$2:$A$201,[1]Customers!$F$2:$F$201)</f>
        <v>Hyderabad</v>
      </c>
      <c r="Q29">
        <f>_xlfn.XLOOKUP(C29,[1]Customers!$A$2:$A$201,[1]Customers!$D$2:$D$201)</f>
        <v>59</v>
      </c>
      <c r="R29" t="str">
        <f>_xlfn.XLOOKUP([1]Transactions!C29,[1]Customers!$A$2:$A$201,[1]Customers!$C$2:$C$201)</f>
        <v>Female</v>
      </c>
      <c r="S29" t="str">
        <f>_xlfn.XLOOKUP(C29,[1]Customers!$A$2:$A$201,[1]Customers!$B$2:$B$201)</f>
        <v>Customer_112</v>
      </c>
      <c r="T29" t="str">
        <f>_xlfn.XLOOKUP(D29,[1]Products!$A$2:$A$101,[1]Products!$C$2:$C$101)</f>
        <v>Personal Care</v>
      </c>
      <c r="U29">
        <f>_xlfn.XLOOKUP(D29,[1]Products!$A$2:$A$101,[1]Products!$E$2:$E$101)</f>
        <v>56</v>
      </c>
      <c r="V29">
        <f>[1]Transactions!F29*[1]Transactions!U29</f>
        <v>224</v>
      </c>
    </row>
    <row r="30" spans="1:22" x14ac:dyDescent="0.3">
      <c r="A30">
        <v>29</v>
      </c>
      <c r="B30">
        <v>103</v>
      </c>
      <c r="C30">
        <v>8</v>
      </c>
      <c r="D30">
        <v>25</v>
      </c>
      <c r="E30">
        <v>3</v>
      </c>
      <c r="F30">
        <v>4</v>
      </c>
      <c r="G30">
        <v>419</v>
      </c>
      <c r="H30">
        <v>1676</v>
      </c>
      <c r="I30">
        <v>58</v>
      </c>
      <c r="J30">
        <f>[1]Transactions!F30*[1]Transactions!G30</f>
        <v>1676</v>
      </c>
      <c r="K30">
        <f>_xlfn.XLOOKUP([1]Transactions!D30,[1]Inventory!$C$2:$C$501,[1]Inventory!$A$2:$A$501)</f>
        <v>85</v>
      </c>
      <c r="L30">
        <f>_xlfn.XLOOKUP(K30,[1]Inventory!$A$2:$A$501,[1]Inventory!$D$2:$D$501)</f>
        <v>32</v>
      </c>
      <c r="M30">
        <f>_xlfn.XLOOKUP(K30,[1]Inventory!$A$2:$A$501,[1]Inventory!$E$2:$E$501)</f>
        <v>25</v>
      </c>
      <c r="N30" t="str">
        <f>_xlfn.XLOOKUP([1]Transactions!C30,[1]Customers!$A$2:$A$201,[1]Customers!$G$2:$G$201)</f>
        <v>Maharashtra</v>
      </c>
      <c r="O30" t="str">
        <f>_xlfn.XLOOKUP(C30,[1]Customers!$A$2:$A$201,[1]Customers!$H$2:$H$201)</f>
        <v>West</v>
      </c>
      <c r="P30" t="str">
        <f>_xlfn.XLOOKUP(C30,[1]Customers!$A$2:$A$201,[1]Customers!$F$2:$F$201)</f>
        <v>Pune</v>
      </c>
      <c r="Q30">
        <f>_xlfn.XLOOKUP(C30,[1]Customers!$A$2:$A$201,[1]Customers!$D$2:$D$201)</f>
        <v>57</v>
      </c>
      <c r="R30" t="str">
        <f>_xlfn.XLOOKUP([1]Transactions!C30,[1]Customers!$A$2:$A$201,[1]Customers!$C$2:$C$201)</f>
        <v>Male</v>
      </c>
      <c r="S30" t="str">
        <f>_xlfn.XLOOKUP(C30,[1]Customers!$A$2:$A$201,[1]Customers!$B$2:$B$201)</f>
        <v>Customer_8</v>
      </c>
      <c r="T30" t="str">
        <f>_xlfn.XLOOKUP(D30,[1]Products!$A$2:$A$101,[1]Products!$C$2:$C$101)</f>
        <v>Personal Care</v>
      </c>
      <c r="U30">
        <f>_xlfn.XLOOKUP(D30,[1]Products!$A$2:$A$101,[1]Products!$E$2:$E$101)</f>
        <v>212</v>
      </c>
      <c r="V30">
        <f>[1]Transactions!F30*[1]Transactions!U30</f>
        <v>848</v>
      </c>
    </row>
    <row r="31" spans="1:22" x14ac:dyDescent="0.3">
      <c r="A31">
        <v>30</v>
      </c>
      <c r="B31">
        <v>30</v>
      </c>
      <c r="C31">
        <v>90</v>
      </c>
      <c r="D31">
        <v>37</v>
      </c>
      <c r="E31">
        <v>6</v>
      </c>
      <c r="F31">
        <v>2</v>
      </c>
      <c r="G31">
        <v>125</v>
      </c>
      <c r="H31">
        <v>250</v>
      </c>
      <c r="I31">
        <v>13</v>
      </c>
      <c r="J31">
        <f>[1]Transactions!F31*[1]Transactions!G31</f>
        <v>250</v>
      </c>
      <c r="K31">
        <f>_xlfn.XLOOKUP([1]Transactions!D31,[1]Inventory!$C$2:$C$501,[1]Inventory!$A$2:$A$501)</f>
        <v>23</v>
      </c>
      <c r="L31">
        <f>_xlfn.XLOOKUP(K31,[1]Inventory!$A$2:$A$501,[1]Inventory!$D$2:$D$501)</f>
        <v>485</v>
      </c>
      <c r="M31">
        <f>_xlfn.XLOOKUP(K31,[1]Inventory!$A$2:$A$501,[1]Inventory!$E$2:$E$501)</f>
        <v>129</v>
      </c>
      <c r="N31" t="str">
        <f>_xlfn.XLOOKUP([1]Transactions!C31,[1]Customers!$A$2:$A$201,[1]Customers!$G$2:$G$201)</f>
        <v>West Bengal</v>
      </c>
      <c r="O31" t="str">
        <f>_xlfn.XLOOKUP(C31,[1]Customers!$A$2:$A$201,[1]Customers!$H$2:$H$201)</f>
        <v>East</v>
      </c>
      <c r="P31" t="str">
        <f>_xlfn.XLOOKUP(C31,[1]Customers!$A$2:$A$201,[1]Customers!$F$2:$F$201)</f>
        <v>Kolkata</v>
      </c>
      <c r="Q31">
        <f>_xlfn.XLOOKUP(C31,[1]Customers!$A$2:$A$201,[1]Customers!$D$2:$D$201)</f>
        <v>20</v>
      </c>
      <c r="R31" t="str">
        <f>_xlfn.XLOOKUP([1]Transactions!C31,[1]Customers!$A$2:$A$201,[1]Customers!$C$2:$C$201)</f>
        <v>Male</v>
      </c>
      <c r="S31" t="str">
        <f>_xlfn.XLOOKUP(C31,[1]Customers!$A$2:$A$201,[1]Customers!$B$2:$B$201)</f>
        <v>Customer_90</v>
      </c>
      <c r="T31" t="str">
        <f>_xlfn.XLOOKUP(D31,[1]Products!$A$2:$A$101,[1]Products!$C$2:$C$101)</f>
        <v>Grocery</v>
      </c>
      <c r="U31">
        <f>_xlfn.XLOOKUP(D31,[1]Products!$A$2:$A$101,[1]Products!$E$2:$E$101)</f>
        <v>210</v>
      </c>
      <c r="V31">
        <f>[1]Transactions!F31*[1]Transactions!U31</f>
        <v>420</v>
      </c>
    </row>
    <row r="32" spans="1:22" x14ac:dyDescent="0.3">
      <c r="A32">
        <v>31</v>
      </c>
      <c r="B32">
        <v>102</v>
      </c>
      <c r="C32">
        <v>151</v>
      </c>
      <c r="D32">
        <v>92</v>
      </c>
      <c r="E32">
        <v>24</v>
      </c>
      <c r="F32">
        <v>2</v>
      </c>
      <c r="G32">
        <v>103</v>
      </c>
      <c r="H32">
        <v>206</v>
      </c>
      <c r="I32">
        <v>57</v>
      </c>
      <c r="J32">
        <f>[1]Transactions!F32*[1]Transactions!G32</f>
        <v>206</v>
      </c>
      <c r="K32">
        <f>_xlfn.XLOOKUP([1]Transactions!D32,[1]Inventory!$C$2:$C$501,[1]Inventory!$A$2:$A$501)</f>
        <v>160</v>
      </c>
      <c r="L32">
        <f>_xlfn.XLOOKUP(K32,[1]Inventory!$A$2:$A$501,[1]Inventory!$D$2:$D$501)</f>
        <v>357</v>
      </c>
      <c r="M32">
        <f>_xlfn.XLOOKUP(K32,[1]Inventory!$A$2:$A$501,[1]Inventory!$E$2:$E$501)</f>
        <v>130</v>
      </c>
      <c r="N32" t="str">
        <f>_xlfn.XLOOKUP([1]Transactions!C32,[1]Customers!$A$2:$A$201,[1]Customers!$G$2:$G$201)</f>
        <v>Delhi</v>
      </c>
      <c r="O32" t="str">
        <f>_xlfn.XLOOKUP(C32,[1]Customers!$A$2:$A$201,[1]Customers!$H$2:$H$201)</f>
        <v>North</v>
      </c>
      <c r="P32" t="str">
        <f>_xlfn.XLOOKUP(C32,[1]Customers!$A$2:$A$201,[1]Customers!$F$2:$F$201)</f>
        <v>Delhi</v>
      </c>
      <c r="Q32">
        <f>_xlfn.XLOOKUP(C32,[1]Customers!$A$2:$A$201,[1]Customers!$D$2:$D$201)</f>
        <v>26</v>
      </c>
      <c r="R32" t="str">
        <f>_xlfn.XLOOKUP([1]Transactions!C32,[1]Customers!$A$2:$A$201,[1]Customers!$C$2:$C$201)</f>
        <v>Male</v>
      </c>
      <c r="S32" t="str">
        <f>_xlfn.XLOOKUP(C32,[1]Customers!$A$2:$A$201,[1]Customers!$B$2:$B$201)</f>
        <v>Customer_151</v>
      </c>
      <c r="T32" t="str">
        <f>_xlfn.XLOOKUP(D32,[1]Products!$A$2:$A$101,[1]Products!$C$2:$C$101)</f>
        <v>Snacks</v>
      </c>
      <c r="U32">
        <f>_xlfn.XLOOKUP(D32,[1]Products!$A$2:$A$101,[1]Products!$E$2:$E$101)</f>
        <v>55</v>
      </c>
      <c r="V32">
        <f>[1]Transactions!F32*[1]Transactions!U32</f>
        <v>110</v>
      </c>
    </row>
    <row r="33" spans="1:22" x14ac:dyDescent="0.3">
      <c r="A33">
        <v>32</v>
      </c>
      <c r="B33">
        <v>82</v>
      </c>
      <c r="C33">
        <v>150</v>
      </c>
      <c r="D33">
        <v>91</v>
      </c>
      <c r="E33">
        <v>39</v>
      </c>
      <c r="F33">
        <v>5</v>
      </c>
      <c r="G33">
        <v>252</v>
      </c>
      <c r="H33">
        <v>1260</v>
      </c>
      <c r="I33">
        <v>42</v>
      </c>
      <c r="J33">
        <f>[1]Transactions!F33*[1]Transactions!G33</f>
        <v>1260</v>
      </c>
      <c r="K33">
        <f>_xlfn.XLOOKUP([1]Transactions!D33,[1]Inventory!$C$2:$C$501,[1]Inventory!$A$2:$A$501)</f>
        <v>98</v>
      </c>
      <c r="L33">
        <f>_xlfn.XLOOKUP(K33,[1]Inventory!$A$2:$A$501,[1]Inventory!$D$2:$D$501)</f>
        <v>339</v>
      </c>
      <c r="M33">
        <f>_xlfn.XLOOKUP(K33,[1]Inventory!$A$2:$A$501,[1]Inventory!$E$2:$E$501)</f>
        <v>176</v>
      </c>
      <c r="N33" t="str">
        <f>_xlfn.XLOOKUP([1]Transactions!C33,[1]Customers!$A$2:$A$201,[1]Customers!$G$2:$G$201)</f>
        <v>Rajasthan</v>
      </c>
      <c r="O33" t="str">
        <f>_xlfn.XLOOKUP(C33,[1]Customers!$A$2:$A$201,[1]Customers!$H$2:$H$201)</f>
        <v>North</v>
      </c>
      <c r="P33" t="str">
        <f>_xlfn.XLOOKUP(C33,[1]Customers!$A$2:$A$201,[1]Customers!$F$2:$F$201)</f>
        <v>Jaipur</v>
      </c>
      <c r="Q33">
        <f>_xlfn.XLOOKUP(C33,[1]Customers!$A$2:$A$201,[1]Customers!$D$2:$D$201)</f>
        <v>26</v>
      </c>
      <c r="R33" t="str">
        <f>_xlfn.XLOOKUP([1]Transactions!C33,[1]Customers!$A$2:$A$201,[1]Customers!$C$2:$C$201)</f>
        <v>Female</v>
      </c>
      <c r="S33" t="str">
        <f>_xlfn.XLOOKUP(C33,[1]Customers!$A$2:$A$201,[1]Customers!$B$2:$B$201)</f>
        <v>Customer_150</v>
      </c>
      <c r="T33" t="str">
        <f>_xlfn.XLOOKUP(D33,[1]Products!$A$2:$A$101,[1]Products!$C$2:$C$101)</f>
        <v>Grocery</v>
      </c>
      <c r="U33">
        <f>_xlfn.XLOOKUP(D33,[1]Products!$A$2:$A$101,[1]Products!$E$2:$E$101)</f>
        <v>441</v>
      </c>
      <c r="V33">
        <f>[1]Transactions!F33*[1]Transactions!U33</f>
        <v>2205</v>
      </c>
    </row>
    <row r="34" spans="1:22" x14ac:dyDescent="0.3">
      <c r="A34">
        <v>33</v>
      </c>
      <c r="B34">
        <v>61</v>
      </c>
      <c r="C34">
        <v>144</v>
      </c>
      <c r="D34">
        <v>65</v>
      </c>
      <c r="E34">
        <v>14</v>
      </c>
      <c r="F34">
        <v>1</v>
      </c>
      <c r="G34">
        <v>26</v>
      </c>
      <c r="H34">
        <v>26</v>
      </c>
      <c r="I34">
        <v>48</v>
      </c>
      <c r="J34">
        <f>[1]Transactions!F34*[1]Transactions!G34</f>
        <v>26</v>
      </c>
      <c r="K34">
        <f>_xlfn.XLOOKUP([1]Transactions!D34,[1]Inventory!$C$2:$C$501,[1]Inventory!$A$2:$A$501)</f>
        <v>175</v>
      </c>
      <c r="L34">
        <f>_xlfn.XLOOKUP(K34,[1]Inventory!$A$2:$A$501,[1]Inventory!$D$2:$D$501)</f>
        <v>111</v>
      </c>
      <c r="M34">
        <f>_xlfn.XLOOKUP(K34,[1]Inventory!$A$2:$A$501,[1]Inventory!$E$2:$E$501)</f>
        <v>27</v>
      </c>
      <c r="N34" t="str">
        <f>_xlfn.XLOOKUP([1]Transactions!C34,[1]Customers!$A$2:$A$201,[1]Customers!$G$2:$G$201)</f>
        <v>Gujarat</v>
      </c>
      <c r="O34" t="str">
        <f>_xlfn.XLOOKUP(C34,[1]Customers!$A$2:$A$201,[1]Customers!$H$2:$H$201)</f>
        <v>West</v>
      </c>
      <c r="P34" t="str">
        <f>_xlfn.XLOOKUP(C34,[1]Customers!$A$2:$A$201,[1]Customers!$F$2:$F$201)</f>
        <v>Ahmedabad</v>
      </c>
      <c r="Q34">
        <f>_xlfn.XLOOKUP(C34,[1]Customers!$A$2:$A$201,[1]Customers!$D$2:$D$201)</f>
        <v>53</v>
      </c>
      <c r="R34" t="str">
        <f>_xlfn.XLOOKUP([1]Transactions!C34,[1]Customers!$A$2:$A$201,[1]Customers!$C$2:$C$201)</f>
        <v>Male</v>
      </c>
      <c r="S34" t="str">
        <f>_xlfn.XLOOKUP(C34,[1]Customers!$A$2:$A$201,[1]Customers!$B$2:$B$201)</f>
        <v>Customer_144</v>
      </c>
      <c r="T34" t="str">
        <f>_xlfn.XLOOKUP(D34,[1]Products!$A$2:$A$101,[1]Products!$C$2:$C$101)</f>
        <v>Snacks</v>
      </c>
      <c r="U34">
        <f>_xlfn.XLOOKUP(D34,[1]Products!$A$2:$A$101,[1]Products!$E$2:$E$101)</f>
        <v>309</v>
      </c>
      <c r="V34">
        <f>[1]Transactions!F34*[1]Transactions!U34</f>
        <v>309</v>
      </c>
    </row>
    <row r="35" spans="1:22" x14ac:dyDescent="0.3">
      <c r="A35">
        <v>34</v>
      </c>
      <c r="B35">
        <v>94</v>
      </c>
      <c r="C35">
        <v>199</v>
      </c>
      <c r="D35">
        <v>46</v>
      </c>
      <c r="E35">
        <v>17</v>
      </c>
      <c r="F35">
        <v>4</v>
      </c>
      <c r="G35">
        <v>386</v>
      </c>
      <c r="H35">
        <v>1544</v>
      </c>
      <c r="I35">
        <v>60</v>
      </c>
      <c r="J35">
        <f>[1]Transactions!F35*[1]Transactions!G35</f>
        <v>1544</v>
      </c>
      <c r="K35">
        <f>_xlfn.XLOOKUP([1]Transactions!D35,[1]Inventory!$C$2:$C$501,[1]Inventory!$A$2:$A$501)</f>
        <v>218</v>
      </c>
      <c r="L35">
        <f>_xlfn.XLOOKUP(K35,[1]Inventory!$A$2:$A$501,[1]Inventory!$D$2:$D$501)</f>
        <v>426</v>
      </c>
      <c r="M35">
        <f>_xlfn.XLOOKUP(K35,[1]Inventory!$A$2:$A$501,[1]Inventory!$E$2:$E$501)</f>
        <v>14</v>
      </c>
      <c r="N35" t="str">
        <f>_xlfn.XLOOKUP([1]Transactions!C35,[1]Customers!$A$2:$A$201,[1]Customers!$G$2:$G$201)</f>
        <v>West Bengal</v>
      </c>
      <c r="O35" t="str">
        <f>_xlfn.XLOOKUP(C35,[1]Customers!$A$2:$A$201,[1]Customers!$H$2:$H$201)</f>
        <v>East</v>
      </c>
      <c r="P35" t="str">
        <f>_xlfn.XLOOKUP(C35,[1]Customers!$A$2:$A$201,[1]Customers!$F$2:$F$201)</f>
        <v>Kolkata</v>
      </c>
      <c r="Q35">
        <f>_xlfn.XLOOKUP(C35,[1]Customers!$A$2:$A$201,[1]Customers!$D$2:$D$201)</f>
        <v>30</v>
      </c>
      <c r="R35" t="str">
        <f>_xlfn.XLOOKUP([1]Transactions!C35,[1]Customers!$A$2:$A$201,[1]Customers!$C$2:$C$201)</f>
        <v>Male</v>
      </c>
      <c r="S35" t="str">
        <f>_xlfn.XLOOKUP(C35,[1]Customers!$A$2:$A$201,[1]Customers!$B$2:$B$201)</f>
        <v>Customer_199</v>
      </c>
      <c r="T35" t="str">
        <f>_xlfn.XLOOKUP(D35,[1]Products!$A$2:$A$101,[1]Products!$C$2:$C$101)</f>
        <v>Personal Care</v>
      </c>
      <c r="U35">
        <f>_xlfn.XLOOKUP(D35,[1]Products!$A$2:$A$101,[1]Products!$E$2:$E$101)</f>
        <v>56</v>
      </c>
      <c r="V35">
        <f>[1]Transactions!F35*[1]Transactions!U35</f>
        <v>224</v>
      </c>
    </row>
    <row r="36" spans="1:22" x14ac:dyDescent="0.3">
      <c r="A36">
        <v>35</v>
      </c>
      <c r="B36">
        <v>107</v>
      </c>
      <c r="C36">
        <v>154</v>
      </c>
      <c r="D36">
        <v>52</v>
      </c>
      <c r="E36">
        <v>40</v>
      </c>
      <c r="F36">
        <v>1</v>
      </c>
      <c r="G36">
        <v>352</v>
      </c>
      <c r="H36">
        <v>352</v>
      </c>
      <c r="I36">
        <v>59</v>
      </c>
      <c r="J36">
        <f>[1]Transactions!F36*[1]Transactions!G36</f>
        <v>352</v>
      </c>
      <c r="K36">
        <f>_xlfn.XLOOKUP([1]Transactions!D36,[1]Inventory!$C$2:$C$501,[1]Inventory!$A$2:$A$501)</f>
        <v>2</v>
      </c>
      <c r="L36">
        <f>_xlfn.XLOOKUP(K36,[1]Inventory!$A$2:$A$501,[1]Inventory!$D$2:$D$501)</f>
        <v>420</v>
      </c>
      <c r="M36">
        <f>_xlfn.XLOOKUP(K36,[1]Inventory!$A$2:$A$501,[1]Inventory!$E$2:$E$501)</f>
        <v>29</v>
      </c>
      <c r="N36" t="str">
        <f>_xlfn.XLOOKUP([1]Transactions!C36,[1]Customers!$A$2:$A$201,[1]Customers!$G$2:$G$201)</f>
        <v>Rajasthan</v>
      </c>
      <c r="O36" t="str">
        <f>_xlfn.XLOOKUP(C36,[1]Customers!$A$2:$A$201,[1]Customers!$H$2:$H$201)</f>
        <v>North</v>
      </c>
      <c r="P36" t="str">
        <f>_xlfn.XLOOKUP(C36,[1]Customers!$A$2:$A$201,[1]Customers!$F$2:$F$201)</f>
        <v>Jaipur</v>
      </c>
      <c r="Q36">
        <f>_xlfn.XLOOKUP(C36,[1]Customers!$A$2:$A$201,[1]Customers!$D$2:$D$201)</f>
        <v>18</v>
      </c>
      <c r="R36" t="str">
        <f>_xlfn.XLOOKUP([1]Transactions!C36,[1]Customers!$A$2:$A$201,[1]Customers!$C$2:$C$201)</f>
        <v>Female</v>
      </c>
      <c r="S36" t="str">
        <f>_xlfn.XLOOKUP(C36,[1]Customers!$A$2:$A$201,[1]Customers!$B$2:$B$201)</f>
        <v>Customer_154</v>
      </c>
      <c r="T36" t="str">
        <f>_xlfn.XLOOKUP(D36,[1]Products!$A$2:$A$101,[1]Products!$C$2:$C$101)</f>
        <v>Dairy</v>
      </c>
      <c r="U36">
        <f>_xlfn.XLOOKUP(D36,[1]Products!$A$2:$A$101,[1]Products!$E$2:$E$101)</f>
        <v>257</v>
      </c>
      <c r="V36">
        <f>[1]Transactions!F36*[1]Transactions!U36</f>
        <v>257</v>
      </c>
    </row>
    <row r="37" spans="1:22" x14ac:dyDescent="0.3">
      <c r="A37">
        <v>36</v>
      </c>
      <c r="B37">
        <v>34</v>
      </c>
      <c r="C37">
        <v>126</v>
      </c>
      <c r="D37">
        <v>23</v>
      </c>
      <c r="E37">
        <v>8</v>
      </c>
      <c r="F37">
        <v>1</v>
      </c>
      <c r="G37">
        <v>367</v>
      </c>
      <c r="H37">
        <v>367</v>
      </c>
      <c r="I37">
        <v>26</v>
      </c>
      <c r="J37">
        <f>[1]Transactions!F37*[1]Transactions!G37</f>
        <v>367</v>
      </c>
      <c r="K37">
        <f>_xlfn.XLOOKUP([1]Transactions!D37,[1]Inventory!$C$2:$C$501,[1]Inventory!$A$2:$A$501)</f>
        <v>127</v>
      </c>
      <c r="L37">
        <f>_xlfn.XLOOKUP(K37,[1]Inventory!$A$2:$A$501,[1]Inventory!$D$2:$D$501)</f>
        <v>144</v>
      </c>
      <c r="M37">
        <f>_xlfn.XLOOKUP(K37,[1]Inventory!$A$2:$A$501,[1]Inventory!$E$2:$E$501)</f>
        <v>95</v>
      </c>
      <c r="N37" t="str">
        <f>_xlfn.XLOOKUP([1]Transactions!C37,[1]Customers!$A$2:$A$201,[1]Customers!$G$2:$G$201)</f>
        <v>Tamil Nadu</v>
      </c>
      <c r="O37" t="str">
        <f>_xlfn.XLOOKUP(C37,[1]Customers!$A$2:$A$201,[1]Customers!$H$2:$H$201)</f>
        <v>South</v>
      </c>
      <c r="P37" t="str">
        <f>_xlfn.XLOOKUP(C37,[1]Customers!$A$2:$A$201,[1]Customers!$F$2:$F$201)</f>
        <v>Chennai</v>
      </c>
      <c r="Q37">
        <f>_xlfn.XLOOKUP(C37,[1]Customers!$A$2:$A$201,[1]Customers!$D$2:$D$201)</f>
        <v>52</v>
      </c>
      <c r="R37" t="str">
        <f>_xlfn.XLOOKUP([1]Transactions!C37,[1]Customers!$A$2:$A$201,[1]Customers!$C$2:$C$201)</f>
        <v>Female</v>
      </c>
      <c r="S37" t="str">
        <f>_xlfn.XLOOKUP(C37,[1]Customers!$A$2:$A$201,[1]Customers!$B$2:$B$201)</f>
        <v>Customer_126</v>
      </c>
      <c r="T37" t="str">
        <f>_xlfn.XLOOKUP(D37,[1]Products!$A$2:$A$101,[1]Products!$C$2:$C$101)</f>
        <v>Grocery</v>
      </c>
      <c r="U37">
        <f>_xlfn.XLOOKUP(D37,[1]Products!$A$2:$A$101,[1]Products!$E$2:$E$101)</f>
        <v>370</v>
      </c>
      <c r="V37">
        <f>[1]Transactions!F37*[1]Transactions!U37</f>
        <v>370</v>
      </c>
    </row>
    <row r="38" spans="1:22" x14ac:dyDescent="0.3">
      <c r="A38">
        <v>37</v>
      </c>
      <c r="B38">
        <v>44</v>
      </c>
      <c r="C38">
        <v>86</v>
      </c>
      <c r="D38">
        <v>73</v>
      </c>
      <c r="E38">
        <v>16</v>
      </c>
      <c r="F38">
        <v>4</v>
      </c>
      <c r="G38">
        <v>131</v>
      </c>
      <c r="H38">
        <v>524</v>
      </c>
      <c r="I38">
        <v>49</v>
      </c>
      <c r="J38">
        <f>[1]Transactions!F38*[1]Transactions!G38</f>
        <v>524</v>
      </c>
      <c r="K38">
        <f>_xlfn.XLOOKUP([1]Transactions!D38,[1]Inventory!$C$2:$C$501,[1]Inventory!$A$2:$A$501)</f>
        <v>18</v>
      </c>
      <c r="L38">
        <f>_xlfn.XLOOKUP(K38,[1]Inventory!$A$2:$A$501,[1]Inventory!$D$2:$D$501)</f>
        <v>120</v>
      </c>
      <c r="M38">
        <f>_xlfn.XLOOKUP(K38,[1]Inventory!$A$2:$A$501,[1]Inventory!$E$2:$E$501)</f>
        <v>107</v>
      </c>
      <c r="N38" t="str">
        <f>_xlfn.XLOOKUP([1]Transactions!C38,[1]Customers!$A$2:$A$201,[1]Customers!$G$2:$G$201)</f>
        <v>Rajasthan</v>
      </c>
      <c r="O38" t="str">
        <f>_xlfn.XLOOKUP(C38,[1]Customers!$A$2:$A$201,[1]Customers!$H$2:$H$201)</f>
        <v>North</v>
      </c>
      <c r="P38" t="str">
        <f>_xlfn.XLOOKUP(C38,[1]Customers!$A$2:$A$201,[1]Customers!$F$2:$F$201)</f>
        <v>Jaipur</v>
      </c>
      <c r="Q38">
        <f>_xlfn.XLOOKUP(C38,[1]Customers!$A$2:$A$201,[1]Customers!$D$2:$D$201)</f>
        <v>50</v>
      </c>
      <c r="R38" t="str">
        <f>_xlfn.XLOOKUP([1]Transactions!C38,[1]Customers!$A$2:$A$201,[1]Customers!$C$2:$C$201)</f>
        <v>Female</v>
      </c>
      <c r="S38" t="str">
        <f>_xlfn.XLOOKUP(C38,[1]Customers!$A$2:$A$201,[1]Customers!$B$2:$B$201)</f>
        <v>Customer_86</v>
      </c>
      <c r="T38" t="str">
        <f>_xlfn.XLOOKUP(D38,[1]Products!$A$2:$A$101,[1]Products!$C$2:$C$101)</f>
        <v>Beverages</v>
      </c>
      <c r="U38">
        <f>_xlfn.XLOOKUP(D38,[1]Products!$A$2:$A$101,[1]Products!$E$2:$E$101)</f>
        <v>55</v>
      </c>
      <c r="V38">
        <f>[1]Transactions!F38*[1]Transactions!U38</f>
        <v>220</v>
      </c>
    </row>
    <row r="39" spans="1:22" x14ac:dyDescent="0.3">
      <c r="A39">
        <v>38</v>
      </c>
      <c r="B39">
        <v>114</v>
      </c>
      <c r="C39">
        <v>129</v>
      </c>
      <c r="D39">
        <v>58</v>
      </c>
      <c r="E39">
        <v>13</v>
      </c>
      <c r="F39">
        <v>5</v>
      </c>
      <c r="G39">
        <v>99</v>
      </c>
      <c r="H39">
        <v>495</v>
      </c>
      <c r="I39">
        <v>60</v>
      </c>
      <c r="J39">
        <f>[1]Transactions!F39*[1]Transactions!G39</f>
        <v>495</v>
      </c>
      <c r="K39">
        <f>_xlfn.XLOOKUP([1]Transactions!D39,[1]Inventory!$C$2:$C$501,[1]Inventory!$A$2:$A$501)</f>
        <v>382</v>
      </c>
      <c r="L39">
        <f>_xlfn.XLOOKUP(K39,[1]Inventory!$A$2:$A$501,[1]Inventory!$D$2:$D$501)</f>
        <v>113</v>
      </c>
      <c r="M39">
        <f>_xlfn.XLOOKUP(K39,[1]Inventory!$A$2:$A$501,[1]Inventory!$E$2:$E$501)</f>
        <v>1</v>
      </c>
      <c r="N39" t="str">
        <f>_xlfn.XLOOKUP([1]Transactions!C39,[1]Customers!$A$2:$A$201,[1]Customers!$G$2:$G$201)</f>
        <v>Maharashtra</v>
      </c>
      <c r="O39" t="str">
        <f>_xlfn.XLOOKUP(C39,[1]Customers!$A$2:$A$201,[1]Customers!$H$2:$H$201)</f>
        <v>West</v>
      </c>
      <c r="P39" t="str">
        <f>_xlfn.XLOOKUP(C39,[1]Customers!$A$2:$A$201,[1]Customers!$F$2:$F$201)</f>
        <v>Pune</v>
      </c>
      <c r="Q39">
        <f>_xlfn.XLOOKUP(C39,[1]Customers!$A$2:$A$201,[1]Customers!$D$2:$D$201)</f>
        <v>59</v>
      </c>
      <c r="R39" t="str">
        <f>_xlfn.XLOOKUP([1]Transactions!C39,[1]Customers!$A$2:$A$201,[1]Customers!$C$2:$C$201)</f>
        <v>Male</v>
      </c>
      <c r="S39" t="str">
        <f>_xlfn.XLOOKUP(C39,[1]Customers!$A$2:$A$201,[1]Customers!$B$2:$B$201)</f>
        <v>Customer_129</v>
      </c>
      <c r="T39" t="str">
        <f>_xlfn.XLOOKUP(D39,[1]Products!$A$2:$A$101,[1]Products!$C$2:$C$101)</f>
        <v>Beverages</v>
      </c>
      <c r="U39">
        <f>_xlfn.XLOOKUP(D39,[1]Products!$A$2:$A$101,[1]Products!$E$2:$E$101)</f>
        <v>426</v>
      </c>
      <c r="V39">
        <f>[1]Transactions!F39*[1]Transactions!U39</f>
        <v>2130</v>
      </c>
    </row>
    <row r="40" spans="1:22" x14ac:dyDescent="0.3">
      <c r="A40">
        <v>39</v>
      </c>
      <c r="B40">
        <v>88</v>
      </c>
      <c r="C40">
        <v>66</v>
      </c>
      <c r="D40">
        <v>84</v>
      </c>
      <c r="E40">
        <v>5</v>
      </c>
      <c r="F40">
        <v>1</v>
      </c>
      <c r="G40">
        <v>326</v>
      </c>
      <c r="H40">
        <v>326</v>
      </c>
      <c r="I40">
        <v>60</v>
      </c>
      <c r="J40">
        <f>[1]Transactions!F40*[1]Transactions!G40</f>
        <v>326</v>
      </c>
      <c r="K40">
        <f>_xlfn.XLOOKUP([1]Transactions!D40,[1]Inventory!$C$2:$C$501,[1]Inventory!$A$2:$A$501)</f>
        <v>303</v>
      </c>
      <c r="L40">
        <f>_xlfn.XLOOKUP(K40,[1]Inventory!$A$2:$A$501,[1]Inventory!$D$2:$D$501)</f>
        <v>293</v>
      </c>
      <c r="M40">
        <f>_xlfn.XLOOKUP(K40,[1]Inventory!$A$2:$A$501,[1]Inventory!$E$2:$E$501)</f>
        <v>69</v>
      </c>
      <c r="N40" t="str">
        <f>_xlfn.XLOOKUP([1]Transactions!C40,[1]Customers!$A$2:$A$201,[1]Customers!$G$2:$G$201)</f>
        <v>Delhi</v>
      </c>
      <c r="O40" t="str">
        <f>_xlfn.XLOOKUP(C40,[1]Customers!$A$2:$A$201,[1]Customers!$H$2:$H$201)</f>
        <v>North</v>
      </c>
      <c r="P40" t="str">
        <f>_xlfn.XLOOKUP(C40,[1]Customers!$A$2:$A$201,[1]Customers!$F$2:$F$201)</f>
        <v>Delhi</v>
      </c>
      <c r="Q40">
        <f>_xlfn.XLOOKUP(C40,[1]Customers!$A$2:$A$201,[1]Customers!$D$2:$D$201)</f>
        <v>38</v>
      </c>
      <c r="R40" t="str">
        <f>_xlfn.XLOOKUP([1]Transactions!C40,[1]Customers!$A$2:$A$201,[1]Customers!$C$2:$C$201)</f>
        <v>Female</v>
      </c>
      <c r="S40" t="str">
        <f>_xlfn.XLOOKUP(C40,[1]Customers!$A$2:$A$201,[1]Customers!$B$2:$B$201)</f>
        <v>Customer_66</v>
      </c>
      <c r="T40" t="str">
        <f>_xlfn.XLOOKUP(D40,[1]Products!$A$2:$A$101,[1]Products!$C$2:$C$101)</f>
        <v>Grocery</v>
      </c>
      <c r="U40">
        <f>_xlfn.XLOOKUP(D40,[1]Products!$A$2:$A$101,[1]Products!$E$2:$E$101)</f>
        <v>249</v>
      </c>
      <c r="V40">
        <f>[1]Transactions!F40*[1]Transactions!U40</f>
        <v>249</v>
      </c>
    </row>
    <row r="41" spans="1:22" x14ac:dyDescent="0.3">
      <c r="A41">
        <v>40</v>
      </c>
      <c r="B41">
        <v>8</v>
      </c>
      <c r="C41">
        <v>200</v>
      </c>
      <c r="D41">
        <v>31</v>
      </c>
      <c r="E41">
        <v>44</v>
      </c>
      <c r="F41">
        <v>5</v>
      </c>
      <c r="G41">
        <v>345</v>
      </c>
      <c r="H41">
        <v>1725</v>
      </c>
      <c r="I41">
        <v>32</v>
      </c>
      <c r="J41">
        <f>[1]Transactions!F41*[1]Transactions!G41</f>
        <v>1725</v>
      </c>
      <c r="K41">
        <f>_xlfn.XLOOKUP([1]Transactions!D41,[1]Inventory!$C$2:$C$501,[1]Inventory!$A$2:$A$501)</f>
        <v>61</v>
      </c>
      <c r="L41">
        <f>_xlfn.XLOOKUP(K41,[1]Inventory!$A$2:$A$501,[1]Inventory!$D$2:$D$501)</f>
        <v>342</v>
      </c>
      <c r="M41">
        <f>_xlfn.XLOOKUP(K41,[1]Inventory!$A$2:$A$501,[1]Inventory!$E$2:$E$501)</f>
        <v>35</v>
      </c>
      <c r="N41" t="str">
        <f>_xlfn.XLOOKUP([1]Transactions!C41,[1]Customers!$A$2:$A$201,[1]Customers!$G$2:$G$201)</f>
        <v>Maharashtra</v>
      </c>
      <c r="O41" t="str">
        <f>_xlfn.XLOOKUP(C41,[1]Customers!$A$2:$A$201,[1]Customers!$H$2:$H$201)</f>
        <v>West</v>
      </c>
      <c r="P41" t="str">
        <f>_xlfn.XLOOKUP(C41,[1]Customers!$A$2:$A$201,[1]Customers!$F$2:$F$201)</f>
        <v>Mumbai</v>
      </c>
      <c r="Q41">
        <f>_xlfn.XLOOKUP(C41,[1]Customers!$A$2:$A$201,[1]Customers!$D$2:$D$201)</f>
        <v>57</v>
      </c>
      <c r="R41" t="str">
        <f>_xlfn.XLOOKUP([1]Transactions!C41,[1]Customers!$A$2:$A$201,[1]Customers!$C$2:$C$201)</f>
        <v>Female</v>
      </c>
      <c r="S41" t="str">
        <f>_xlfn.XLOOKUP(C41,[1]Customers!$A$2:$A$201,[1]Customers!$B$2:$B$201)</f>
        <v>Customer_200</v>
      </c>
      <c r="T41" t="str">
        <f>_xlfn.XLOOKUP(D41,[1]Products!$A$2:$A$101,[1]Products!$C$2:$C$101)</f>
        <v>Grocery</v>
      </c>
      <c r="U41">
        <f>_xlfn.XLOOKUP(D41,[1]Products!$A$2:$A$101,[1]Products!$E$2:$E$101)</f>
        <v>254</v>
      </c>
      <c r="V41">
        <f>[1]Transactions!F41*[1]Transactions!U41</f>
        <v>1270</v>
      </c>
    </row>
    <row r="42" spans="1:22" x14ac:dyDescent="0.3">
      <c r="A42">
        <v>41</v>
      </c>
      <c r="B42">
        <v>177</v>
      </c>
      <c r="C42">
        <v>175</v>
      </c>
      <c r="D42">
        <v>48</v>
      </c>
      <c r="E42">
        <v>48</v>
      </c>
      <c r="F42">
        <v>2</v>
      </c>
      <c r="G42">
        <v>414</v>
      </c>
      <c r="H42">
        <v>828</v>
      </c>
      <c r="I42">
        <v>41</v>
      </c>
      <c r="J42">
        <f>[1]Transactions!F42*[1]Transactions!G42</f>
        <v>828</v>
      </c>
      <c r="K42">
        <f>_xlfn.XLOOKUP([1]Transactions!D42,[1]Inventory!$C$2:$C$501,[1]Inventory!$A$2:$A$501)</f>
        <v>86</v>
      </c>
      <c r="L42">
        <f>_xlfn.XLOOKUP(K42,[1]Inventory!$A$2:$A$501,[1]Inventory!$D$2:$D$501)</f>
        <v>310</v>
      </c>
      <c r="M42">
        <f>_xlfn.XLOOKUP(K42,[1]Inventory!$A$2:$A$501,[1]Inventory!$E$2:$E$501)</f>
        <v>76</v>
      </c>
      <c r="N42" t="str">
        <f>_xlfn.XLOOKUP([1]Transactions!C42,[1]Customers!$A$2:$A$201,[1]Customers!$G$2:$G$201)</f>
        <v>Karnataka</v>
      </c>
      <c r="O42" t="str">
        <f>_xlfn.XLOOKUP(C42,[1]Customers!$A$2:$A$201,[1]Customers!$H$2:$H$201)</f>
        <v>South</v>
      </c>
      <c r="P42" t="str">
        <f>_xlfn.XLOOKUP(C42,[1]Customers!$A$2:$A$201,[1]Customers!$F$2:$F$201)</f>
        <v>Bangalore</v>
      </c>
      <c r="Q42">
        <f>_xlfn.XLOOKUP(C42,[1]Customers!$A$2:$A$201,[1]Customers!$D$2:$D$201)</f>
        <v>40</v>
      </c>
      <c r="R42" t="str">
        <f>_xlfn.XLOOKUP([1]Transactions!C42,[1]Customers!$A$2:$A$201,[1]Customers!$C$2:$C$201)</f>
        <v>Male</v>
      </c>
      <c r="S42" t="str">
        <f>_xlfn.XLOOKUP(C42,[1]Customers!$A$2:$A$201,[1]Customers!$B$2:$B$201)</f>
        <v>Customer_175</v>
      </c>
      <c r="T42" t="str">
        <f>_xlfn.XLOOKUP(D42,[1]Products!$A$2:$A$101,[1]Products!$C$2:$C$101)</f>
        <v>Snacks</v>
      </c>
      <c r="U42">
        <f>_xlfn.XLOOKUP(D42,[1]Products!$A$2:$A$101,[1]Products!$E$2:$E$101)</f>
        <v>315</v>
      </c>
      <c r="V42">
        <f>[1]Transactions!F42*[1]Transactions!U42</f>
        <v>630</v>
      </c>
    </row>
    <row r="43" spans="1:22" x14ac:dyDescent="0.3">
      <c r="A43">
        <v>42</v>
      </c>
      <c r="B43">
        <v>154</v>
      </c>
      <c r="C43">
        <v>150</v>
      </c>
      <c r="D43">
        <v>94</v>
      </c>
      <c r="E43">
        <v>12</v>
      </c>
      <c r="F43">
        <v>5</v>
      </c>
      <c r="G43">
        <v>253</v>
      </c>
      <c r="H43">
        <v>1265</v>
      </c>
      <c r="I43">
        <v>17</v>
      </c>
      <c r="J43">
        <f>[1]Transactions!F43*[1]Transactions!G43</f>
        <v>1265</v>
      </c>
      <c r="K43">
        <f>_xlfn.XLOOKUP([1]Transactions!D43,[1]Inventory!$C$2:$C$501,[1]Inventory!$A$2:$A$501)</f>
        <v>6</v>
      </c>
      <c r="L43">
        <f>_xlfn.XLOOKUP(K43,[1]Inventory!$A$2:$A$501,[1]Inventory!$D$2:$D$501)</f>
        <v>395</v>
      </c>
      <c r="M43">
        <f>_xlfn.XLOOKUP(K43,[1]Inventory!$A$2:$A$501,[1]Inventory!$E$2:$E$501)</f>
        <v>100</v>
      </c>
      <c r="N43" t="str">
        <f>_xlfn.XLOOKUP([1]Transactions!C43,[1]Customers!$A$2:$A$201,[1]Customers!$G$2:$G$201)</f>
        <v>Rajasthan</v>
      </c>
      <c r="O43" t="str">
        <f>_xlfn.XLOOKUP(C43,[1]Customers!$A$2:$A$201,[1]Customers!$H$2:$H$201)</f>
        <v>North</v>
      </c>
      <c r="P43" t="str">
        <f>_xlfn.XLOOKUP(C43,[1]Customers!$A$2:$A$201,[1]Customers!$F$2:$F$201)</f>
        <v>Jaipur</v>
      </c>
      <c r="Q43">
        <f>_xlfn.XLOOKUP(C43,[1]Customers!$A$2:$A$201,[1]Customers!$D$2:$D$201)</f>
        <v>26</v>
      </c>
      <c r="R43" t="str">
        <f>_xlfn.XLOOKUP([1]Transactions!C43,[1]Customers!$A$2:$A$201,[1]Customers!$C$2:$C$201)</f>
        <v>Female</v>
      </c>
      <c r="S43" t="str">
        <f>_xlfn.XLOOKUP(C43,[1]Customers!$A$2:$A$201,[1]Customers!$B$2:$B$201)</f>
        <v>Customer_150</v>
      </c>
      <c r="T43" t="str">
        <f>_xlfn.XLOOKUP(D43,[1]Products!$A$2:$A$101,[1]Products!$C$2:$C$101)</f>
        <v>Grocery</v>
      </c>
      <c r="U43">
        <f>_xlfn.XLOOKUP(D43,[1]Products!$A$2:$A$101,[1]Products!$E$2:$E$101)</f>
        <v>234</v>
      </c>
      <c r="V43">
        <f>[1]Transactions!F43*[1]Transactions!U43</f>
        <v>1170</v>
      </c>
    </row>
    <row r="44" spans="1:22" x14ac:dyDescent="0.3">
      <c r="A44">
        <v>43</v>
      </c>
      <c r="B44">
        <v>79</v>
      </c>
      <c r="C44">
        <v>155</v>
      </c>
      <c r="D44">
        <v>94</v>
      </c>
      <c r="E44">
        <v>1</v>
      </c>
      <c r="F44">
        <v>1</v>
      </c>
      <c r="G44">
        <v>93</v>
      </c>
      <c r="H44">
        <v>93</v>
      </c>
      <c r="I44">
        <v>16</v>
      </c>
      <c r="J44">
        <f>[1]Transactions!F44*[1]Transactions!G44</f>
        <v>93</v>
      </c>
      <c r="K44">
        <f>_xlfn.XLOOKUP([1]Transactions!D44,[1]Inventory!$C$2:$C$501,[1]Inventory!$A$2:$A$501)</f>
        <v>6</v>
      </c>
      <c r="L44">
        <f>_xlfn.XLOOKUP(K44,[1]Inventory!$A$2:$A$501,[1]Inventory!$D$2:$D$501)</f>
        <v>395</v>
      </c>
      <c r="M44">
        <f>_xlfn.XLOOKUP(K44,[1]Inventory!$A$2:$A$501,[1]Inventory!$E$2:$E$501)</f>
        <v>100</v>
      </c>
      <c r="N44" t="str">
        <f>_xlfn.XLOOKUP([1]Transactions!C44,[1]Customers!$A$2:$A$201,[1]Customers!$G$2:$G$201)</f>
        <v>UP</v>
      </c>
      <c r="O44" t="str">
        <f>_xlfn.XLOOKUP(C44,[1]Customers!$A$2:$A$201,[1]Customers!$H$2:$H$201)</f>
        <v>North</v>
      </c>
      <c r="P44" t="str">
        <f>_xlfn.XLOOKUP(C44,[1]Customers!$A$2:$A$201,[1]Customers!$F$2:$F$201)</f>
        <v>Lucknow</v>
      </c>
      <c r="Q44">
        <f>_xlfn.XLOOKUP(C44,[1]Customers!$A$2:$A$201,[1]Customers!$D$2:$D$201)</f>
        <v>29</v>
      </c>
      <c r="R44" t="str">
        <f>_xlfn.XLOOKUP([1]Transactions!C44,[1]Customers!$A$2:$A$201,[1]Customers!$C$2:$C$201)</f>
        <v>Female</v>
      </c>
      <c r="S44" t="str">
        <f>_xlfn.XLOOKUP(C44,[1]Customers!$A$2:$A$201,[1]Customers!$B$2:$B$201)</f>
        <v>Customer_155</v>
      </c>
      <c r="T44" t="str">
        <f>_xlfn.XLOOKUP(D44,[1]Products!$A$2:$A$101,[1]Products!$C$2:$C$101)</f>
        <v>Grocery</v>
      </c>
      <c r="U44">
        <f>_xlfn.XLOOKUP(D44,[1]Products!$A$2:$A$101,[1]Products!$E$2:$E$101)</f>
        <v>234</v>
      </c>
      <c r="V44">
        <f>[1]Transactions!F44*[1]Transactions!U44</f>
        <v>234</v>
      </c>
    </row>
    <row r="45" spans="1:22" x14ac:dyDescent="0.3">
      <c r="A45">
        <v>44</v>
      </c>
      <c r="B45">
        <v>114</v>
      </c>
      <c r="C45">
        <v>104</v>
      </c>
      <c r="D45">
        <v>69</v>
      </c>
      <c r="E45">
        <v>8</v>
      </c>
      <c r="F45">
        <v>4</v>
      </c>
      <c r="G45">
        <v>258</v>
      </c>
      <c r="H45">
        <v>1032</v>
      </c>
      <c r="I45">
        <v>32</v>
      </c>
      <c r="J45">
        <f>[1]Transactions!F45*[1]Transactions!G45</f>
        <v>1032</v>
      </c>
      <c r="K45">
        <f>_xlfn.XLOOKUP([1]Transactions!D45,[1]Inventory!$C$2:$C$501,[1]Inventory!$A$2:$A$501)</f>
        <v>15</v>
      </c>
      <c r="L45">
        <f>_xlfn.XLOOKUP(K45,[1]Inventory!$A$2:$A$501,[1]Inventory!$D$2:$D$501)</f>
        <v>190</v>
      </c>
      <c r="M45">
        <f>_xlfn.XLOOKUP(K45,[1]Inventory!$A$2:$A$501,[1]Inventory!$E$2:$E$501)</f>
        <v>91</v>
      </c>
      <c r="N45" t="str">
        <f>_xlfn.XLOOKUP([1]Transactions!C45,[1]Customers!$A$2:$A$201,[1]Customers!$G$2:$G$201)</f>
        <v>Gujarat</v>
      </c>
      <c r="O45" t="str">
        <f>_xlfn.XLOOKUP(C45,[1]Customers!$A$2:$A$201,[1]Customers!$H$2:$H$201)</f>
        <v>West</v>
      </c>
      <c r="P45" t="str">
        <f>_xlfn.XLOOKUP(C45,[1]Customers!$A$2:$A$201,[1]Customers!$F$2:$F$201)</f>
        <v>Ahmedabad</v>
      </c>
      <c r="Q45">
        <f>_xlfn.XLOOKUP(C45,[1]Customers!$A$2:$A$201,[1]Customers!$D$2:$D$201)</f>
        <v>44</v>
      </c>
      <c r="R45" t="str">
        <f>_xlfn.XLOOKUP([1]Transactions!C45,[1]Customers!$A$2:$A$201,[1]Customers!$C$2:$C$201)</f>
        <v>Male</v>
      </c>
      <c r="S45" t="str">
        <f>_xlfn.XLOOKUP(C45,[1]Customers!$A$2:$A$201,[1]Customers!$B$2:$B$201)</f>
        <v>Customer_104</v>
      </c>
      <c r="T45" t="str">
        <f>_xlfn.XLOOKUP(D45,[1]Products!$A$2:$A$101,[1]Products!$C$2:$C$101)</f>
        <v>Grocery</v>
      </c>
      <c r="U45">
        <f>_xlfn.XLOOKUP(D45,[1]Products!$A$2:$A$101,[1]Products!$E$2:$E$101)</f>
        <v>460</v>
      </c>
      <c r="V45">
        <f>[1]Transactions!F45*[1]Transactions!U45</f>
        <v>1840</v>
      </c>
    </row>
    <row r="46" spans="1:22" x14ac:dyDescent="0.3">
      <c r="A46">
        <v>45</v>
      </c>
      <c r="B46">
        <v>19</v>
      </c>
      <c r="C46">
        <v>62</v>
      </c>
      <c r="D46">
        <v>16</v>
      </c>
      <c r="E46">
        <v>36</v>
      </c>
      <c r="F46">
        <v>5</v>
      </c>
      <c r="G46">
        <v>500</v>
      </c>
      <c r="H46">
        <v>2500</v>
      </c>
      <c r="I46">
        <v>57</v>
      </c>
      <c r="J46">
        <f>[1]Transactions!F46*[1]Transactions!G46</f>
        <v>2500</v>
      </c>
      <c r="K46">
        <f>_xlfn.XLOOKUP([1]Transactions!D46,[1]Inventory!$C$2:$C$501,[1]Inventory!$A$2:$A$501)</f>
        <v>42</v>
      </c>
      <c r="L46">
        <f>_xlfn.XLOOKUP(K46,[1]Inventory!$A$2:$A$501,[1]Inventory!$D$2:$D$501)</f>
        <v>76</v>
      </c>
      <c r="M46">
        <f>_xlfn.XLOOKUP(K46,[1]Inventory!$A$2:$A$501,[1]Inventory!$E$2:$E$501)</f>
        <v>109</v>
      </c>
      <c r="N46" t="str">
        <f>_xlfn.XLOOKUP([1]Transactions!C46,[1]Customers!$A$2:$A$201,[1]Customers!$G$2:$G$201)</f>
        <v>Telangana</v>
      </c>
      <c r="O46" t="str">
        <f>_xlfn.XLOOKUP(C46,[1]Customers!$A$2:$A$201,[1]Customers!$H$2:$H$201)</f>
        <v>South</v>
      </c>
      <c r="P46" t="str">
        <f>_xlfn.XLOOKUP(C46,[1]Customers!$A$2:$A$201,[1]Customers!$F$2:$F$201)</f>
        <v>Hyderabad</v>
      </c>
      <c r="Q46">
        <f>_xlfn.XLOOKUP(C46,[1]Customers!$A$2:$A$201,[1]Customers!$D$2:$D$201)</f>
        <v>30</v>
      </c>
      <c r="R46" t="str">
        <f>_xlfn.XLOOKUP([1]Transactions!C46,[1]Customers!$A$2:$A$201,[1]Customers!$C$2:$C$201)</f>
        <v>Male</v>
      </c>
      <c r="S46" t="str">
        <f>_xlfn.XLOOKUP(C46,[1]Customers!$A$2:$A$201,[1]Customers!$B$2:$B$201)</f>
        <v>Customer_62</v>
      </c>
      <c r="T46" t="str">
        <f>_xlfn.XLOOKUP(D46,[1]Products!$A$2:$A$101,[1]Products!$C$2:$C$101)</f>
        <v>Beverages</v>
      </c>
      <c r="U46">
        <f>_xlfn.XLOOKUP(D46,[1]Products!$A$2:$A$101,[1]Products!$E$2:$E$101)</f>
        <v>440</v>
      </c>
      <c r="V46">
        <f>[1]Transactions!F46*[1]Transactions!U46</f>
        <v>2200</v>
      </c>
    </row>
    <row r="47" spans="1:22" x14ac:dyDescent="0.3">
      <c r="A47">
        <v>46</v>
      </c>
      <c r="B47">
        <v>1</v>
      </c>
      <c r="C47">
        <v>58</v>
      </c>
      <c r="D47">
        <v>46</v>
      </c>
      <c r="E47">
        <v>43</v>
      </c>
      <c r="F47">
        <v>2</v>
      </c>
      <c r="G47">
        <v>498</v>
      </c>
      <c r="H47">
        <v>996</v>
      </c>
      <c r="I47">
        <v>32</v>
      </c>
      <c r="J47">
        <f>[1]Transactions!F47*[1]Transactions!G47</f>
        <v>996</v>
      </c>
      <c r="K47">
        <f>_xlfn.XLOOKUP([1]Transactions!D47,[1]Inventory!$C$2:$C$501,[1]Inventory!$A$2:$A$501)</f>
        <v>218</v>
      </c>
      <c r="L47">
        <f>_xlfn.XLOOKUP(K47,[1]Inventory!$A$2:$A$501,[1]Inventory!$D$2:$D$501)</f>
        <v>426</v>
      </c>
      <c r="M47">
        <f>_xlfn.XLOOKUP(K47,[1]Inventory!$A$2:$A$501,[1]Inventory!$E$2:$E$501)</f>
        <v>14</v>
      </c>
      <c r="N47" t="str">
        <f>_xlfn.XLOOKUP([1]Transactions!C47,[1]Customers!$A$2:$A$201,[1]Customers!$G$2:$G$201)</f>
        <v>Gujarat</v>
      </c>
      <c r="O47" t="str">
        <f>_xlfn.XLOOKUP(C47,[1]Customers!$A$2:$A$201,[1]Customers!$H$2:$H$201)</f>
        <v>West</v>
      </c>
      <c r="P47" t="str">
        <f>_xlfn.XLOOKUP(C47,[1]Customers!$A$2:$A$201,[1]Customers!$F$2:$F$201)</f>
        <v>Ahmedabad</v>
      </c>
      <c r="Q47">
        <f>_xlfn.XLOOKUP(C47,[1]Customers!$A$2:$A$201,[1]Customers!$D$2:$D$201)</f>
        <v>34</v>
      </c>
      <c r="R47" t="str">
        <f>_xlfn.XLOOKUP([1]Transactions!C47,[1]Customers!$A$2:$A$201,[1]Customers!$C$2:$C$201)</f>
        <v>Male</v>
      </c>
      <c r="S47" t="str">
        <f>_xlfn.XLOOKUP(C47,[1]Customers!$A$2:$A$201,[1]Customers!$B$2:$B$201)</f>
        <v>Customer_58</v>
      </c>
      <c r="T47" t="str">
        <f>_xlfn.XLOOKUP(D47,[1]Products!$A$2:$A$101,[1]Products!$C$2:$C$101)</f>
        <v>Personal Care</v>
      </c>
      <c r="U47">
        <f>_xlfn.XLOOKUP(D47,[1]Products!$A$2:$A$101,[1]Products!$E$2:$E$101)</f>
        <v>56</v>
      </c>
      <c r="V47">
        <f>[1]Transactions!F47*[1]Transactions!U47</f>
        <v>112</v>
      </c>
    </row>
    <row r="48" spans="1:22" x14ac:dyDescent="0.3">
      <c r="A48">
        <v>47</v>
      </c>
      <c r="B48">
        <v>162</v>
      </c>
      <c r="C48">
        <v>146</v>
      </c>
      <c r="D48">
        <v>15</v>
      </c>
      <c r="E48">
        <v>1</v>
      </c>
      <c r="F48">
        <v>2</v>
      </c>
      <c r="G48">
        <v>292</v>
      </c>
      <c r="H48">
        <v>584</v>
      </c>
      <c r="I48">
        <v>52</v>
      </c>
      <c r="J48">
        <f>[1]Transactions!F48*[1]Transactions!G48</f>
        <v>584</v>
      </c>
      <c r="K48">
        <f>_xlfn.XLOOKUP([1]Transactions!D48,[1]Inventory!$C$2:$C$501,[1]Inventory!$A$2:$A$501)</f>
        <v>407</v>
      </c>
      <c r="L48">
        <f>_xlfn.XLOOKUP(K48,[1]Inventory!$A$2:$A$501,[1]Inventory!$D$2:$D$501)</f>
        <v>248</v>
      </c>
      <c r="M48">
        <f>_xlfn.XLOOKUP(K48,[1]Inventory!$A$2:$A$501,[1]Inventory!$E$2:$E$501)</f>
        <v>87</v>
      </c>
      <c r="N48" t="str">
        <f>_xlfn.XLOOKUP([1]Transactions!C48,[1]Customers!$A$2:$A$201,[1]Customers!$G$2:$G$201)</f>
        <v>Maharashtra</v>
      </c>
      <c r="O48" t="str">
        <f>_xlfn.XLOOKUP(C48,[1]Customers!$A$2:$A$201,[1]Customers!$H$2:$H$201)</f>
        <v>West</v>
      </c>
      <c r="P48" t="str">
        <f>_xlfn.XLOOKUP(C48,[1]Customers!$A$2:$A$201,[1]Customers!$F$2:$F$201)</f>
        <v>Mumbai</v>
      </c>
      <c r="Q48">
        <f>_xlfn.XLOOKUP(C48,[1]Customers!$A$2:$A$201,[1]Customers!$D$2:$D$201)</f>
        <v>27</v>
      </c>
      <c r="R48" t="str">
        <f>_xlfn.XLOOKUP([1]Transactions!C48,[1]Customers!$A$2:$A$201,[1]Customers!$C$2:$C$201)</f>
        <v>Male</v>
      </c>
      <c r="S48" t="str">
        <f>_xlfn.XLOOKUP(C48,[1]Customers!$A$2:$A$201,[1]Customers!$B$2:$B$201)</f>
        <v>Customer_146</v>
      </c>
      <c r="T48" t="str">
        <f>_xlfn.XLOOKUP(D48,[1]Products!$A$2:$A$101,[1]Products!$C$2:$C$101)</f>
        <v>Snacks</v>
      </c>
      <c r="U48">
        <f>_xlfn.XLOOKUP(D48,[1]Products!$A$2:$A$101,[1]Products!$E$2:$E$101)</f>
        <v>214</v>
      </c>
      <c r="V48">
        <f>[1]Transactions!F48*[1]Transactions!U48</f>
        <v>428</v>
      </c>
    </row>
    <row r="49" spans="1:22" x14ac:dyDescent="0.3">
      <c r="A49">
        <v>48</v>
      </c>
      <c r="B49">
        <v>147</v>
      </c>
      <c r="C49">
        <v>124</v>
      </c>
      <c r="D49">
        <v>30</v>
      </c>
      <c r="E49">
        <v>45</v>
      </c>
      <c r="F49">
        <v>2</v>
      </c>
      <c r="G49">
        <v>264</v>
      </c>
      <c r="H49">
        <v>528</v>
      </c>
      <c r="I49">
        <v>55</v>
      </c>
      <c r="J49">
        <f>[1]Transactions!F49*[1]Transactions!G49</f>
        <v>528</v>
      </c>
      <c r="K49">
        <f>_xlfn.XLOOKUP([1]Transactions!D49,[1]Inventory!$C$2:$C$501,[1]Inventory!$A$2:$A$501)</f>
        <v>68</v>
      </c>
      <c r="L49">
        <f>_xlfn.XLOOKUP(K49,[1]Inventory!$A$2:$A$501,[1]Inventory!$D$2:$D$501)</f>
        <v>179</v>
      </c>
      <c r="M49">
        <f>_xlfn.XLOOKUP(K49,[1]Inventory!$A$2:$A$501,[1]Inventory!$E$2:$E$501)</f>
        <v>103</v>
      </c>
      <c r="N49" t="str">
        <f>_xlfn.XLOOKUP([1]Transactions!C49,[1]Customers!$A$2:$A$201,[1]Customers!$G$2:$G$201)</f>
        <v>Maharashtra</v>
      </c>
      <c r="O49" t="str">
        <f>_xlfn.XLOOKUP(C49,[1]Customers!$A$2:$A$201,[1]Customers!$H$2:$H$201)</f>
        <v>West</v>
      </c>
      <c r="P49" t="str">
        <f>_xlfn.XLOOKUP(C49,[1]Customers!$A$2:$A$201,[1]Customers!$F$2:$F$201)</f>
        <v>Pune</v>
      </c>
      <c r="Q49">
        <f>_xlfn.XLOOKUP(C49,[1]Customers!$A$2:$A$201,[1]Customers!$D$2:$D$201)</f>
        <v>45</v>
      </c>
      <c r="R49" t="str">
        <f>_xlfn.XLOOKUP([1]Transactions!C49,[1]Customers!$A$2:$A$201,[1]Customers!$C$2:$C$201)</f>
        <v>Female</v>
      </c>
      <c r="S49" t="str">
        <f>_xlfn.XLOOKUP(C49,[1]Customers!$A$2:$A$201,[1]Customers!$B$2:$B$201)</f>
        <v>Customer_124</v>
      </c>
      <c r="T49" t="str">
        <f>_xlfn.XLOOKUP(D49,[1]Products!$A$2:$A$101,[1]Products!$C$2:$C$101)</f>
        <v>Beverages</v>
      </c>
      <c r="U49">
        <f>_xlfn.XLOOKUP(D49,[1]Products!$A$2:$A$101,[1]Products!$E$2:$E$101)</f>
        <v>230</v>
      </c>
      <c r="V49">
        <f>[1]Transactions!F49*[1]Transactions!U49</f>
        <v>460</v>
      </c>
    </row>
    <row r="50" spans="1:22" x14ac:dyDescent="0.3">
      <c r="A50">
        <v>49</v>
      </c>
      <c r="B50">
        <v>122</v>
      </c>
      <c r="C50">
        <v>97</v>
      </c>
      <c r="D50">
        <v>4</v>
      </c>
      <c r="E50">
        <v>18</v>
      </c>
      <c r="F50">
        <v>1</v>
      </c>
      <c r="G50">
        <v>127</v>
      </c>
      <c r="H50">
        <v>127</v>
      </c>
      <c r="I50">
        <v>30</v>
      </c>
      <c r="J50">
        <f>[1]Transactions!F50*[1]Transactions!G50</f>
        <v>127</v>
      </c>
      <c r="K50">
        <f>_xlfn.XLOOKUP([1]Transactions!D50,[1]Inventory!$C$2:$C$501,[1]Inventory!$A$2:$A$501)</f>
        <v>130</v>
      </c>
      <c r="L50">
        <f>_xlfn.XLOOKUP(K50,[1]Inventory!$A$2:$A$501,[1]Inventory!$D$2:$D$501)</f>
        <v>14</v>
      </c>
      <c r="M50">
        <f>_xlfn.XLOOKUP(K50,[1]Inventory!$A$2:$A$501,[1]Inventory!$E$2:$E$501)</f>
        <v>97</v>
      </c>
      <c r="N50" t="str">
        <f>_xlfn.XLOOKUP([1]Transactions!C50,[1]Customers!$A$2:$A$201,[1]Customers!$G$2:$G$201)</f>
        <v>West Bengal</v>
      </c>
      <c r="O50" t="str">
        <f>_xlfn.XLOOKUP(C50,[1]Customers!$A$2:$A$201,[1]Customers!$H$2:$H$201)</f>
        <v>East</v>
      </c>
      <c r="P50" t="str">
        <f>_xlfn.XLOOKUP(C50,[1]Customers!$A$2:$A$201,[1]Customers!$F$2:$F$201)</f>
        <v>Kolkata</v>
      </c>
      <c r="Q50">
        <f>_xlfn.XLOOKUP(C50,[1]Customers!$A$2:$A$201,[1]Customers!$D$2:$D$201)</f>
        <v>19</v>
      </c>
      <c r="R50" t="str">
        <f>_xlfn.XLOOKUP([1]Transactions!C50,[1]Customers!$A$2:$A$201,[1]Customers!$C$2:$C$201)</f>
        <v>Male</v>
      </c>
      <c r="S50" t="str">
        <f>_xlfn.XLOOKUP(C50,[1]Customers!$A$2:$A$201,[1]Customers!$B$2:$B$201)</f>
        <v>Customer_97</v>
      </c>
      <c r="T50" t="str">
        <f>_xlfn.XLOOKUP(D50,[1]Products!$A$2:$A$101,[1]Products!$C$2:$C$101)</f>
        <v>Grocery</v>
      </c>
      <c r="U50">
        <f>_xlfn.XLOOKUP(D50,[1]Products!$A$2:$A$101,[1]Products!$E$2:$E$101)</f>
        <v>459</v>
      </c>
      <c r="V50">
        <f>[1]Transactions!F50*[1]Transactions!U50</f>
        <v>459</v>
      </c>
    </row>
    <row r="51" spans="1:22" x14ac:dyDescent="0.3">
      <c r="A51">
        <v>50</v>
      </c>
      <c r="B51">
        <v>124</v>
      </c>
      <c r="C51">
        <v>50</v>
      </c>
      <c r="D51">
        <v>11</v>
      </c>
      <c r="E51">
        <v>38</v>
      </c>
      <c r="F51">
        <v>2</v>
      </c>
      <c r="G51">
        <v>453</v>
      </c>
      <c r="H51">
        <v>906</v>
      </c>
      <c r="I51">
        <v>55</v>
      </c>
      <c r="J51">
        <f>[1]Transactions!F51*[1]Transactions!G51</f>
        <v>906</v>
      </c>
      <c r="K51">
        <f>_xlfn.XLOOKUP([1]Transactions!D51,[1]Inventory!$C$2:$C$501,[1]Inventory!$A$2:$A$501)</f>
        <v>228</v>
      </c>
      <c r="L51">
        <f>_xlfn.XLOOKUP(K51,[1]Inventory!$A$2:$A$501,[1]Inventory!$D$2:$D$501)</f>
        <v>14</v>
      </c>
      <c r="M51">
        <f>_xlfn.XLOOKUP(K51,[1]Inventory!$A$2:$A$501,[1]Inventory!$E$2:$E$501)</f>
        <v>138</v>
      </c>
      <c r="N51" t="str">
        <f>_xlfn.XLOOKUP([1]Transactions!C51,[1]Customers!$A$2:$A$201,[1]Customers!$G$2:$G$201)</f>
        <v>West Bengal</v>
      </c>
      <c r="O51" t="str">
        <f>_xlfn.XLOOKUP(C51,[1]Customers!$A$2:$A$201,[1]Customers!$H$2:$H$201)</f>
        <v>East</v>
      </c>
      <c r="P51" t="str">
        <f>_xlfn.XLOOKUP(C51,[1]Customers!$A$2:$A$201,[1]Customers!$F$2:$F$201)</f>
        <v>Kolkata</v>
      </c>
      <c r="Q51">
        <f>_xlfn.XLOOKUP(C51,[1]Customers!$A$2:$A$201,[1]Customers!$D$2:$D$201)</f>
        <v>40</v>
      </c>
      <c r="R51" t="str">
        <f>_xlfn.XLOOKUP([1]Transactions!C51,[1]Customers!$A$2:$A$201,[1]Customers!$C$2:$C$201)</f>
        <v>Female</v>
      </c>
      <c r="S51" t="str">
        <f>_xlfn.XLOOKUP(C51,[1]Customers!$A$2:$A$201,[1]Customers!$B$2:$B$201)</f>
        <v>Customer_50</v>
      </c>
      <c r="T51" t="str">
        <f>_xlfn.XLOOKUP(D51,[1]Products!$A$2:$A$101,[1]Products!$C$2:$C$101)</f>
        <v>Beverages</v>
      </c>
      <c r="U51">
        <f>_xlfn.XLOOKUP(D51,[1]Products!$A$2:$A$101,[1]Products!$E$2:$E$101)</f>
        <v>373</v>
      </c>
      <c r="V51">
        <f>[1]Transactions!F51*[1]Transactions!U51</f>
        <v>746</v>
      </c>
    </row>
    <row r="52" spans="1:22" x14ac:dyDescent="0.3">
      <c r="A52">
        <v>51</v>
      </c>
      <c r="B52">
        <v>22</v>
      </c>
      <c r="C52">
        <v>106</v>
      </c>
      <c r="D52">
        <v>23</v>
      </c>
      <c r="E52">
        <v>49</v>
      </c>
      <c r="F52">
        <v>4</v>
      </c>
      <c r="G52">
        <v>469</v>
      </c>
      <c r="H52">
        <v>1876</v>
      </c>
      <c r="I52">
        <v>58</v>
      </c>
      <c r="J52">
        <f>[1]Transactions!F52*[1]Transactions!G52</f>
        <v>1876</v>
      </c>
      <c r="K52">
        <f>_xlfn.XLOOKUP([1]Transactions!D52,[1]Inventory!$C$2:$C$501,[1]Inventory!$A$2:$A$501)</f>
        <v>127</v>
      </c>
      <c r="L52">
        <f>_xlfn.XLOOKUP(K52,[1]Inventory!$A$2:$A$501,[1]Inventory!$D$2:$D$501)</f>
        <v>144</v>
      </c>
      <c r="M52">
        <f>_xlfn.XLOOKUP(K52,[1]Inventory!$A$2:$A$501,[1]Inventory!$E$2:$E$501)</f>
        <v>95</v>
      </c>
      <c r="N52" t="str">
        <f>_xlfn.XLOOKUP([1]Transactions!C52,[1]Customers!$A$2:$A$201,[1]Customers!$G$2:$G$201)</f>
        <v>Rajasthan</v>
      </c>
      <c r="O52" t="str">
        <f>_xlfn.XLOOKUP(C52,[1]Customers!$A$2:$A$201,[1]Customers!$H$2:$H$201)</f>
        <v>North</v>
      </c>
      <c r="P52" t="str">
        <f>_xlfn.XLOOKUP(C52,[1]Customers!$A$2:$A$201,[1]Customers!$F$2:$F$201)</f>
        <v>Jaipur</v>
      </c>
      <c r="Q52">
        <f>_xlfn.XLOOKUP(C52,[1]Customers!$A$2:$A$201,[1]Customers!$D$2:$D$201)</f>
        <v>60</v>
      </c>
      <c r="R52" t="str">
        <f>_xlfn.XLOOKUP([1]Transactions!C52,[1]Customers!$A$2:$A$201,[1]Customers!$C$2:$C$201)</f>
        <v>Male</v>
      </c>
      <c r="S52" t="str">
        <f>_xlfn.XLOOKUP(C52,[1]Customers!$A$2:$A$201,[1]Customers!$B$2:$B$201)</f>
        <v>Customer_106</v>
      </c>
      <c r="T52" t="str">
        <f>_xlfn.XLOOKUP(D52,[1]Products!$A$2:$A$101,[1]Products!$C$2:$C$101)</f>
        <v>Grocery</v>
      </c>
      <c r="U52">
        <f>_xlfn.XLOOKUP(D52,[1]Products!$A$2:$A$101,[1]Products!$E$2:$E$101)</f>
        <v>370</v>
      </c>
      <c r="V52">
        <f>[1]Transactions!F52*[1]Transactions!U52</f>
        <v>1480</v>
      </c>
    </row>
    <row r="53" spans="1:22" x14ac:dyDescent="0.3">
      <c r="A53">
        <v>52</v>
      </c>
      <c r="B53">
        <v>143</v>
      </c>
      <c r="C53">
        <v>113</v>
      </c>
      <c r="D53">
        <v>95</v>
      </c>
      <c r="E53">
        <v>19</v>
      </c>
      <c r="F53">
        <v>1</v>
      </c>
      <c r="G53">
        <v>217</v>
      </c>
      <c r="H53">
        <v>217</v>
      </c>
      <c r="I53">
        <v>15</v>
      </c>
      <c r="J53">
        <f>[1]Transactions!F53*[1]Transactions!G53</f>
        <v>217</v>
      </c>
      <c r="K53">
        <f>_xlfn.XLOOKUP([1]Transactions!D53,[1]Inventory!$C$2:$C$501,[1]Inventory!$A$2:$A$501)</f>
        <v>75</v>
      </c>
      <c r="L53">
        <f>_xlfn.XLOOKUP(K53,[1]Inventory!$A$2:$A$501,[1]Inventory!$D$2:$D$501)</f>
        <v>363</v>
      </c>
      <c r="M53">
        <f>_xlfn.XLOOKUP(K53,[1]Inventory!$A$2:$A$501,[1]Inventory!$E$2:$E$501)</f>
        <v>57</v>
      </c>
      <c r="N53" t="str">
        <f>_xlfn.XLOOKUP([1]Transactions!C53,[1]Customers!$A$2:$A$201,[1]Customers!$G$2:$G$201)</f>
        <v>Maharashtra</v>
      </c>
      <c r="O53" t="str">
        <f>_xlfn.XLOOKUP(C53,[1]Customers!$A$2:$A$201,[1]Customers!$H$2:$H$201)</f>
        <v>West</v>
      </c>
      <c r="P53" t="str">
        <f>_xlfn.XLOOKUP(C53,[1]Customers!$A$2:$A$201,[1]Customers!$F$2:$F$201)</f>
        <v>Mumbai</v>
      </c>
      <c r="Q53">
        <f>_xlfn.XLOOKUP(C53,[1]Customers!$A$2:$A$201,[1]Customers!$D$2:$D$201)</f>
        <v>36</v>
      </c>
      <c r="R53" t="str">
        <f>_xlfn.XLOOKUP([1]Transactions!C53,[1]Customers!$A$2:$A$201,[1]Customers!$C$2:$C$201)</f>
        <v>Male</v>
      </c>
      <c r="S53" t="str">
        <f>_xlfn.XLOOKUP(C53,[1]Customers!$A$2:$A$201,[1]Customers!$B$2:$B$201)</f>
        <v>Customer_113</v>
      </c>
      <c r="T53" t="str">
        <f>_xlfn.XLOOKUP(D53,[1]Products!$A$2:$A$101,[1]Products!$C$2:$C$101)</f>
        <v>Snacks</v>
      </c>
      <c r="U53">
        <f>_xlfn.XLOOKUP(D53,[1]Products!$A$2:$A$101,[1]Products!$E$2:$E$101)</f>
        <v>73</v>
      </c>
      <c r="V53">
        <f>[1]Transactions!F53*[1]Transactions!U53</f>
        <v>73</v>
      </c>
    </row>
    <row r="54" spans="1:22" x14ac:dyDescent="0.3">
      <c r="A54">
        <v>53</v>
      </c>
      <c r="B54">
        <v>131</v>
      </c>
      <c r="C54">
        <v>144</v>
      </c>
      <c r="D54">
        <v>22</v>
      </c>
      <c r="E54">
        <v>18</v>
      </c>
      <c r="F54">
        <v>4</v>
      </c>
      <c r="G54">
        <v>275</v>
      </c>
      <c r="H54">
        <v>1100</v>
      </c>
      <c r="I54">
        <v>50</v>
      </c>
      <c r="J54">
        <f>[1]Transactions!F54*[1]Transactions!G54</f>
        <v>1100</v>
      </c>
      <c r="K54">
        <f>_xlfn.XLOOKUP([1]Transactions!D54,[1]Inventory!$C$2:$C$501,[1]Inventory!$A$2:$A$501)</f>
        <v>9</v>
      </c>
      <c r="L54">
        <f>_xlfn.XLOOKUP(K54,[1]Inventory!$A$2:$A$501,[1]Inventory!$D$2:$D$501)</f>
        <v>177</v>
      </c>
      <c r="M54">
        <f>_xlfn.XLOOKUP(K54,[1]Inventory!$A$2:$A$501,[1]Inventory!$E$2:$E$501)</f>
        <v>107</v>
      </c>
      <c r="N54" t="str">
        <f>_xlfn.XLOOKUP([1]Transactions!C54,[1]Customers!$A$2:$A$201,[1]Customers!$G$2:$G$201)</f>
        <v>Gujarat</v>
      </c>
      <c r="O54" t="str">
        <f>_xlfn.XLOOKUP(C54,[1]Customers!$A$2:$A$201,[1]Customers!$H$2:$H$201)</f>
        <v>West</v>
      </c>
      <c r="P54" t="str">
        <f>_xlfn.XLOOKUP(C54,[1]Customers!$A$2:$A$201,[1]Customers!$F$2:$F$201)</f>
        <v>Ahmedabad</v>
      </c>
      <c r="Q54">
        <f>_xlfn.XLOOKUP(C54,[1]Customers!$A$2:$A$201,[1]Customers!$D$2:$D$201)</f>
        <v>53</v>
      </c>
      <c r="R54" t="str">
        <f>_xlfn.XLOOKUP([1]Transactions!C54,[1]Customers!$A$2:$A$201,[1]Customers!$C$2:$C$201)</f>
        <v>Male</v>
      </c>
      <c r="S54" t="str">
        <f>_xlfn.XLOOKUP(C54,[1]Customers!$A$2:$A$201,[1]Customers!$B$2:$B$201)</f>
        <v>Customer_144</v>
      </c>
      <c r="T54" t="str">
        <f>_xlfn.XLOOKUP(D54,[1]Products!$A$2:$A$101,[1]Products!$C$2:$C$101)</f>
        <v>Snacks</v>
      </c>
      <c r="U54">
        <f>_xlfn.XLOOKUP(D54,[1]Products!$A$2:$A$101,[1]Products!$E$2:$E$101)</f>
        <v>482</v>
      </c>
      <c r="V54">
        <f>[1]Transactions!F54*[1]Transactions!U54</f>
        <v>1928</v>
      </c>
    </row>
    <row r="55" spans="1:22" x14ac:dyDescent="0.3">
      <c r="A55">
        <v>54</v>
      </c>
      <c r="B55">
        <v>43</v>
      </c>
      <c r="C55">
        <v>33</v>
      </c>
      <c r="D55">
        <v>51</v>
      </c>
      <c r="E55">
        <v>15</v>
      </c>
      <c r="F55">
        <v>2</v>
      </c>
      <c r="G55">
        <v>446</v>
      </c>
      <c r="H55">
        <v>892</v>
      </c>
      <c r="I55">
        <v>60</v>
      </c>
      <c r="J55">
        <f>[1]Transactions!F55*[1]Transactions!G55</f>
        <v>892</v>
      </c>
      <c r="K55">
        <f>_xlfn.XLOOKUP([1]Transactions!D55,[1]Inventory!$C$2:$C$501,[1]Inventory!$A$2:$A$501)</f>
        <v>55</v>
      </c>
      <c r="L55">
        <f>_xlfn.XLOOKUP(K55,[1]Inventory!$A$2:$A$501,[1]Inventory!$D$2:$D$501)</f>
        <v>336</v>
      </c>
      <c r="M55">
        <f>_xlfn.XLOOKUP(K55,[1]Inventory!$A$2:$A$501,[1]Inventory!$E$2:$E$501)</f>
        <v>49</v>
      </c>
      <c r="N55" t="str">
        <f>_xlfn.XLOOKUP([1]Transactions!C55,[1]Customers!$A$2:$A$201,[1]Customers!$G$2:$G$201)</f>
        <v>West Bengal</v>
      </c>
      <c r="O55" t="str">
        <f>_xlfn.XLOOKUP(C55,[1]Customers!$A$2:$A$201,[1]Customers!$H$2:$H$201)</f>
        <v>East</v>
      </c>
      <c r="P55" t="str">
        <f>_xlfn.XLOOKUP(C55,[1]Customers!$A$2:$A$201,[1]Customers!$F$2:$F$201)</f>
        <v>Kolkata</v>
      </c>
      <c r="Q55">
        <f>_xlfn.XLOOKUP(C55,[1]Customers!$A$2:$A$201,[1]Customers!$D$2:$D$201)</f>
        <v>20</v>
      </c>
      <c r="R55" t="str">
        <f>_xlfn.XLOOKUP([1]Transactions!C55,[1]Customers!$A$2:$A$201,[1]Customers!$C$2:$C$201)</f>
        <v>Female</v>
      </c>
      <c r="S55" t="str">
        <f>_xlfn.XLOOKUP(C55,[1]Customers!$A$2:$A$201,[1]Customers!$B$2:$B$201)</f>
        <v>Customer_33</v>
      </c>
      <c r="T55" t="str">
        <f>_xlfn.XLOOKUP(D55,[1]Products!$A$2:$A$101,[1]Products!$C$2:$C$101)</f>
        <v>Beverages</v>
      </c>
      <c r="U55">
        <f>_xlfn.XLOOKUP(D55,[1]Products!$A$2:$A$101,[1]Products!$E$2:$E$101)</f>
        <v>27</v>
      </c>
      <c r="V55">
        <f>[1]Transactions!F55*[1]Transactions!U55</f>
        <v>54</v>
      </c>
    </row>
    <row r="56" spans="1:22" x14ac:dyDescent="0.3">
      <c r="A56">
        <v>55</v>
      </c>
      <c r="B56">
        <v>106</v>
      </c>
      <c r="C56">
        <v>180</v>
      </c>
      <c r="D56">
        <v>84</v>
      </c>
      <c r="E56">
        <v>16</v>
      </c>
      <c r="F56">
        <v>5</v>
      </c>
      <c r="G56">
        <v>247</v>
      </c>
      <c r="H56">
        <v>1235</v>
      </c>
      <c r="I56">
        <v>60</v>
      </c>
      <c r="J56">
        <f>[1]Transactions!F56*[1]Transactions!G56</f>
        <v>1235</v>
      </c>
      <c r="K56">
        <f>_xlfn.XLOOKUP([1]Transactions!D56,[1]Inventory!$C$2:$C$501,[1]Inventory!$A$2:$A$501)</f>
        <v>303</v>
      </c>
      <c r="L56">
        <f>_xlfn.XLOOKUP(K56,[1]Inventory!$A$2:$A$501,[1]Inventory!$D$2:$D$501)</f>
        <v>293</v>
      </c>
      <c r="M56">
        <f>_xlfn.XLOOKUP(K56,[1]Inventory!$A$2:$A$501,[1]Inventory!$E$2:$E$501)</f>
        <v>69</v>
      </c>
      <c r="N56" t="str">
        <f>_xlfn.XLOOKUP([1]Transactions!C56,[1]Customers!$A$2:$A$201,[1]Customers!$G$2:$G$201)</f>
        <v>Delhi</v>
      </c>
      <c r="O56" t="str">
        <f>_xlfn.XLOOKUP(C56,[1]Customers!$A$2:$A$201,[1]Customers!$H$2:$H$201)</f>
        <v>North</v>
      </c>
      <c r="P56" t="str">
        <f>_xlfn.XLOOKUP(C56,[1]Customers!$A$2:$A$201,[1]Customers!$F$2:$F$201)</f>
        <v>Delhi</v>
      </c>
      <c r="Q56">
        <f>_xlfn.XLOOKUP(C56,[1]Customers!$A$2:$A$201,[1]Customers!$D$2:$D$201)</f>
        <v>30</v>
      </c>
      <c r="R56" t="str">
        <f>_xlfn.XLOOKUP([1]Transactions!C56,[1]Customers!$A$2:$A$201,[1]Customers!$C$2:$C$201)</f>
        <v>Female</v>
      </c>
      <c r="S56" t="str">
        <f>_xlfn.XLOOKUP(C56,[1]Customers!$A$2:$A$201,[1]Customers!$B$2:$B$201)</f>
        <v>Customer_180</v>
      </c>
      <c r="T56" t="str">
        <f>_xlfn.XLOOKUP(D56,[1]Products!$A$2:$A$101,[1]Products!$C$2:$C$101)</f>
        <v>Grocery</v>
      </c>
      <c r="U56">
        <f>_xlfn.XLOOKUP(D56,[1]Products!$A$2:$A$101,[1]Products!$E$2:$E$101)</f>
        <v>249</v>
      </c>
      <c r="V56">
        <f>[1]Transactions!F56*[1]Transactions!U56</f>
        <v>1245</v>
      </c>
    </row>
    <row r="57" spans="1:22" x14ac:dyDescent="0.3">
      <c r="A57">
        <v>56</v>
      </c>
      <c r="B57">
        <v>138</v>
      </c>
      <c r="C57">
        <v>166</v>
      </c>
      <c r="D57">
        <v>28</v>
      </c>
      <c r="E57">
        <v>27</v>
      </c>
      <c r="F57">
        <v>5</v>
      </c>
      <c r="G57">
        <v>152</v>
      </c>
      <c r="H57">
        <v>760</v>
      </c>
      <c r="I57">
        <v>59</v>
      </c>
      <c r="J57">
        <f>[1]Transactions!F57*[1]Transactions!G57</f>
        <v>760</v>
      </c>
      <c r="K57">
        <f>_xlfn.XLOOKUP([1]Transactions!D57,[1]Inventory!$C$2:$C$501,[1]Inventory!$A$2:$A$501)</f>
        <v>16</v>
      </c>
      <c r="L57">
        <f>_xlfn.XLOOKUP(K57,[1]Inventory!$A$2:$A$501,[1]Inventory!$D$2:$D$501)</f>
        <v>284</v>
      </c>
      <c r="M57">
        <f>_xlfn.XLOOKUP(K57,[1]Inventory!$A$2:$A$501,[1]Inventory!$E$2:$E$501)</f>
        <v>80</v>
      </c>
      <c r="N57" t="str">
        <f>_xlfn.XLOOKUP([1]Transactions!C57,[1]Customers!$A$2:$A$201,[1]Customers!$G$2:$G$201)</f>
        <v>UP</v>
      </c>
      <c r="O57" t="str">
        <f>_xlfn.XLOOKUP(C57,[1]Customers!$A$2:$A$201,[1]Customers!$H$2:$H$201)</f>
        <v>North</v>
      </c>
      <c r="P57" t="str">
        <f>_xlfn.XLOOKUP(C57,[1]Customers!$A$2:$A$201,[1]Customers!$F$2:$F$201)</f>
        <v>Lucknow</v>
      </c>
      <c r="Q57">
        <f>_xlfn.XLOOKUP(C57,[1]Customers!$A$2:$A$201,[1]Customers!$D$2:$D$201)</f>
        <v>28</v>
      </c>
      <c r="R57" t="str">
        <f>_xlfn.XLOOKUP([1]Transactions!C57,[1]Customers!$A$2:$A$201,[1]Customers!$C$2:$C$201)</f>
        <v>Male</v>
      </c>
      <c r="S57" t="str">
        <f>_xlfn.XLOOKUP(C57,[1]Customers!$A$2:$A$201,[1]Customers!$B$2:$B$201)</f>
        <v>Customer_166</v>
      </c>
      <c r="T57" t="str">
        <f>_xlfn.XLOOKUP(D57,[1]Products!$A$2:$A$101,[1]Products!$C$2:$C$101)</f>
        <v>Grocery</v>
      </c>
      <c r="U57">
        <f>_xlfn.XLOOKUP(D57,[1]Products!$A$2:$A$101,[1]Products!$E$2:$E$101)</f>
        <v>203</v>
      </c>
      <c r="V57">
        <f>[1]Transactions!F57*[1]Transactions!U57</f>
        <v>1015</v>
      </c>
    </row>
    <row r="58" spans="1:22" x14ac:dyDescent="0.3">
      <c r="A58">
        <v>57</v>
      </c>
      <c r="B58">
        <v>90</v>
      </c>
      <c r="C58">
        <v>193</v>
      </c>
      <c r="D58">
        <v>46</v>
      </c>
      <c r="E58">
        <v>44</v>
      </c>
      <c r="F58">
        <v>4</v>
      </c>
      <c r="G58">
        <v>86</v>
      </c>
      <c r="H58">
        <v>344</v>
      </c>
      <c r="I58">
        <v>59</v>
      </c>
      <c r="J58">
        <f>[1]Transactions!F58*[1]Transactions!G58</f>
        <v>344</v>
      </c>
      <c r="K58">
        <f>_xlfn.XLOOKUP([1]Transactions!D58,[1]Inventory!$C$2:$C$501,[1]Inventory!$A$2:$A$501)</f>
        <v>218</v>
      </c>
      <c r="L58">
        <f>_xlfn.XLOOKUP(K58,[1]Inventory!$A$2:$A$501,[1]Inventory!$D$2:$D$501)</f>
        <v>426</v>
      </c>
      <c r="M58">
        <f>_xlfn.XLOOKUP(K58,[1]Inventory!$A$2:$A$501,[1]Inventory!$E$2:$E$501)</f>
        <v>14</v>
      </c>
      <c r="N58" t="str">
        <f>_xlfn.XLOOKUP([1]Transactions!C58,[1]Customers!$A$2:$A$201,[1]Customers!$G$2:$G$201)</f>
        <v>Telangana</v>
      </c>
      <c r="O58" t="str">
        <f>_xlfn.XLOOKUP(C58,[1]Customers!$A$2:$A$201,[1]Customers!$H$2:$H$201)</f>
        <v>South</v>
      </c>
      <c r="P58" t="str">
        <f>_xlfn.XLOOKUP(C58,[1]Customers!$A$2:$A$201,[1]Customers!$F$2:$F$201)</f>
        <v>Hyderabad</v>
      </c>
      <c r="Q58">
        <f>_xlfn.XLOOKUP(C58,[1]Customers!$A$2:$A$201,[1]Customers!$D$2:$D$201)</f>
        <v>49</v>
      </c>
      <c r="R58" t="str">
        <f>_xlfn.XLOOKUP([1]Transactions!C58,[1]Customers!$A$2:$A$201,[1]Customers!$C$2:$C$201)</f>
        <v>Female</v>
      </c>
      <c r="S58" t="str">
        <f>_xlfn.XLOOKUP(C58,[1]Customers!$A$2:$A$201,[1]Customers!$B$2:$B$201)</f>
        <v>Customer_193</v>
      </c>
      <c r="T58" t="str">
        <f>_xlfn.XLOOKUP(D58,[1]Products!$A$2:$A$101,[1]Products!$C$2:$C$101)</f>
        <v>Personal Care</v>
      </c>
      <c r="U58">
        <f>_xlfn.XLOOKUP(D58,[1]Products!$A$2:$A$101,[1]Products!$E$2:$E$101)</f>
        <v>56</v>
      </c>
      <c r="V58">
        <f>[1]Transactions!F58*[1]Transactions!U58</f>
        <v>224</v>
      </c>
    </row>
    <row r="59" spans="1:22" x14ac:dyDescent="0.3">
      <c r="A59">
        <v>58</v>
      </c>
      <c r="B59">
        <v>97</v>
      </c>
      <c r="C59">
        <v>141</v>
      </c>
      <c r="D59">
        <v>61</v>
      </c>
      <c r="E59">
        <v>32</v>
      </c>
      <c r="F59">
        <v>3</v>
      </c>
      <c r="G59">
        <v>450</v>
      </c>
      <c r="H59">
        <v>1350</v>
      </c>
      <c r="I59">
        <v>48</v>
      </c>
      <c r="J59">
        <f>[1]Transactions!F59*[1]Transactions!G59</f>
        <v>1350</v>
      </c>
      <c r="K59">
        <f>_xlfn.XLOOKUP([1]Transactions!D59,[1]Inventory!$C$2:$C$501,[1]Inventory!$A$2:$A$501)</f>
        <v>92</v>
      </c>
      <c r="L59">
        <f>_xlfn.XLOOKUP(K59,[1]Inventory!$A$2:$A$501,[1]Inventory!$D$2:$D$501)</f>
        <v>48</v>
      </c>
      <c r="M59">
        <f>_xlfn.XLOOKUP(K59,[1]Inventory!$A$2:$A$501,[1]Inventory!$E$2:$E$501)</f>
        <v>23</v>
      </c>
      <c r="N59" t="str">
        <f>_xlfn.XLOOKUP([1]Transactions!C59,[1]Customers!$A$2:$A$201,[1]Customers!$G$2:$G$201)</f>
        <v>Tamil Nadu</v>
      </c>
      <c r="O59" t="str">
        <f>_xlfn.XLOOKUP(C59,[1]Customers!$A$2:$A$201,[1]Customers!$H$2:$H$201)</f>
        <v>South</v>
      </c>
      <c r="P59" t="str">
        <f>_xlfn.XLOOKUP(C59,[1]Customers!$A$2:$A$201,[1]Customers!$F$2:$F$201)</f>
        <v>Chennai</v>
      </c>
      <c r="Q59">
        <f>_xlfn.XLOOKUP(C59,[1]Customers!$A$2:$A$201,[1]Customers!$D$2:$D$201)</f>
        <v>28</v>
      </c>
      <c r="R59" t="str">
        <f>_xlfn.XLOOKUP([1]Transactions!C59,[1]Customers!$A$2:$A$201,[1]Customers!$C$2:$C$201)</f>
        <v>Female</v>
      </c>
      <c r="S59" t="str">
        <f>_xlfn.XLOOKUP(C59,[1]Customers!$A$2:$A$201,[1]Customers!$B$2:$B$201)</f>
        <v>Customer_141</v>
      </c>
      <c r="T59" t="str">
        <f>_xlfn.XLOOKUP(D59,[1]Products!$A$2:$A$101,[1]Products!$C$2:$C$101)</f>
        <v>Beverages</v>
      </c>
      <c r="U59">
        <f>_xlfn.XLOOKUP(D59,[1]Products!$A$2:$A$101,[1]Products!$E$2:$E$101)</f>
        <v>360</v>
      </c>
      <c r="V59">
        <f>[1]Transactions!F59*[1]Transactions!U59</f>
        <v>1080</v>
      </c>
    </row>
    <row r="60" spans="1:22" x14ac:dyDescent="0.3">
      <c r="A60">
        <v>59</v>
      </c>
      <c r="B60">
        <v>136</v>
      </c>
      <c r="C60">
        <v>135</v>
      </c>
      <c r="D60">
        <v>24</v>
      </c>
      <c r="E60">
        <v>26</v>
      </c>
      <c r="F60">
        <v>5</v>
      </c>
      <c r="G60">
        <v>241</v>
      </c>
      <c r="H60">
        <v>1205</v>
      </c>
      <c r="I60">
        <v>54</v>
      </c>
      <c r="J60">
        <f>[1]Transactions!F60*[1]Transactions!G60</f>
        <v>1205</v>
      </c>
      <c r="K60">
        <f>_xlfn.XLOOKUP([1]Transactions!D60,[1]Inventory!$C$2:$C$501,[1]Inventory!$A$2:$A$501)</f>
        <v>111</v>
      </c>
      <c r="L60">
        <f>_xlfn.XLOOKUP(K60,[1]Inventory!$A$2:$A$501,[1]Inventory!$D$2:$D$501)</f>
        <v>237</v>
      </c>
      <c r="M60">
        <f>_xlfn.XLOOKUP(K60,[1]Inventory!$A$2:$A$501,[1]Inventory!$E$2:$E$501)</f>
        <v>154</v>
      </c>
      <c r="N60" t="str">
        <f>_xlfn.XLOOKUP([1]Transactions!C60,[1]Customers!$A$2:$A$201,[1]Customers!$G$2:$G$201)</f>
        <v>UP</v>
      </c>
      <c r="O60" t="str">
        <f>_xlfn.XLOOKUP(C60,[1]Customers!$A$2:$A$201,[1]Customers!$H$2:$H$201)</f>
        <v>North</v>
      </c>
      <c r="P60" t="str">
        <f>_xlfn.XLOOKUP(C60,[1]Customers!$A$2:$A$201,[1]Customers!$F$2:$F$201)</f>
        <v>Lucknow</v>
      </c>
      <c r="Q60">
        <f>_xlfn.XLOOKUP(C60,[1]Customers!$A$2:$A$201,[1]Customers!$D$2:$D$201)</f>
        <v>25</v>
      </c>
      <c r="R60" t="str">
        <f>_xlfn.XLOOKUP([1]Transactions!C60,[1]Customers!$A$2:$A$201,[1]Customers!$C$2:$C$201)</f>
        <v>Male</v>
      </c>
      <c r="S60" t="str">
        <f>_xlfn.XLOOKUP(C60,[1]Customers!$A$2:$A$201,[1]Customers!$B$2:$B$201)</f>
        <v>Customer_135</v>
      </c>
      <c r="T60" t="str">
        <f>_xlfn.XLOOKUP(D60,[1]Products!$A$2:$A$101,[1]Products!$C$2:$C$101)</f>
        <v>Personal Care</v>
      </c>
      <c r="U60">
        <f>_xlfn.XLOOKUP(D60,[1]Products!$A$2:$A$101,[1]Products!$E$2:$E$101)</f>
        <v>435</v>
      </c>
      <c r="V60">
        <f>[1]Transactions!F60*[1]Transactions!U60</f>
        <v>2175</v>
      </c>
    </row>
    <row r="61" spans="1:22" x14ac:dyDescent="0.3">
      <c r="A61">
        <v>60</v>
      </c>
      <c r="B61">
        <v>38</v>
      </c>
      <c r="C61">
        <v>93</v>
      </c>
      <c r="D61">
        <v>73</v>
      </c>
      <c r="E61">
        <v>29</v>
      </c>
      <c r="F61">
        <v>1</v>
      </c>
      <c r="G61">
        <v>431</v>
      </c>
      <c r="H61">
        <v>431</v>
      </c>
      <c r="I61">
        <v>38</v>
      </c>
      <c r="J61">
        <f>[1]Transactions!F61*[1]Transactions!G61</f>
        <v>431</v>
      </c>
      <c r="K61">
        <f>_xlfn.XLOOKUP([1]Transactions!D61,[1]Inventory!$C$2:$C$501,[1]Inventory!$A$2:$A$501)</f>
        <v>18</v>
      </c>
      <c r="L61">
        <f>_xlfn.XLOOKUP(K61,[1]Inventory!$A$2:$A$501,[1]Inventory!$D$2:$D$501)</f>
        <v>120</v>
      </c>
      <c r="M61">
        <f>_xlfn.XLOOKUP(K61,[1]Inventory!$A$2:$A$501,[1]Inventory!$E$2:$E$501)</f>
        <v>107</v>
      </c>
      <c r="N61" t="str">
        <f>_xlfn.XLOOKUP([1]Transactions!C61,[1]Customers!$A$2:$A$201,[1]Customers!$G$2:$G$201)</f>
        <v>Delhi</v>
      </c>
      <c r="O61" t="str">
        <f>_xlfn.XLOOKUP(C61,[1]Customers!$A$2:$A$201,[1]Customers!$H$2:$H$201)</f>
        <v>North</v>
      </c>
      <c r="P61" t="str">
        <f>_xlfn.XLOOKUP(C61,[1]Customers!$A$2:$A$201,[1]Customers!$F$2:$F$201)</f>
        <v>Delhi</v>
      </c>
      <c r="Q61">
        <f>_xlfn.XLOOKUP(C61,[1]Customers!$A$2:$A$201,[1]Customers!$D$2:$D$201)</f>
        <v>39</v>
      </c>
      <c r="R61" t="str">
        <f>_xlfn.XLOOKUP([1]Transactions!C61,[1]Customers!$A$2:$A$201,[1]Customers!$C$2:$C$201)</f>
        <v>Female</v>
      </c>
      <c r="S61" t="str">
        <f>_xlfn.XLOOKUP(C61,[1]Customers!$A$2:$A$201,[1]Customers!$B$2:$B$201)</f>
        <v>Customer_93</v>
      </c>
      <c r="T61" t="str">
        <f>_xlfn.XLOOKUP(D61,[1]Products!$A$2:$A$101,[1]Products!$C$2:$C$101)</f>
        <v>Beverages</v>
      </c>
      <c r="U61">
        <f>_xlfn.XLOOKUP(D61,[1]Products!$A$2:$A$101,[1]Products!$E$2:$E$101)</f>
        <v>55</v>
      </c>
      <c r="V61">
        <f>[1]Transactions!F61*[1]Transactions!U61</f>
        <v>55</v>
      </c>
    </row>
    <row r="62" spans="1:22" x14ac:dyDescent="0.3">
      <c r="A62">
        <v>61</v>
      </c>
      <c r="B62">
        <v>112</v>
      </c>
      <c r="C62">
        <v>93</v>
      </c>
      <c r="D62">
        <v>85</v>
      </c>
      <c r="E62">
        <v>9</v>
      </c>
      <c r="F62">
        <v>1</v>
      </c>
      <c r="G62">
        <v>242</v>
      </c>
      <c r="H62">
        <v>242</v>
      </c>
      <c r="I62">
        <v>52</v>
      </c>
      <c r="J62">
        <f>[1]Transactions!F62*[1]Transactions!G62</f>
        <v>242</v>
      </c>
      <c r="K62">
        <f>_xlfn.XLOOKUP([1]Transactions!D62,[1]Inventory!$C$2:$C$501,[1]Inventory!$A$2:$A$501)</f>
        <v>12</v>
      </c>
      <c r="L62">
        <f>_xlfn.XLOOKUP(K62,[1]Inventory!$A$2:$A$501,[1]Inventory!$D$2:$D$501)</f>
        <v>276</v>
      </c>
      <c r="M62">
        <f>_xlfn.XLOOKUP(K62,[1]Inventory!$A$2:$A$501,[1]Inventory!$E$2:$E$501)</f>
        <v>118</v>
      </c>
      <c r="N62" t="str">
        <f>_xlfn.XLOOKUP([1]Transactions!C62,[1]Customers!$A$2:$A$201,[1]Customers!$G$2:$G$201)</f>
        <v>Delhi</v>
      </c>
      <c r="O62" t="str">
        <f>_xlfn.XLOOKUP(C62,[1]Customers!$A$2:$A$201,[1]Customers!$H$2:$H$201)</f>
        <v>North</v>
      </c>
      <c r="P62" t="str">
        <f>_xlfn.XLOOKUP(C62,[1]Customers!$A$2:$A$201,[1]Customers!$F$2:$F$201)</f>
        <v>Delhi</v>
      </c>
      <c r="Q62">
        <f>_xlfn.XLOOKUP(C62,[1]Customers!$A$2:$A$201,[1]Customers!$D$2:$D$201)</f>
        <v>39</v>
      </c>
      <c r="R62" t="str">
        <f>_xlfn.XLOOKUP([1]Transactions!C62,[1]Customers!$A$2:$A$201,[1]Customers!$C$2:$C$201)</f>
        <v>Female</v>
      </c>
      <c r="S62" t="str">
        <f>_xlfn.XLOOKUP(C62,[1]Customers!$A$2:$A$201,[1]Customers!$B$2:$B$201)</f>
        <v>Customer_93</v>
      </c>
      <c r="T62" t="str">
        <f>_xlfn.XLOOKUP(D62,[1]Products!$A$2:$A$101,[1]Products!$C$2:$C$101)</f>
        <v>Beverages</v>
      </c>
      <c r="U62">
        <f>_xlfn.XLOOKUP(D62,[1]Products!$A$2:$A$101,[1]Products!$E$2:$E$101)</f>
        <v>78</v>
      </c>
      <c r="V62">
        <f>[1]Transactions!F62*[1]Transactions!U62</f>
        <v>78</v>
      </c>
    </row>
    <row r="63" spans="1:22" x14ac:dyDescent="0.3">
      <c r="A63">
        <v>62</v>
      </c>
      <c r="B63">
        <v>84</v>
      </c>
      <c r="C63">
        <v>158</v>
      </c>
      <c r="D63">
        <v>56</v>
      </c>
      <c r="E63">
        <v>27</v>
      </c>
      <c r="F63">
        <v>2</v>
      </c>
      <c r="G63">
        <v>53</v>
      </c>
      <c r="H63">
        <v>106</v>
      </c>
      <c r="I63">
        <v>17</v>
      </c>
      <c r="J63">
        <f>[1]Transactions!F63*[1]Transactions!G63</f>
        <v>106</v>
      </c>
      <c r="K63">
        <f>_xlfn.XLOOKUP([1]Transactions!D63,[1]Inventory!$C$2:$C$501,[1]Inventory!$A$2:$A$501)</f>
        <v>70</v>
      </c>
      <c r="L63">
        <f>_xlfn.XLOOKUP(K63,[1]Inventory!$A$2:$A$501,[1]Inventory!$D$2:$D$501)</f>
        <v>197</v>
      </c>
      <c r="M63">
        <f>_xlfn.XLOOKUP(K63,[1]Inventory!$A$2:$A$501,[1]Inventory!$E$2:$E$501)</f>
        <v>102</v>
      </c>
      <c r="N63" t="str">
        <f>_xlfn.XLOOKUP([1]Transactions!C63,[1]Customers!$A$2:$A$201,[1]Customers!$G$2:$G$201)</f>
        <v>Telangana</v>
      </c>
      <c r="O63" t="str">
        <f>_xlfn.XLOOKUP(C63,[1]Customers!$A$2:$A$201,[1]Customers!$H$2:$H$201)</f>
        <v>South</v>
      </c>
      <c r="P63" t="str">
        <f>_xlfn.XLOOKUP(C63,[1]Customers!$A$2:$A$201,[1]Customers!$F$2:$F$201)</f>
        <v>Hyderabad</v>
      </c>
      <c r="Q63">
        <f>_xlfn.XLOOKUP(C63,[1]Customers!$A$2:$A$201,[1]Customers!$D$2:$D$201)</f>
        <v>30</v>
      </c>
      <c r="R63" t="str">
        <f>_xlfn.XLOOKUP([1]Transactions!C63,[1]Customers!$A$2:$A$201,[1]Customers!$C$2:$C$201)</f>
        <v>Male</v>
      </c>
      <c r="S63" t="str">
        <f>_xlfn.XLOOKUP(C63,[1]Customers!$A$2:$A$201,[1]Customers!$B$2:$B$201)</f>
        <v>Customer_158</v>
      </c>
      <c r="T63" t="str">
        <f>_xlfn.XLOOKUP(D63,[1]Products!$A$2:$A$101,[1]Products!$C$2:$C$101)</f>
        <v>Beverages</v>
      </c>
      <c r="U63">
        <f>_xlfn.XLOOKUP(D63,[1]Products!$A$2:$A$101,[1]Products!$E$2:$E$101)</f>
        <v>64</v>
      </c>
      <c r="V63">
        <f>[1]Transactions!F63*[1]Transactions!U63</f>
        <v>128</v>
      </c>
    </row>
    <row r="64" spans="1:22" x14ac:dyDescent="0.3">
      <c r="A64">
        <v>63</v>
      </c>
      <c r="B64">
        <v>122</v>
      </c>
      <c r="C64">
        <v>153</v>
      </c>
      <c r="D64">
        <v>11</v>
      </c>
      <c r="E64">
        <v>17</v>
      </c>
      <c r="F64">
        <v>3</v>
      </c>
      <c r="G64">
        <v>396</v>
      </c>
      <c r="H64">
        <v>1188</v>
      </c>
      <c r="I64">
        <v>46</v>
      </c>
      <c r="J64">
        <f>[1]Transactions!F64*[1]Transactions!G64</f>
        <v>1188</v>
      </c>
      <c r="K64">
        <f>_xlfn.XLOOKUP([1]Transactions!D64,[1]Inventory!$C$2:$C$501,[1]Inventory!$A$2:$A$501)</f>
        <v>228</v>
      </c>
      <c r="L64">
        <f>_xlfn.XLOOKUP(K64,[1]Inventory!$A$2:$A$501,[1]Inventory!$D$2:$D$501)</f>
        <v>14</v>
      </c>
      <c r="M64">
        <f>_xlfn.XLOOKUP(K64,[1]Inventory!$A$2:$A$501,[1]Inventory!$E$2:$E$501)</f>
        <v>138</v>
      </c>
      <c r="N64" t="str">
        <f>_xlfn.XLOOKUP([1]Transactions!C64,[1]Customers!$A$2:$A$201,[1]Customers!$G$2:$G$201)</f>
        <v>Maharashtra</v>
      </c>
      <c r="O64" t="str">
        <f>_xlfn.XLOOKUP(C64,[1]Customers!$A$2:$A$201,[1]Customers!$H$2:$H$201)</f>
        <v>West</v>
      </c>
      <c r="P64" t="str">
        <f>_xlfn.XLOOKUP(C64,[1]Customers!$A$2:$A$201,[1]Customers!$F$2:$F$201)</f>
        <v>Pune</v>
      </c>
      <c r="Q64">
        <f>_xlfn.XLOOKUP(C64,[1]Customers!$A$2:$A$201,[1]Customers!$D$2:$D$201)</f>
        <v>44</v>
      </c>
      <c r="R64" t="str">
        <f>_xlfn.XLOOKUP([1]Transactions!C64,[1]Customers!$A$2:$A$201,[1]Customers!$C$2:$C$201)</f>
        <v>Female</v>
      </c>
      <c r="S64" t="str">
        <f>_xlfn.XLOOKUP(C64,[1]Customers!$A$2:$A$201,[1]Customers!$B$2:$B$201)</f>
        <v>Customer_153</v>
      </c>
      <c r="T64" t="str">
        <f>_xlfn.XLOOKUP(D64,[1]Products!$A$2:$A$101,[1]Products!$C$2:$C$101)</f>
        <v>Beverages</v>
      </c>
      <c r="U64">
        <f>_xlfn.XLOOKUP(D64,[1]Products!$A$2:$A$101,[1]Products!$E$2:$E$101)</f>
        <v>373</v>
      </c>
      <c r="V64">
        <f>[1]Transactions!F64*[1]Transactions!U64</f>
        <v>1119</v>
      </c>
    </row>
    <row r="65" spans="1:22" x14ac:dyDescent="0.3">
      <c r="A65">
        <v>64</v>
      </c>
      <c r="B65">
        <v>69</v>
      </c>
      <c r="C65">
        <v>101</v>
      </c>
      <c r="D65">
        <v>79</v>
      </c>
      <c r="E65">
        <v>40</v>
      </c>
      <c r="F65">
        <v>3</v>
      </c>
      <c r="G65">
        <v>52</v>
      </c>
      <c r="H65">
        <v>156</v>
      </c>
      <c r="I65">
        <v>53</v>
      </c>
      <c r="J65">
        <f>[1]Transactions!F65*[1]Transactions!G65</f>
        <v>156</v>
      </c>
      <c r="K65">
        <f>_xlfn.XLOOKUP([1]Transactions!D65,[1]Inventory!$C$2:$C$501,[1]Inventory!$A$2:$A$501)</f>
        <v>45</v>
      </c>
      <c r="L65">
        <f>_xlfn.XLOOKUP(K65,[1]Inventory!$A$2:$A$501,[1]Inventory!$D$2:$D$501)</f>
        <v>84</v>
      </c>
      <c r="M65">
        <f>_xlfn.XLOOKUP(K65,[1]Inventory!$A$2:$A$501,[1]Inventory!$E$2:$E$501)</f>
        <v>121</v>
      </c>
      <c r="N65" t="str">
        <f>_xlfn.XLOOKUP([1]Transactions!C65,[1]Customers!$A$2:$A$201,[1]Customers!$G$2:$G$201)</f>
        <v>Maharashtra</v>
      </c>
      <c r="O65" t="str">
        <f>_xlfn.XLOOKUP(C65,[1]Customers!$A$2:$A$201,[1]Customers!$H$2:$H$201)</f>
        <v>West</v>
      </c>
      <c r="P65" t="str">
        <f>_xlfn.XLOOKUP(C65,[1]Customers!$A$2:$A$201,[1]Customers!$F$2:$F$201)</f>
        <v>Pune</v>
      </c>
      <c r="Q65">
        <f>_xlfn.XLOOKUP(C65,[1]Customers!$A$2:$A$201,[1]Customers!$D$2:$D$201)</f>
        <v>53</v>
      </c>
      <c r="R65" t="str">
        <f>_xlfn.XLOOKUP([1]Transactions!C65,[1]Customers!$A$2:$A$201,[1]Customers!$C$2:$C$201)</f>
        <v>Female</v>
      </c>
      <c r="S65" t="str">
        <f>_xlfn.XLOOKUP(C65,[1]Customers!$A$2:$A$201,[1]Customers!$B$2:$B$201)</f>
        <v>Customer_101</v>
      </c>
      <c r="T65" t="str">
        <f>_xlfn.XLOOKUP(D65,[1]Products!$A$2:$A$101,[1]Products!$C$2:$C$101)</f>
        <v>Beverages</v>
      </c>
      <c r="U65">
        <f>_xlfn.XLOOKUP(D65,[1]Products!$A$2:$A$101,[1]Products!$E$2:$E$101)</f>
        <v>298</v>
      </c>
      <c r="V65">
        <f>[1]Transactions!F65*[1]Transactions!U65</f>
        <v>894</v>
      </c>
    </row>
    <row r="66" spans="1:22" x14ac:dyDescent="0.3">
      <c r="A66">
        <v>65</v>
      </c>
      <c r="B66">
        <v>55</v>
      </c>
      <c r="C66">
        <v>155</v>
      </c>
      <c r="D66">
        <v>42</v>
      </c>
      <c r="E66">
        <v>45</v>
      </c>
      <c r="F66">
        <v>4</v>
      </c>
      <c r="G66">
        <v>370</v>
      </c>
      <c r="H66">
        <v>1480</v>
      </c>
      <c r="I66">
        <v>39</v>
      </c>
      <c r="J66">
        <f>[1]Transactions!F66*[1]Transactions!G66</f>
        <v>1480</v>
      </c>
      <c r="K66">
        <f>_xlfn.XLOOKUP([1]Transactions!D66,[1]Inventory!$C$2:$C$501,[1]Inventory!$A$2:$A$501)</f>
        <v>108</v>
      </c>
      <c r="L66">
        <f>_xlfn.XLOOKUP(K66,[1]Inventory!$A$2:$A$501,[1]Inventory!$D$2:$D$501)</f>
        <v>212</v>
      </c>
      <c r="M66">
        <f>_xlfn.XLOOKUP(K66,[1]Inventory!$A$2:$A$501,[1]Inventory!$E$2:$E$501)</f>
        <v>113</v>
      </c>
      <c r="N66" t="str">
        <f>_xlfn.XLOOKUP([1]Transactions!C66,[1]Customers!$A$2:$A$201,[1]Customers!$G$2:$G$201)</f>
        <v>UP</v>
      </c>
      <c r="O66" t="str">
        <f>_xlfn.XLOOKUP(C66,[1]Customers!$A$2:$A$201,[1]Customers!$H$2:$H$201)</f>
        <v>North</v>
      </c>
      <c r="P66" t="str">
        <f>_xlfn.XLOOKUP(C66,[1]Customers!$A$2:$A$201,[1]Customers!$F$2:$F$201)</f>
        <v>Lucknow</v>
      </c>
      <c r="Q66">
        <f>_xlfn.XLOOKUP(C66,[1]Customers!$A$2:$A$201,[1]Customers!$D$2:$D$201)</f>
        <v>29</v>
      </c>
      <c r="R66" t="str">
        <f>_xlfn.XLOOKUP([1]Transactions!C66,[1]Customers!$A$2:$A$201,[1]Customers!$C$2:$C$201)</f>
        <v>Female</v>
      </c>
      <c r="S66" t="str">
        <f>_xlfn.XLOOKUP(C66,[1]Customers!$A$2:$A$201,[1]Customers!$B$2:$B$201)</f>
        <v>Customer_155</v>
      </c>
      <c r="T66" t="str">
        <f>_xlfn.XLOOKUP(D66,[1]Products!$A$2:$A$101,[1]Products!$C$2:$C$101)</f>
        <v>Snacks</v>
      </c>
      <c r="U66">
        <f>_xlfn.XLOOKUP(D66,[1]Products!$A$2:$A$101,[1]Products!$E$2:$E$101)</f>
        <v>77</v>
      </c>
      <c r="V66">
        <f>[1]Transactions!F66*[1]Transactions!U66</f>
        <v>308</v>
      </c>
    </row>
    <row r="67" spans="1:22" x14ac:dyDescent="0.3">
      <c r="A67">
        <v>66</v>
      </c>
      <c r="B67">
        <v>119</v>
      </c>
      <c r="C67">
        <v>6</v>
      </c>
      <c r="D67">
        <v>48</v>
      </c>
      <c r="E67">
        <v>9</v>
      </c>
      <c r="F67">
        <v>3</v>
      </c>
      <c r="G67">
        <v>387</v>
      </c>
      <c r="H67">
        <v>1161</v>
      </c>
      <c r="I67">
        <v>39</v>
      </c>
      <c r="J67">
        <f>[1]Transactions!F67*[1]Transactions!G67</f>
        <v>1161</v>
      </c>
      <c r="K67">
        <f>_xlfn.XLOOKUP([1]Transactions!D67,[1]Inventory!$C$2:$C$501,[1]Inventory!$A$2:$A$501)</f>
        <v>86</v>
      </c>
      <c r="L67">
        <f>_xlfn.XLOOKUP(K67,[1]Inventory!$A$2:$A$501,[1]Inventory!$D$2:$D$501)</f>
        <v>310</v>
      </c>
      <c r="M67">
        <f>_xlfn.XLOOKUP(K67,[1]Inventory!$A$2:$A$501,[1]Inventory!$E$2:$E$501)</f>
        <v>76</v>
      </c>
      <c r="N67" t="str">
        <f>_xlfn.XLOOKUP([1]Transactions!C67,[1]Customers!$A$2:$A$201,[1]Customers!$G$2:$G$201)</f>
        <v>Gujarat</v>
      </c>
      <c r="O67" t="str">
        <f>_xlfn.XLOOKUP(C67,[1]Customers!$A$2:$A$201,[1]Customers!$H$2:$H$201)</f>
        <v>West</v>
      </c>
      <c r="P67" t="str">
        <f>_xlfn.XLOOKUP(C67,[1]Customers!$A$2:$A$201,[1]Customers!$F$2:$F$201)</f>
        <v>Ahmedabad</v>
      </c>
      <c r="Q67">
        <f>_xlfn.XLOOKUP(C67,[1]Customers!$A$2:$A$201,[1]Customers!$D$2:$D$201)</f>
        <v>36</v>
      </c>
      <c r="R67" t="str">
        <f>_xlfn.XLOOKUP([1]Transactions!C67,[1]Customers!$A$2:$A$201,[1]Customers!$C$2:$C$201)</f>
        <v>Female</v>
      </c>
      <c r="S67" t="str">
        <f>_xlfn.XLOOKUP(C67,[1]Customers!$A$2:$A$201,[1]Customers!$B$2:$B$201)</f>
        <v>Customer_6</v>
      </c>
      <c r="T67" t="str">
        <f>_xlfn.XLOOKUP(D67,[1]Products!$A$2:$A$101,[1]Products!$C$2:$C$101)</f>
        <v>Snacks</v>
      </c>
      <c r="U67">
        <f>_xlfn.XLOOKUP(D67,[1]Products!$A$2:$A$101,[1]Products!$E$2:$E$101)</f>
        <v>315</v>
      </c>
      <c r="V67">
        <f>[1]Transactions!F67*[1]Transactions!U67</f>
        <v>945</v>
      </c>
    </row>
    <row r="68" spans="1:22" x14ac:dyDescent="0.3">
      <c r="A68">
        <v>67</v>
      </c>
      <c r="B68">
        <v>88</v>
      </c>
      <c r="C68">
        <v>67</v>
      </c>
      <c r="D68">
        <v>50</v>
      </c>
      <c r="E68">
        <v>39</v>
      </c>
      <c r="F68">
        <v>2</v>
      </c>
      <c r="G68">
        <v>60</v>
      </c>
      <c r="H68">
        <v>120</v>
      </c>
      <c r="I68">
        <v>47</v>
      </c>
      <c r="J68">
        <f>[1]Transactions!F68*[1]Transactions!G68</f>
        <v>120</v>
      </c>
      <c r="K68">
        <f>_xlfn.XLOOKUP([1]Transactions!D68,[1]Inventory!$C$2:$C$501,[1]Inventory!$A$2:$A$501)</f>
        <v>50</v>
      </c>
      <c r="L68">
        <f>_xlfn.XLOOKUP(K68,[1]Inventory!$A$2:$A$501,[1]Inventory!$D$2:$D$501)</f>
        <v>220</v>
      </c>
      <c r="M68">
        <f>_xlfn.XLOOKUP(K68,[1]Inventory!$A$2:$A$501,[1]Inventory!$E$2:$E$501)</f>
        <v>144</v>
      </c>
      <c r="N68" t="str">
        <f>_xlfn.XLOOKUP([1]Transactions!C68,[1]Customers!$A$2:$A$201,[1]Customers!$G$2:$G$201)</f>
        <v>Rajasthan</v>
      </c>
      <c r="O68" t="str">
        <f>_xlfn.XLOOKUP(C68,[1]Customers!$A$2:$A$201,[1]Customers!$H$2:$H$201)</f>
        <v>North</v>
      </c>
      <c r="P68" t="str">
        <f>_xlfn.XLOOKUP(C68,[1]Customers!$A$2:$A$201,[1]Customers!$F$2:$F$201)</f>
        <v>Jaipur</v>
      </c>
      <c r="Q68">
        <f>_xlfn.XLOOKUP(C68,[1]Customers!$A$2:$A$201,[1]Customers!$D$2:$D$201)</f>
        <v>40</v>
      </c>
      <c r="R68" t="str">
        <f>_xlfn.XLOOKUP([1]Transactions!C68,[1]Customers!$A$2:$A$201,[1]Customers!$C$2:$C$201)</f>
        <v>Male</v>
      </c>
      <c r="S68" t="str">
        <f>_xlfn.XLOOKUP(C68,[1]Customers!$A$2:$A$201,[1]Customers!$B$2:$B$201)</f>
        <v>Customer_67</v>
      </c>
      <c r="T68" t="str">
        <f>_xlfn.XLOOKUP(D68,[1]Products!$A$2:$A$101,[1]Products!$C$2:$C$101)</f>
        <v>Personal Care</v>
      </c>
      <c r="U68">
        <f>_xlfn.XLOOKUP(D68,[1]Products!$A$2:$A$101,[1]Products!$E$2:$E$101)</f>
        <v>407</v>
      </c>
      <c r="V68">
        <f>[1]Transactions!F68*[1]Transactions!U68</f>
        <v>814</v>
      </c>
    </row>
    <row r="69" spans="1:22" x14ac:dyDescent="0.3">
      <c r="A69">
        <v>68</v>
      </c>
      <c r="B69">
        <v>89</v>
      </c>
      <c r="C69">
        <v>26</v>
      </c>
      <c r="D69">
        <v>72</v>
      </c>
      <c r="E69">
        <v>15</v>
      </c>
      <c r="F69">
        <v>5</v>
      </c>
      <c r="G69">
        <v>225</v>
      </c>
      <c r="H69">
        <v>1125</v>
      </c>
      <c r="I69">
        <v>40</v>
      </c>
      <c r="J69">
        <f>[1]Transactions!F69*[1]Transactions!G69</f>
        <v>1125</v>
      </c>
      <c r="K69">
        <f>_xlfn.XLOOKUP([1]Transactions!D69,[1]Inventory!$C$2:$C$501,[1]Inventory!$A$2:$A$501)</f>
        <v>236</v>
      </c>
      <c r="L69">
        <f>_xlfn.XLOOKUP(K69,[1]Inventory!$A$2:$A$501,[1]Inventory!$D$2:$D$501)</f>
        <v>36</v>
      </c>
      <c r="M69">
        <f>_xlfn.XLOOKUP(K69,[1]Inventory!$A$2:$A$501,[1]Inventory!$E$2:$E$501)</f>
        <v>159</v>
      </c>
      <c r="N69" t="str">
        <f>_xlfn.XLOOKUP([1]Transactions!C69,[1]Customers!$A$2:$A$201,[1]Customers!$G$2:$G$201)</f>
        <v>Tamil Nadu</v>
      </c>
      <c r="O69" t="str">
        <f>_xlfn.XLOOKUP(C69,[1]Customers!$A$2:$A$201,[1]Customers!$H$2:$H$201)</f>
        <v>South</v>
      </c>
      <c r="P69" t="str">
        <f>_xlfn.XLOOKUP(C69,[1]Customers!$A$2:$A$201,[1]Customers!$F$2:$F$201)</f>
        <v>Chennai</v>
      </c>
      <c r="Q69">
        <f>_xlfn.XLOOKUP(C69,[1]Customers!$A$2:$A$201,[1]Customers!$D$2:$D$201)</f>
        <v>38</v>
      </c>
      <c r="R69" t="str">
        <f>_xlfn.XLOOKUP([1]Transactions!C69,[1]Customers!$A$2:$A$201,[1]Customers!$C$2:$C$201)</f>
        <v>Male</v>
      </c>
      <c r="S69" t="str">
        <f>_xlfn.XLOOKUP(C69,[1]Customers!$A$2:$A$201,[1]Customers!$B$2:$B$201)</f>
        <v>Customer_26</v>
      </c>
      <c r="T69" t="str">
        <f>_xlfn.XLOOKUP(D69,[1]Products!$A$2:$A$101,[1]Products!$C$2:$C$101)</f>
        <v>Beverages</v>
      </c>
      <c r="U69">
        <f>_xlfn.XLOOKUP(D69,[1]Products!$A$2:$A$101,[1]Products!$E$2:$E$101)</f>
        <v>465</v>
      </c>
      <c r="V69">
        <f>[1]Transactions!F69*[1]Transactions!U69</f>
        <v>2325</v>
      </c>
    </row>
    <row r="70" spans="1:22" x14ac:dyDescent="0.3">
      <c r="A70">
        <v>69</v>
      </c>
      <c r="B70">
        <v>138</v>
      </c>
      <c r="C70">
        <v>48</v>
      </c>
      <c r="D70">
        <v>16</v>
      </c>
      <c r="E70">
        <v>2</v>
      </c>
      <c r="F70">
        <v>2</v>
      </c>
      <c r="G70">
        <v>152</v>
      </c>
      <c r="H70">
        <v>304</v>
      </c>
      <c r="I70">
        <v>16</v>
      </c>
      <c r="J70">
        <f>[1]Transactions!F70*[1]Transactions!G70</f>
        <v>304</v>
      </c>
      <c r="K70">
        <f>_xlfn.XLOOKUP([1]Transactions!D70,[1]Inventory!$C$2:$C$501,[1]Inventory!$A$2:$A$501)</f>
        <v>42</v>
      </c>
      <c r="L70">
        <f>_xlfn.XLOOKUP(K70,[1]Inventory!$A$2:$A$501,[1]Inventory!$D$2:$D$501)</f>
        <v>76</v>
      </c>
      <c r="M70">
        <f>_xlfn.XLOOKUP(K70,[1]Inventory!$A$2:$A$501,[1]Inventory!$E$2:$E$501)</f>
        <v>109</v>
      </c>
      <c r="N70" t="str">
        <f>_xlfn.XLOOKUP([1]Transactions!C70,[1]Customers!$A$2:$A$201,[1]Customers!$G$2:$G$201)</f>
        <v>Gujarat</v>
      </c>
      <c r="O70" t="str">
        <f>_xlfn.XLOOKUP(C70,[1]Customers!$A$2:$A$201,[1]Customers!$H$2:$H$201)</f>
        <v>West</v>
      </c>
      <c r="P70" t="str">
        <f>_xlfn.XLOOKUP(C70,[1]Customers!$A$2:$A$201,[1]Customers!$F$2:$F$201)</f>
        <v>Ahmedabad</v>
      </c>
      <c r="Q70">
        <f>_xlfn.XLOOKUP(C70,[1]Customers!$A$2:$A$201,[1]Customers!$D$2:$D$201)</f>
        <v>30</v>
      </c>
      <c r="R70" t="str">
        <f>_xlfn.XLOOKUP([1]Transactions!C70,[1]Customers!$A$2:$A$201,[1]Customers!$C$2:$C$201)</f>
        <v>Male</v>
      </c>
      <c r="S70" t="str">
        <f>_xlfn.XLOOKUP(C70,[1]Customers!$A$2:$A$201,[1]Customers!$B$2:$B$201)</f>
        <v>Customer_48</v>
      </c>
      <c r="T70" t="str">
        <f>_xlfn.XLOOKUP(D70,[1]Products!$A$2:$A$101,[1]Products!$C$2:$C$101)</f>
        <v>Beverages</v>
      </c>
      <c r="U70">
        <f>_xlfn.XLOOKUP(D70,[1]Products!$A$2:$A$101,[1]Products!$E$2:$E$101)</f>
        <v>440</v>
      </c>
      <c r="V70">
        <f>[1]Transactions!F70*[1]Transactions!U70</f>
        <v>880</v>
      </c>
    </row>
    <row r="71" spans="1:22" x14ac:dyDescent="0.3">
      <c r="A71">
        <v>70</v>
      </c>
      <c r="B71">
        <v>51</v>
      </c>
      <c r="C71">
        <v>19</v>
      </c>
      <c r="D71">
        <v>19</v>
      </c>
      <c r="E71">
        <v>44</v>
      </c>
      <c r="F71">
        <v>2</v>
      </c>
      <c r="G71">
        <v>483</v>
      </c>
      <c r="H71">
        <v>966</v>
      </c>
      <c r="I71">
        <v>40</v>
      </c>
      <c r="J71">
        <f>[1]Transactions!F71*[1]Transactions!G71</f>
        <v>966</v>
      </c>
      <c r="K71">
        <f>_xlfn.XLOOKUP([1]Transactions!D71,[1]Inventory!$C$2:$C$501,[1]Inventory!$A$2:$A$501)</f>
        <v>7</v>
      </c>
      <c r="L71">
        <f>_xlfn.XLOOKUP(K71,[1]Inventory!$A$2:$A$501,[1]Inventory!$D$2:$D$501)</f>
        <v>88</v>
      </c>
      <c r="M71">
        <f>_xlfn.XLOOKUP(K71,[1]Inventory!$A$2:$A$501,[1]Inventory!$E$2:$E$501)</f>
        <v>158</v>
      </c>
      <c r="N71" t="str">
        <f>_xlfn.XLOOKUP([1]Transactions!C71,[1]Customers!$A$2:$A$201,[1]Customers!$G$2:$G$201)</f>
        <v>Maharashtra</v>
      </c>
      <c r="O71" t="str">
        <f>_xlfn.XLOOKUP(C71,[1]Customers!$A$2:$A$201,[1]Customers!$H$2:$H$201)</f>
        <v>West</v>
      </c>
      <c r="P71" t="str">
        <f>_xlfn.XLOOKUP(C71,[1]Customers!$A$2:$A$201,[1]Customers!$F$2:$F$201)</f>
        <v>Pune</v>
      </c>
      <c r="Q71">
        <f>_xlfn.XLOOKUP(C71,[1]Customers!$A$2:$A$201,[1]Customers!$D$2:$D$201)</f>
        <v>39</v>
      </c>
      <c r="R71" t="str">
        <f>_xlfn.XLOOKUP([1]Transactions!C71,[1]Customers!$A$2:$A$201,[1]Customers!$C$2:$C$201)</f>
        <v>Female</v>
      </c>
      <c r="S71" t="str">
        <f>_xlfn.XLOOKUP(C71,[1]Customers!$A$2:$A$201,[1]Customers!$B$2:$B$201)</f>
        <v>Customer_19</v>
      </c>
      <c r="T71" t="str">
        <f>_xlfn.XLOOKUP(D71,[1]Products!$A$2:$A$101,[1]Products!$C$2:$C$101)</f>
        <v>Snacks</v>
      </c>
      <c r="U71">
        <f>_xlfn.XLOOKUP(D71,[1]Products!$A$2:$A$101,[1]Products!$E$2:$E$101)</f>
        <v>442</v>
      </c>
      <c r="V71">
        <f>[1]Transactions!F71*[1]Transactions!U71</f>
        <v>884</v>
      </c>
    </row>
    <row r="72" spans="1:22" x14ac:dyDescent="0.3">
      <c r="A72">
        <v>71</v>
      </c>
      <c r="B72">
        <v>95</v>
      </c>
      <c r="C72">
        <v>115</v>
      </c>
      <c r="D72">
        <v>4</v>
      </c>
      <c r="E72">
        <v>13</v>
      </c>
      <c r="F72">
        <v>1</v>
      </c>
      <c r="G72">
        <v>192</v>
      </c>
      <c r="H72">
        <v>192</v>
      </c>
      <c r="I72">
        <v>51</v>
      </c>
      <c r="J72">
        <f>[1]Transactions!F72*[1]Transactions!G72</f>
        <v>192</v>
      </c>
      <c r="K72">
        <f>_xlfn.XLOOKUP([1]Transactions!D72,[1]Inventory!$C$2:$C$501,[1]Inventory!$A$2:$A$501)</f>
        <v>130</v>
      </c>
      <c r="L72">
        <f>_xlfn.XLOOKUP(K72,[1]Inventory!$A$2:$A$501,[1]Inventory!$D$2:$D$501)</f>
        <v>14</v>
      </c>
      <c r="M72">
        <f>_xlfn.XLOOKUP(K72,[1]Inventory!$A$2:$A$501,[1]Inventory!$E$2:$E$501)</f>
        <v>97</v>
      </c>
      <c r="N72" t="str">
        <f>_xlfn.XLOOKUP([1]Transactions!C72,[1]Customers!$A$2:$A$201,[1]Customers!$G$2:$G$201)</f>
        <v>UP</v>
      </c>
      <c r="O72" t="str">
        <f>_xlfn.XLOOKUP(C72,[1]Customers!$A$2:$A$201,[1]Customers!$H$2:$H$201)</f>
        <v>North</v>
      </c>
      <c r="P72" t="str">
        <f>_xlfn.XLOOKUP(C72,[1]Customers!$A$2:$A$201,[1]Customers!$F$2:$F$201)</f>
        <v>Lucknow</v>
      </c>
      <c r="Q72">
        <f>_xlfn.XLOOKUP(C72,[1]Customers!$A$2:$A$201,[1]Customers!$D$2:$D$201)</f>
        <v>47</v>
      </c>
      <c r="R72" t="str">
        <f>_xlfn.XLOOKUP([1]Transactions!C72,[1]Customers!$A$2:$A$201,[1]Customers!$C$2:$C$201)</f>
        <v>Female</v>
      </c>
      <c r="S72" t="str">
        <f>_xlfn.XLOOKUP(C72,[1]Customers!$A$2:$A$201,[1]Customers!$B$2:$B$201)</f>
        <v>Customer_115</v>
      </c>
      <c r="T72" t="str">
        <f>_xlfn.XLOOKUP(D72,[1]Products!$A$2:$A$101,[1]Products!$C$2:$C$101)</f>
        <v>Grocery</v>
      </c>
      <c r="U72">
        <f>_xlfn.XLOOKUP(D72,[1]Products!$A$2:$A$101,[1]Products!$E$2:$E$101)</f>
        <v>459</v>
      </c>
      <c r="V72">
        <f>[1]Transactions!F72*[1]Transactions!U72</f>
        <v>459</v>
      </c>
    </row>
    <row r="73" spans="1:22" x14ac:dyDescent="0.3">
      <c r="A73">
        <v>72</v>
      </c>
      <c r="B73">
        <v>160</v>
      </c>
      <c r="C73">
        <v>7</v>
      </c>
      <c r="D73">
        <v>11</v>
      </c>
      <c r="E73">
        <v>1</v>
      </c>
      <c r="F73">
        <v>5</v>
      </c>
      <c r="G73">
        <v>362</v>
      </c>
      <c r="H73">
        <v>1810</v>
      </c>
      <c r="I73">
        <v>22</v>
      </c>
      <c r="J73">
        <f>[1]Transactions!F73*[1]Transactions!G73</f>
        <v>1810</v>
      </c>
      <c r="K73">
        <f>_xlfn.XLOOKUP([1]Transactions!D73,[1]Inventory!$C$2:$C$501,[1]Inventory!$A$2:$A$501)</f>
        <v>228</v>
      </c>
      <c r="L73">
        <f>_xlfn.XLOOKUP(K73,[1]Inventory!$A$2:$A$501,[1]Inventory!$D$2:$D$501)</f>
        <v>14</v>
      </c>
      <c r="M73">
        <f>_xlfn.XLOOKUP(K73,[1]Inventory!$A$2:$A$501,[1]Inventory!$E$2:$E$501)</f>
        <v>138</v>
      </c>
      <c r="N73" t="str">
        <f>_xlfn.XLOOKUP([1]Transactions!C73,[1]Customers!$A$2:$A$201,[1]Customers!$G$2:$G$201)</f>
        <v>West Bengal</v>
      </c>
      <c r="O73" t="str">
        <f>_xlfn.XLOOKUP(C73,[1]Customers!$A$2:$A$201,[1]Customers!$H$2:$H$201)</f>
        <v>East</v>
      </c>
      <c r="P73" t="str">
        <f>_xlfn.XLOOKUP(C73,[1]Customers!$A$2:$A$201,[1]Customers!$F$2:$F$201)</f>
        <v>Kolkata</v>
      </c>
      <c r="Q73">
        <f>_xlfn.XLOOKUP(C73,[1]Customers!$A$2:$A$201,[1]Customers!$D$2:$D$201)</f>
        <v>40</v>
      </c>
      <c r="R73" t="str">
        <f>_xlfn.XLOOKUP([1]Transactions!C73,[1]Customers!$A$2:$A$201,[1]Customers!$C$2:$C$201)</f>
        <v>Male</v>
      </c>
      <c r="S73" t="str">
        <f>_xlfn.XLOOKUP(C73,[1]Customers!$A$2:$A$201,[1]Customers!$B$2:$B$201)</f>
        <v>Customer_7</v>
      </c>
      <c r="T73" t="str">
        <f>_xlfn.XLOOKUP(D73,[1]Products!$A$2:$A$101,[1]Products!$C$2:$C$101)</f>
        <v>Beverages</v>
      </c>
      <c r="U73">
        <f>_xlfn.XLOOKUP(D73,[1]Products!$A$2:$A$101,[1]Products!$E$2:$E$101)</f>
        <v>373</v>
      </c>
      <c r="V73">
        <f>[1]Transactions!F73*[1]Transactions!U73</f>
        <v>1865</v>
      </c>
    </row>
    <row r="74" spans="1:22" x14ac:dyDescent="0.3">
      <c r="A74">
        <v>73</v>
      </c>
      <c r="B74">
        <v>39</v>
      </c>
      <c r="C74">
        <v>75</v>
      </c>
      <c r="D74">
        <v>15</v>
      </c>
      <c r="E74">
        <v>20</v>
      </c>
      <c r="F74">
        <v>3</v>
      </c>
      <c r="G74">
        <v>463</v>
      </c>
      <c r="H74">
        <v>1389</v>
      </c>
      <c r="I74">
        <v>56</v>
      </c>
      <c r="J74">
        <f>[1]Transactions!F74*[1]Transactions!G74</f>
        <v>1389</v>
      </c>
      <c r="K74">
        <f>_xlfn.XLOOKUP([1]Transactions!D74,[1]Inventory!$C$2:$C$501,[1]Inventory!$A$2:$A$501)</f>
        <v>407</v>
      </c>
      <c r="L74">
        <f>_xlfn.XLOOKUP(K74,[1]Inventory!$A$2:$A$501,[1]Inventory!$D$2:$D$501)</f>
        <v>248</v>
      </c>
      <c r="M74">
        <f>_xlfn.XLOOKUP(K74,[1]Inventory!$A$2:$A$501,[1]Inventory!$E$2:$E$501)</f>
        <v>87</v>
      </c>
      <c r="N74" t="str">
        <f>_xlfn.XLOOKUP([1]Transactions!C74,[1]Customers!$A$2:$A$201,[1]Customers!$G$2:$G$201)</f>
        <v>Rajasthan</v>
      </c>
      <c r="O74" t="str">
        <f>_xlfn.XLOOKUP(C74,[1]Customers!$A$2:$A$201,[1]Customers!$H$2:$H$201)</f>
        <v>North</v>
      </c>
      <c r="P74" t="str">
        <f>_xlfn.XLOOKUP(C74,[1]Customers!$A$2:$A$201,[1]Customers!$F$2:$F$201)</f>
        <v>Jaipur</v>
      </c>
      <c r="Q74">
        <f>_xlfn.XLOOKUP(C74,[1]Customers!$A$2:$A$201,[1]Customers!$D$2:$D$201)</f>
        <v>35</v>
      </c>
      <c r="R74" t="str">
        <f>_xlfn.XLOOKUP([1]Transactions!C74,[1]Customers!$A$2:$A$201,[1]Customers!$C$2:$C$201)</f>
        <v>Male</v>
      </c>
      <c r="S74" t="str">
        <f>_xlfn.XLOOKUP(C74,[1]Customers!$A$2:$A$201,[1]Customers!$B$2:$B$201)</f>
        <v>Customer_75</v>
      </c>
      <c r="T74" t="str">
        <f>_xlfn.XLOOKUP(D74,[1]Products!$A$2:$A$101,[1]Products!$C$2:$C$101)</f>
        <v>Snacks</v>
      </c>
      <c r="U74">
        <f>_xlfn.XLOOKUP(D74,[1]Products!$A$2:$A$101,[1]Products!$E$2:$E$101)</f>
        <v>214</v>
      </c>
      <c r="V74">
        <f>[1]Transactions!F74*[1]Transactions!U74</f>
        <v>642</v>
      </c>
    </row>
    <row r="75" spans="1:22" x14ac:dyDescent="0.3">
      <c r="A75">
        <v>74</v>
      </c>
      <c r="B75">
        <v>16</v>
      </c>
      <c r="C75">
        <v>79</v>
      </c>
      <c r="D75">
        <v>84</v>
      </c>
      <c r="E75">
        <v>27</v>
      </c>
      <c r="F75">
        <v>1</v>
      </c>
      <c r="G75">
        <v>350</v>
      </c>
      <c r="H75">
        <v>350</v>
      </c>
      <c r="I75">
        <v>11</v>
      </c>
      <c r="J75">
        <f>[1]Transactions!F75*[1]Transactions!G75</f>
        <v>350</v>
      </c>
      <c r="K75">
        <f>_xlfn.XLOOKUP([1]Transactions!D75,[1]Inventory!$C$2:$C$501,[1]Inventory!$A$2:$A$501)</f>
        <v>303</v>
      </c>
      <c r="L75">
        <f>_xlfn.XLOOKUP(K75,[1]Inventory!$A$2:$A$501,[1]Inventory!$D$2:$D$501)</f>
        <v>293</v>
      </c>
      <c r="M75">
        <f>_xlfn.XLOOKUP(K75,[1]Inventory!$A$2:$A$501,[1]Inventory!$E$2:$E$501)</f>
        <v>69</v>
      </c>
      <c r="N75" t="str">
        <f>_xlfn.XLOOKUP([1]Transactions!C75,[1]Customers!$A$2:$A$201,[1]Customers!$G$2:$G$201)</f>
        <v>Gujarat</v>
      </c>
      <c r="O75" t="str">
        <f>_xlfn.XLOOKUP(C75,[1]Customers!$A$2:$A$201,[1]Customers!$H$2:$H$201)</f>
        <v>West</v>
      </c>
      <c r="P75" t="str">
        <f>_xlfn.XLOOKUP(C75,[1]Customers!$A$2:$A$201,[1]Customers!$F$2:$F$201)</f>
        <v>Ahmedabad</v>
      </c>
      <c r="Q75">
        <f>_xlfn.XLOOKUP(C75,[1]Customers!$A$2:$A$201,[1]Customers!$D$2:$D$201)</f>
        <v>19</v>
      </c>
      <c r="R75" t="str">
        <f>_xlfn.XLOOKUP([1]Transactions!C75,[1]Customers!$A$2:$A$201,[1]Customers!$C$2:$C$201)</f>
        <v>Male</v>
      </c>
      <c r="S75" t="str">
        <f>_xlfn.XLOOKUP(C75,[1]Customers!$A$2:$A$201,[1]Customers!$B$2:$B$201)</f>
        <v>Customer_79</v>
      </c>
      <c r="T75" t="str">
        <f>_xlfn.XLOOKUP(D75,[1]Products!$A$2:$A$101,[1]Products!$C$2:$C$101)</f>
        <v>Grocery</v>
      </c>
      <c r="U75">
        <f>_xlfn.XLOOKUP(D75,[1]Products!$A$2:$A$101,[1]Products!$E$2:$E$101)</f>
        <v>249</v>
      </c>
      <c r="V75">
        <f>[1]Transactions!F75*[1]Transactions!U75</f>
        <v>249</v>
      </c>
    </row>
    <row r="76" spans="1:22" x14ac:dyDescent="0.3">
      <c r="A76">
        <v>75</v>
      </c>
      <c r="B76">
        <v>167</v>
      </c>
      <c r="C76">
        <v>27</v>
      </c>
      <c r="D76">
        <v>97</v>
      </c>
      <c r="E76">
        <v>23</v>
      </c>
      <c r="F76">
        <v>4</v>
      </c>
      <c r="G76">
        <v>262</v>
      </c>
      <c r="H76">
        <v>1048</v>
      </c>
      <c r="I76">
        <v>26</v>
      </c>
      <c r="J76">
        <f>[1]Transactions!F76*[1]Transactions!G76</f>
        <v>1048</v>
      </c>
      <c r="K76">
        <f>_xlfn.XLOOKUP([1]Transactions!D76,[1]Inventory!$C$2:$C$501,[1]Inventory!$A$2:$A$501)</f>
        <v>5</v>
      </c>
      <c r="L76">
        <f>_xlfn.XLOOKUP(K76,[1]Inventory!$A$2:$A$501,[1]Inventory!$D$2:$D$501)</f>
        <v>362</v>
      </c>
      <c r="M76">
        <f>_xlfn.XLOOKUP(K76,[1]Inventory!$A$2:$A$501,[1]Inventory!$E$2:$E$501)</f>
        <v>61</v>
      </c>
      <c r="N76" t="str">
        <f>_xlfn.XLOOKUP([1]Transactions!C76,[1]Customers!$A$2:$A$201,[1]Customers!$G$2:$G$201)</f>
        <v>Maharashtra</v>
      </c>
      <c r="O76" t="str">
        <f>_xlfn.XLOOKUP(C76,[1]Customers!$A$2:$A$201,[1]Customers!$H$2:$H$201)</f>
        <v>West</v>
      </c>
      <c r="P76" t="str">
        <f>_xlfn.XLOOKUP(C76,[1]Customers!$A$2:$A$201,[1]Customers!$F$2:$F$201)</f>
        <v>Pune</v>
      </c>
      <c r="Q76">
        <f>_xlfn.XLOOKUP(C76,[1]Customers!$A$2:$A$201,[1]Customers!$D$2:$D$201)</f>
        <v>50</v>
      </c>
      <c r="R76" t="str">
        <f>_xlfn.XLOOKUP([1]Transactions!C76,[1]Customers!$A$2:$A$201,[1]Customers!$C$2:$C$201)</f>
        <v>Male</v>
      </c>
      <c r="S76" t="str">
        <f>_xlfn.XLOOKUP(C76,[1]Customers!$A$2:$A$201,[1]Customers!$B$2:$B$201)</f>
        <v>Customer_27</v>
      </c>
      <c r="T76" t="str">
        <f>_xlfn.XLOOKUP(D76,[1]Products!$A$2:$A$101,[1]Products!$C$2:$C$101)</f>
        <v>Grocery</v>
      </c>
      <c r="U76">
        <f>_xlfn.XLOOKUP(D76,[1]Products!$A$2:$A$101,[1]Products!$E$2:$E$101)</f>
        <v>419</v>
      </c>
      <c r="V76">
        <f>[1]Transactions!F76*[1]Transactions!U76</f>
        <v>1676</v>
      </c>
    </row>
    <row r="77" spans="1:22" x14ac:dyDescent="0.3">
      <c r="A77">
        <v>76</v>
      </c>
      <c r="B77">
        <v>176</v>
      </c>
      <c r="C77">
        <v>39</v>
      </c>
      <c r="D77">
        <v>45</v>
      </c>
      <c r="E77">
        <v>30</v>
      </c>
      <c r="F77">
        <v>5</v>
      </c>
      <c r="G77">
        <v>305</v>
      </c>
      <c r="H77">
        <v>1525</v>
      </c>
      <c r="I77">
        <v>27</v>
      </c>
      <c r="J77">
        <f>[1]Transactions!F77*[1]Transactions!G77</f>
        <v>1525</v>
      </c>
      <c r="K77">
        <f>_xlfn.XLOOKUP([1]Transactions!D77,[1]Inventory!$C$2:$C$501,[1]Inventory!$A$2:$A$501)</f>
        <v>472</v>
      </c>
      <c r="L77">
        <f>_xlfn.XLOOKUP(K77,[1]Inventory!$A$2:$A$501,[1]Inventory!$D$2:$D$501)</f>
        <v>273</v>
      </c>
      <c r="M77">
        <f>_xlfn.XLOOKUP(K77,[1]Inventory!$A$2:$A$501,[1]Inventory!$E$2:$E$501)</f>
        <v>56</v>
      </c>
      <c r="N77" t="str">
        <f>_xlfn.XLOOKUP([1]Transactions!C77,[1]Customers!$A$2:$A$201,[1]Customers!$G$2:$G$201)</f>
        <v>Gujarat</v>
      </c>
      <c r="O77" t="str">
        <f>_xlfn.XLOOKUP(C77,[1]Customers!$A$2:$A$201,[1]Customers!$H$2:$H$201)</f>
        <v>West</v>
      </c>
      <c r="P77" t="str">
        <f>_xlfn.XLOOKUP(C77,[1]Customers!$A$2:$A$201,[1]Customers!$F$2:$F$201)</f>
        <v>Ahmedabad</v>
      </c>
      <c r="Q77">
        <f>_xlfn.XLOOKUP(C77,[1]Customers!$A$2:$A$201,[1]Customers!$D$2:$D$201)</f>
        <v>36</v>
      </c>
      <c r="R77" t="str">
        <f>_xlfn.XLOOKUP([1]Transactions!C77,[1]Customers!$A$2:$A$201,[1]Customers!$C$2:$C$201)</f>
        <v>Male</v>
      </c>
      <c r="S77" t="str">
        <f>_xlfn.XLOOKUP(C77,[1]Customers!$A$2:$A$201,[1]Customers!$B$2:$B$201)</f>
        <v>Customer_39</v>
      </c>
      <c r="T77" t="str">
        <f>_xlfn.XLOOKUP(D77,[1]Products!$A$2:$A$101,[1]Products!$C$2:$C$101)</f>
        <v>Dairy</v>
      </c>
      <c r="U77">
        <f>_xlfn.XLOOKUP(D77,[1]Products!$A$2:$A$101,[1]Products!$E$2:$E$101)</f>
        <v>425</v>
      </c>
      <c r="V77">
        <f>[1]Transactions!F77*[1]Transactions!U77</f>
        <v>2125</v>
      </c>
    </row>
    <row r="78" spans="1:22" x14ac:dyDescent="0.3">
      <c r="A78">
        <v>77</v>
      </c>
      <c r="B78">
        <v>121</v>
      </c>
      <c r="C78">
        <v>147</v>
      </c>
      <c r="D78">
        <v>77</v>
      </c>
      <c r="E78">
        <v>15</v>
      </c>
      <c r="F78">
        <v>4</v>
      </c>
      <c r="G78">
        <v>302</v>
      </c>
      <c r="H78">
        <v>1208</v>
      </c>
      <c r="I78">
        <v>52</v>
      </c>
      <c r="J78">
        <f>[1]Transactions!F78*[1]Transactions!G78</f>
        <v>1208</v>
      </c>
      <c r="K78">
        <f>_xlfn.XLOOKUP([1]Transactions!D78,[1]Inventory!$C$2:$C$501,[1]Inventory!$A$2:$A$501)</f>
        <v>243</v>
      </c>
      <c r="L78">
        <f>_xlfn.XLOOKUP(K78,[1]Inventory!$A$2:$A$501,[1]Inventory!$D$2:$D$501)</f>
        <v>97</v>
      </c>
      <c r="M78">
        <f>_xlfn.XLOOKUP(K78,[1]Inventory!$A$2:$A$501,[1]Inventory!$E$2:$E$501)</f>
        <v>107</v>
      </c>
      <c r="N78" t="str">
        <f>_xlfn.XLOOKUP([1]Transactions!C78,[1]Customers!$A$2:$A$201,[1]Customers!$G$2:$G$201)</f>
        <v>West Bengal</v>
      </c>
      <c r="O78" t="str">
        <f>_xlfn.XLOOKUP(C78,[1]Customers!$A$2:$A$201,[1]Customers!$H$2:$H$201)</f>
        <v>East</v>
      </c>
      <c r="P78" t="str">
        <f>_xlfn.XLOOKUP(C78,[1]Customers!$A$2:$A$201,[1]Customers!$F$2:$F$201)</f>
        <v>Kolkata</v>
      </c>
      <c r="Q78">
        <f>_xlfn.XLOOKUP(C78,[1]Customers!$A$2:$A$201,[1]Customers!$D$2:$D$201)</f>
        <v>43</v>
      </c>
      <c r="R78" t="str">
        <f>_xlfn.XLOOKUP([1]Transactions!C78,[1]Customers!$A$2:$A$201,[1]Customers!$C$2:$C$201)</f>
        <v>Female</v>
      </c>
      <c r="S78" t="str">
        <f>_xlfn.XLOOKUP(C78,[1]Customers!$A$2:$A$201,[1]Customers!$B$2:$B$201)</f>
        <v>Customer_147</v>
      </c>
      <c r="T78" t="str">
        <f>_xlfn.XLOOKUP(D78,[1]Products!$A$2:$A$101,[1]Products!$C$2:$C$101)</f>
        <v>Grocery</v>
      </c>
      <c r="U78">
        <f>_xlfn.XLOOKUP(D78,[1]Products!$A$2:$A$101,[1]Products!$E$2:$E$101)</f>
        <v>389</v>
      </c>
      <c r="V78">
        <f>[1]Transactions!F78*[1]Transactions!U78</f>
        <v>1556</v>
      </c>
    </row>
    <row r="79" spans="1:22" x14ac:dyDescent="0.3">
      <c r="A79">
        <v>78</v>
      </c>
      <c r="B79">
        <v>158</v>
      </c>
      <c r="C79">
        <v>67</v>
      </c>
      <c r="D79">
        <v>18</v>
      </c>
      <c r="E79">
        <v>8</v>
      </c>
      <c r="F79">
        <v>2</v>
      </c>
      <c r="G79">
        <v>481</v>
      </c>
      <c r="H79">
        <v>962</v>
      </c>
      <c r="I79">
        <v>36</v>
      </c>
      <c r="J79">
        <f>[1]Transactions!F79*[1]Transactions!G79</f>
        <v>962</v>
      </c>
      <c r="K79">
        <f>_xlfn.XLOOKUP([1]Transactions!D79,[1]Inventory!$C$2:$C$501,[1]Inventory!$A$2:$A$501)</f>
        <v>78</v>
      </c>
      <c r="L79">
        <f>_xlfn.XLOOKUP(K79,[1]Inventory!$A$2:$A$501,[1]Inventory!$D$2:$D$501)</f>
        <v>109</v>
      </c>
      <c r="M79">
        <f>_xlfn.XLOOKUP(K79,[1]Inventory!$A$2:$A$501,[1]Inventory!$E$2:$E$501)</f>
        <v>51</v>
      </c>
      <c r="N79" t="str">
        <f>_xlfn.XLOOKUP([1]Transactions!C79,[1]Customers!$A$2:$A$201,[1]Customers!$G$2:$G$201)</f>
        <v>Rajasthan</v>
      </c>
      <c r="O79" t="str">
        <f>_xlfn.XLOOKUP(C79,[1]Customers!$A$2:$A$201,[1]Customers!$H$2:$H$201)</f>
        <v>North</v>
      </c>
      <c r="P79" t="str">
        <f>_xlfn.XLOOKUP(C79,[1]Customers!$A$2:$A$201,[1]Customers!$F$2:$F$201)</f>
        <v>Jaipur</v>
      </c>
      <c r="Q79">
        <f>_xlfn.XLOOKUP(C79,[1]Customers!$A$2:$A$201,[1]Customers!$D$2:$D$201)</f>
        <v>40</v>
      </c>
      <c r="R79" t="str">
        <f>_xlfn.XLOOKUP([1]Transactions!C79,[1]Customers!$A$2:$A$201,[1]Customers!$C$2:$C$201)</f>
        <v>Male</v>
      </c>
      <c r="S79" t="str">
        <f>_xlfn.XLOOKUP(C79,[1]Customers!$A$2:$A$201,[1]Customers!$B$2:$B$201)</f>
        <v>Customer_67</v>
      </c>
      <c r="T79" t="str">
        <f>_xlfn.XLOOKUP(D79,[1]Products!$A$2:$A$101,[1]Products!$C$2:$C$101)</f>
        <v>Snacks</v>
      </c>
      <c r="U79">
        <f>_xlfn.XLOOKUP(D79,[1]Products!$A$2:$A$101,[1]Products!$E$2:$E$101)</f>
        <v>460</v>
      </c>
      <c r="V79">
        <f>[1]Transactions!F79*[1]Transactions!U79</f>
        <v>920</v>
      </c>
    </row>
    <row r="80" spans="1:22" x14ac:dyDescent="0.3">
      <c r="A80">
        <v>79</v>
      </c>
      <c r="B80">
        <v>57</v>
      </c>
      <c r="C80">
        <v>159</v>
      </c>
      <c r="D80">
        <v>46</v>
      </c>
      <c r="E80">
        <v>18</v>
      </c>
      <c r="F80">
        <v>5</v>
      </c>
      <c r="G80">
        <v>176</v>
      </c>
      <c r="H80">
        <v>880</v>
      </c>
      <c r="I80">
        <v>23</v>
      </c>
      <c r="J80">
        <f>[1]Transactions!F80*[1]Transactions!G80</f>
        <v>880</v>
      </c>
      <c r="K80">
        <f>_xlfn.XLOOKUP([1]Transactions!D80,[1]Inventory!$C$2:$C$501,[1]Inventory!$A$2:$A$501)</f>
        <v>218</v>
      </c>
      <c r="L80">
        <f>_xlfn.XLOOKUP(K80,[1]Inventory!$A$2:$A$501,[1]Inventory!$D$2:$D$501)</f>
        <v>426</v>
      </c>
      <c r="M80">
        <f>_xlfn.XLOOKUP(K80,[1]Inventory!$A$2:$A$501,[1]Inventory!$E$2:$E$501)</f>
        <v>14</v>
      </c>
      <c r="N80" t="str">
        <f>_xlfn.XLOOKUP([1]Transactions!C80,[1]Customers!$A$2:$A$201,[1]Customers!$G$2:$G$201)</f>
        <v>Maharashtra</v>
      </c>
      <c r="O80" t="str">
        <f>_xlfn.XLOOKUP(C80,[1]Customers!$A$2:$A$201,[1]Customers!$H$2:$H$201)</f>
        <v>West</v>
      </c>
      <c r="P80" t="str">
        <f>_xlfn.XLOOKUP(C80,[1]Customers!$A$2:$A$201,[1]Customers!$F$2:$F$201)</f>
        <v>Mumbai</v>
      </c>
      <c r="Q80">
        <f>_xlfn.XLOOKUP(C80,[1]Customers!$A$2:$A$201,[1]Customers!$D$2:$D$201)</f>
        <v>48</v>
      </c>
      <c r="R80" t="str">
        <f>_xlfn.XLOOKUP([1]Transactions!C80,[1]Customers!$A$2:$A$201,[1]Customers!$C$2:$C$201)</f>
        <v>Male</v>
      </c>
      <c r="S80" t="str">
        <f>_xlfn.XLOOKUP(C80,[1]Customers!$A$2:$A$201,[1]Customers!$B$2:$B$201)</f>
        <v>Customer_159</v>
      </c>
      <c r="T80" t="str">
        <f>_xlfn.XLOOKUP(D80,[1]Products!$A$2:$A$101,[1]Products!$C$2:$C$101)</f>
        <v>Personal Care</v>
      </c>
      <c r="U80">
        <f>_xlfn.XLOOKUP(D80,[1]Products!$A$2:$A$101,[1]Products!$E$2:$E$101)</f>
        <v>56</v>
      </c>
      <c r="V80">
        <f>[1]Transactions!F80*[1]Transactions!U80</f>
        <v>280</v>
      </c>
    </row>
    <row r="81" spans="1:22" x14ac:dyDescent="0.3">
      <c r="A81">
        <v>80</v>
      </c>
      <c r="B81">
        <v>1</v>
      </c>
      <c r="C81">
        <v>91</v>
      </c>
      <c r="D81">
        <v>85</v>
      </c>
      <c r="E81">
        <v>41</v>
      </c>
      <c r="F81">
        <v>4</v>
      </c>
      <c r="G81">
        <v>324</v>
      </c>
      <c r="H81">
        <v>1296</v>
      </c>
      <c r="I81">
        <v>45</v>
      </c>
      <c r="J81">
        <f>[1]Transactions!F81*[1]Transactions!G81</f>
        <v>1296</v>
      </c>
      <c r="K81">
        <f>_xlfn.XLOOKUP([1]Transactions!D81,[1]Inventory!$C$2:$C$501,[1]Inventory!$A$2:$A$501)</f>
        <v>12</v>
      </c>
      <c r="L81">
        <f>_xlfn.XLOOKUP(K81,[1]Inventory!$A$2:$A$501,[1]Inventory!$D$2:$D$501)</f>
        <v>276</v>
      </c>
      <c r="M81">
        <f>_xlfn.XLOOKUP(K81,[1]Inventory!$A$2:$A$501,[1]Inventory!$E$2:$E$501)</f>
        <v>118</v>
      </c>
      <c r="N81" t="str">
        <f>_xlfn.XLOOKUP([1]Transactions!C81,[1]Customers!$A$2:$A$201,[1]Customers!$G$2:$G$201)</f>
        <v>Maharashtra</v>
      </c>
      <c r="O81" t="str">
        <f>_xlfn.XLOOKUP(C81,[1]Customers!$A$2:$A$201,[1]Customers!$H$2:$H$201)</f>
        <v>West</v>
      </c>
      <c r="P81" t="str">
        <f>_xlfn.XLOOKUP(C81,[1]Customers!$A$2:$A$201,[1]Customers!$F$2:$F$201)</f>
        <v>Mumbai</v>
      </c>
      <c r="Q81">
        <f>_xlfn.XLOOKUP(C81,[1]Customers!$A$2:$A$201,[1]Customers!$D$2:$D$201)</f>
        <v>60</v>
      </c>
      <c r="R81" t="str">
        <f>_xlfn.XLOOKUP([1]Transactions!C81,[1]Customers!$A$2:$A$201,[1]Customers!$C$2:$C$201)</f>
        <v>Male</v>
      </c>
      <c r="S81" t="str">
        <f>_xlfn.XLOOKUP(C81,[1]Customers!$A$2:$A$201,[1]Customers!$B$2:$B$201)</f>
        <v>Customer_91</v>
      </c>
      <c r="T81" t="str">
        <f>_xlfn.XLOOKUP(D81,[1]Products!$A$2:$A$101,[1]Products!$C$2:$C$101)</f>
        <v>Beverages</v>
      </c>
      <c r="U81">
        <f>_xlfn.XLOOKUP(D81,[1]Products!$A$2:$A$101,[1]Products!$E$2:$E$101)</f>
        <v>78</v>
      </c>
      <c r="V81">
        <f>[1]Transactions!F81*[1]Transactions!U81</f>
        <v>312</v>
      </c>
    </row>
    <row r="82" spans="1:22" x14ac:dyDescent="0.3">
      <c r="A82">
        <v>81</v>
      </c>
      <c r="B82">
        <v>58</v>
      </c>
      <c r="C82">
        <v>61</v>
      </c>
      <c r="D82">
        <v>35</v>
      </c>
      <c r="E82">
        <v>22</v>
      </c>
      <c r="F82">
        <v>2</v>
      </c>
      <c r="G82">
        <v>344</v>
      </c>
      <c r="H82">
        <v>688</v>
      </c>
      <c r="I82">
        <v>52</v>
      </c>
      <c r="J82">
        <f>[1]Transactions!F82*[1]Transactions!G82</f>
        <v>688</v>
      </c>
      <c r="K82">
        <f>_xlfn.XLOOKUP([1]Transactions!D82,[1]Inventory!$C$2:$C$501,[1]Inventory!$A$2:$A$501)</f>
        <v>115</v>
      </c>
      <c r="L82">
        <f>_xlfn.XLOOKUP(K82,[1]Inventory!$A$2:$A$501,[1]Inventory!$D$2:$D$501)</f>
        <v>33</v>
      </c>
      <c r="M82">
        <f>_xlfn.XLOOKUP(K82,[1]Inventory!$A$2:$A$501,[1]Inventory!$E$2:$E$501)</f>
        <v>66</v>
      </c>
      <c r="N82" t="str">
        <f>_xlfn.XLOOKUP([1]Transactions!C82,[1]Customers!$A$2:$A$201,[1]Customers!$G$2:$G$201)</f>
        <v>Maharashtra</v>
      </c>
      <c r="O82" t="str">
        <f>_xlfn.XLOOKUP(C82,[1]Customers!$A$2:$A$201,[1]Customers!$H$2:$H$201)</f>
        <v>West</v>
      </c>
      <c r="P82" t="str">
        <f>_xlfn.XLOOKUP(C82,[1]Customers!$A$2:$A$201,[1]Customers!$F$2:$F$201)</f>
        <v>Pune</v>
      </c>
      <c r="Q82">
        <f>_xlfn.XLOOKUP(C82,[1]Customers!$A$2:$A$201,[1]Customers!$D$2:$D$201)</f>
        <v>27</v>
      </c>
      <c r="R82" t="str">
        <f>_xlfn.XLOOKUP([1]Transactions!C82,[1]Customers!$A$2:$A$201,[1]Customers!$C$2:$C$201)</f>
        <v>Male</v>
      </c>
      <c r="S82" t="str">
        <f>_xlfn.XLOOKUP(C82,[1]Customers!$A$2:$A$201,[1]Customers!$B$2:$B$201)</f>
        <v>Customer_61</v>
      </c>
      <c r="T82" t="str">
        <f>_xlfn.XLOOKUP(D82,[1]Products!$A$2:$A$101,[1]Products!$C$2:$C$101)</f>
        <v>Grocery</v>
      </c>
      <c r="U82">
        <f>_xlfn.XLOOKUP(D82,[1]Products!$A$2:$A$101,[1]Products!$E$2:$E$101)</f>
        <v>346</v>
      </c>
      <c r="V82">
        <f>[1]Transactions!F82*[1]Transactions!U82</f>
        <v>692</v>
      </c>
    </row>
    <row r="83" spans="1:22" x14ac:dyDescent="0.3">
      <c r="A83">
        <v>82</v>
      </c>
      <c r="B83">
        <v>91</v>
      </c>
      <c r="C83">
        <v>135</v>
      </c>
      <c r="D83">
        <v>34</v>
      </c>
      <c r="E83">
        <v>21</v>
      </c>
      <c r="F83">
        <v>5</v>
      </c>
      <c r="G83">
        <v>492</v>
      </c>
      <c r="H83">
        <v>2460</v>
      </c>
      <c r="I83">
        <v>41</v>
      </c>
      <c r="J83">
        <f>[1]Transactions!F83*[1]Transactions!G83</f>
        <v>2460</v>
      </c>
      <c r="K83">
        <f>_xlfn.XLOOKUP([1]Transactions!D83,[1]Inventory!$C$2:$C$501,[1]Inventory!$A$2:$A$501)</f>
        <v>43</v>
      </c>
      <c r="L83">
        <f>_xlfn.XLOOKUP(K83,[1]Inventory!$A$2:$A$501,[1]Inventory!$D$2:$D$501)</f>
        <v>315</v>
      </c>
      <c r="M83">
        <f>_xlfn.XLOOKUP(K83,[1]Inventory!$A$2:$A$501,[1]Inventory!$E$2:$E$501)</f>
        <v>18</v>
      </c>
      <c r="N83" t="str">
        <f>_xlfn.XLOOKUP([1]Transactions!C83,[1]Customers!$A$2:$A$201,[1]Customers!$G$2:$G$201)</f>
        <v>UP</v>
      </c>
      <c r="O83" t="str">
        <f>_xlfn.XLOOKUP(C83,[1]Customers!$A$2:$A$201,[1]Customers!$H$2:$H$201)</f>
        <v>North</v>
      </c>
      <c r="P83" t="str">
        <f>_xlfn.XLOOKUP(C83,[1]Customers!$A$2:$A$201,[1]Customers!$F$2:$F$201)</f>
        <v>Lucknow</v>
      </c>
      <c r="Q83">
        <f>_xlfn.XLOOKUP(C83,[1]Customers!$A$2:$A$201,[1]Customers!$D$2:$D$201)</f>
        <v>25</v>
      </c>
      <c r="R83" t="str">
        <f>_xlfn.XLOOKUP([1]Transactions!C83,[1]Customers!$A$2:$A$201,[1]Customers!$C$2:$C$201)</f>
        <v>Male</v>
      </c>
      <c r="S83" t="str">
        <f>_xlfn.XLOOKUP(C83,[1]Customers!$A$2:$A$201,[1]Customers!$B$2:$B$201)</f>
        <v>Customer_135</v>
      </c>
      <c r="T83" t="str">
        <f>_xlfn.XLOOKUP(D83,[1]Products!$A$2:$A$101,[1]Products!$C$2:$C$101)</f>
        <v>Snacks</v>
      </c>
      <c r="U83">
        <f>_xlfn.XLOOKUP(D83,[1]Products!$A$2:$A$101,[1]Products!$E$2:$E$101)</f>
        <v>349</v>
      </c>
      <c r="V83">
        <f>[1]Transactions!F83*[1]Transactions!U83</f>
        <v>1745</v>
      </c>
    </row>
    <row r="84" spans="1:22" x14ac:dyDescent="0.3">
      <c r="A84">
        <v>83</v>
      </c>
      <c r="B84">
        <v>54</v>
      </c>
      <c r="C84">
        <v>69</v>
      </c>
      <c r="D84">
        <v>14</v>
      </c>
      <c r="E84">
        <v>47</v>
      </c>
      <c r="F84">
        <v>2</v>
      </c>
      <c r="G84">
        <v>313</v>
      </c>
      <c r="H84">
        <v>626</v>
      </c>
      <c r="I84">
        <v>17</v>
      </c>
      <c r="J84">
        <f>[1]Transactions!F84*[1]Transactions!G84</f>
        <v>626</v>
      </c>
      <c r="K84">
        <f>_xlfn.XLOOKUP([1]Transactions!D84,[1]Inventory!$C$2:$C$501,[1]Inventory!$A$2:$A$501)</f>
        <v>8</v>
      </c>
      <c r="L84">
        <f>_xlfn.XLOOKUP(K84,[1]Inventory!$A$2:$A$501,[1]Inventory!$D$2:$D$501)</f>
        <v>197</v>
      </c>
      <c r="M84">
        <f>_xlfn.XLOOKUP(K84,[1]Inventory!$A$2:$A$501,[1]Inventory!$E$2:$E$501)</f>
        <v>82</v>
      </c>
      <c r="N84" t="str">
        <f>_xlfn.XLOOKUP([1]Transactions!C84,[1]Customers!$A$2:$A$201,[1]Customers!$G$2:$G$201)</f>
        <v>Rajasthan</v>
      </c>
      <c r="O84" t="str">
        <f>_xlfn.XLOOKUP(C84,[1]Customers!$A$2:$A$201,[1]Customers!$H$2:$H$201)</f>
        <v>North</v>
      </c>
      <c r="P84" t="str">
        <f>_xlfn.XLOOKUP(C84,[1]Customers!$A$2:$A$201,[1]Customers!$F$2:$F$201)</f>
        <v>Jaipur</v>
      </c>
      <c r="Q84">
        <f>_xlfn.XLOOKUP(C84,[1]Customers!$A$2:$A$201,[1]Customers!$D$2:$D$201)</f>
        <v>27</v>
      </c>
      <c r="R84" t="str">
        <f>_xlfn.XLOOKUP([1]Transactions!C84,[1]Customers!$A$2:$A$201,[1]Customers!$C$2:$C$201)</f>
        <v>Female</v>
      </c>
      <c r="S84" t="str">
        <f>_xlfn.XLOOKUP(C84,[1]Customers!$A$2:$A$201,[1]Customers!$B$2:$B$201)</f>
        <v>Customer_69</v>
      </c>
      <c r="T84" t="str">
        <f>_xlfn.XLOOKUP(D84,[1]Products!$A$2:$A$101,[1]Products!$C$2:$C$101)</f>
        <v>Beverages</v>
      </c>
      <c r="U84">
        <f>_xlfn.XLOOKUP(D84,[1]Products!$A$2:$A$101,[1]Products!$E$2:$E$101)</f>
        <v>290</v>
      </c>
      <c r="V84">
        <f>[1]Transactions!F84*[1]Transactions!U84</f>
        <v>580</v>
      </c>
    </row>
    <row r="85" spans="1:22" x14ac:dyDescent="0.3">
      <c r="A85">
        <v>84</v>
      </c>
      <c r="B85">
        <v>168</v>
      </c>
      <c r="C85">
        <v>95</v>
      </c>
      <c r="D85">
        <v>54</v>
      </c>
      <c r="E85">
        <v>50</v>
      </c>
      <c r="F85">
        <v>4</v>
      </c>
      <c r="G85">
        <v>361</v>
      </c>
      <c r="H85">
        <v>1444</v>
      </c>
      <c r="I85">
        <v>52</v>
      </c>
      <c r="J85">
        <f>[1]Transactions!F85*[1]Transactions!G85</f>
        <v>1444</v>
      </c>
      <c r="K85">
        <f>_xlfn.XLOOKUP([1]Transactions!D85,[1]Inventory!$C$2:$C$501,[1]Inventory!$A$2:$A$501)</f>
        <v>21</v>
      </c>
      <c r="L85">
        <f>_xlfn.XLOOKUP(K85,[1]Inventory!$A$2:$A$501,[1]Inventory!$D$2:$D$501)</f>
        <v>124</v>
      </c>
      <c r="M85">
        <f>_xlfn.XLOOKUP(K85,[1]Inventory!$A$2:$A$501,[1]Inventory!$E$2:$E$501)</f>
        <v>101</v>
      </c>
      <c r="N85" t="str">
        <f>_xlfn.XLOOKUP([1]Transactions!C85,[1]Customers!$A$2:$A$201,[1]Customers!$G$2:$G$201)</f>
        <v>Gujarat</v>
      </c>
      <c r="O85" t="str">
        <f>_xlfn.XLOOKUP(C85,[1]Customers!$A$2:$A$201,[1]Customers!$H$2:$H$201)</f>
        <v>West</v>
      </c>
      <c r="P85" t="str">
        <f>_xlfn.XLOOKUP(C85,[1]Customers!$A$2:$A$201,[1]Customers!$F$2:$F$201)</f>
        <v>Ahmedabad</v>
      </c>
      <c r="Q85">
        <f>_xlfn.XLOOKUP(C85,[1]Customers!$A$2:$A$201,[1]Customers!$D$2:$D$201)</f>
        <v>41</v>
      </c>
      <c r="R85" t="str">
        <f>_xlfn.XLOOKUP([1]Transactions!C85,[1]Customers!$A$2:$A$201,[1]Customers!$C$2:$C$201)</f>
        <v>Female</v>
      </c>
      <c r="S85" t="str">
        <f>_xlfn.XLOOKUP(C85,[1]Customers!$A$2:$A$201,[1]Customers!$B$2:$B$201)</f>
        <v>Customer_95</v>
      </c>
      <c r="T85" t="str">
        <f>_xlfn.XLOOKUP(D85,[1]Products!$A$2:$A$101,[1]Products!$C$2:$C$101)</f>
        <v>Beverages</v>
      </c>
      <c r="U85">
        <f>_xlfn.XLOOKUP(D85,[1]Products!$A$2:$A$101,[1]Products!$E$2:$E$101)</f>
        <v>426</v>
      </c>
      <c r="V85">
        <f>[1]Transactions!F85*[1]Transactions!U85</f>
        <v>1704</v>
      </c>
    </row>
    <row r="86" spans="1:22" x14ac:dyDescent="0.3">
      <c r="A86">
        <v>85</v>
      </c>
      <c r="B86">
        <v>179</v>
      </c>
      <c r="C86">
        <v>55</v>
      </c>
      <c r="D86">
        <v>9</v>
      </c>
      <c r="E86">
        <v>26</v>
      </c>
      <c r="F86">
        <v>1</v>
      </c>
      <c r="G86">
        <v>469</v>
      </c>
      <c r="H86">
        <v>469</v>
      </c>
      <c r="I86">
        <v>32</v>
      </c>
      <c r="J86">
        <f>[1]Transactions!F86*[1]Transactions!G86</f>
        <v>469</v>
      </c>
      <c r="K86">
        <f>_xlfn.XLOOKUP([1]Transactions!D86,[1]Inventory!$C$2:$C$501,[1]Inventory!$A$2:$A$501)</f>
        <v>185</v>
      </c>
      <c r="L86">
        <f>_xlfn.XLOOKUP(K86,[1]Inventory!$A$2:$A$501,[1]Inventory!$D$2:$D$501)</f>
        <v>464</v>
      </c>
      <c r="M86">
        <f>_xlfn.XLOOKUP(K86,[1]Inventory!$A$2:$A$501,[1]Inventory!$E$2:$E$501)</f>
        <v>34</v>
      </c>
      <c r="N86" t="str">
        <f>_xlfn.XLOOKUP([1]Transactions!C86,[1]Customers!$A$2:$A$201,[1]Customers!$G$2:$G$201)</f>
        <v>Tamil Nadu</v>
      </c>
      <c r="O86" t="str">
        <f>_xlfn.XLOOKUP(C86,[1]Customers!$A$2:$A$201,[1]Customers!$H$2:$H$201)</f>
        <v>South</v>
      </c>
      <c r="P86" t="str">
        <f>_xlfn.XLOOKUP(C86,[1]Customers!$A$2:$A$201,[1]Customers!$F$2:$F$201)</f>
        <v>Chennai</v>
      </c>
      <c r="Q86">
        <f>_xlfn.XLOOKUP(C86,[1]Customers!$A$2:$A$201,[1]Customers!$D$2:$D$201)</f>
        <v>24</v>
      </c>
      <c r="R86" t="str">
        <f>_xlfn.XLOOKUP([1]Transactions!C86,[1]Customers!$A$2:$A$201,[1]Customers!$C$2:$C$201)</f>
        <v>Female</v>
      </c>
      <c r="S86" t="str">
        <f>_xlfn.XLOOKUP(C86,[1]Customers!$A$2:$A$201,[1]Customers!$B$2:$B$201)</f>
        <v>Customer_55</v>
      </c>
      <c r="T86" t="str">
        <f>_xlfn.XLOOKUP(D86,[1]Products!$A$2:$A$101,[1]Products!$C$2:$C$101)</f>
        <v>Personal Care</v>
      </c>
      <c r="U86">
        <f>_xlfn.XLOOKUP(D86,[1]Products!$A$2:$A$101,[1]Products!$E$2:$E$101)</f>
        <v>121</v>
      </c>
      <c r="V86">
        <f>[1]Transactions!F86*[1]Transactions!U86</f>
        <v>121</v>
      </c>
    </row>
    <row r="87" spans="1:22" x14ac:dyDescent="0.3">
      <c r="A87">
        <v>86</v>
      </c>
      <c r="B87">
        <v>126</v>
      </c>
      <c r="C87">
        <v>140</v>
      </c>
      <c r="D87">
        <v>64</v>
      </c>
      <c r="E87">
        <v>50</v>
      </c>
      <c r="F87">
        <v>5</v>
      </c>
      <c r="G87">
        <v>111</v>
      </c>
      <c r="H87">
        <v>555</v>
      </c>
      <c r="I87">
        <v>32</v>
      </c>
      <c r="J87">
        <f>[1]Transactions!F87*[1]Transactions!G87</f>
        <v>555</v>
      </c>
      <c r="K87">
        <f>_xlfn.XLOOKUP([1]Transactions!D87,[1]Inventory!$C$2:$C$501,[1]Inventory!$A$2:$A$501)</f>
        <v>66</v>
      </c>
      <c r="L87">
        <f>_xlfn.XLOOKUP(K87,[1]Inventory!$A$2:$A$501,[1]Inventory!$D$2:$D$501)</f>
        <v>460</v>
      </c>
      <c r="M87">
        <f>_xlfn.XLOOKUP(K87,[1]Inventory!$A$2:$A$501,[1]Inventory!$E$2:$E$501)</f>
        <v>179</v>
      </c>
      <c r="N87" t="str">
        <f>_xlfn.XLOOKUP([1]Transactions!C87,[1]Customers!$A$2:$A$201,[1]Customers!$G$2:$G$201)</f>
        <v>Tamil Nadu</v>
      </c>
      <c r="O87" t="str">
        <f>_xlfn.XLOOKUP(C87,[1]Customers!$A$2:$A$201,[1]Customers!$H$2:$H$201)</f>
        <v>South</v>
      </c>
      <c r="P87" t="str">
        <f>_xlfn.XLOOKUP(C87,[1]Customers!$A$2:$A$201,[1]Customers!$F$2:$F$201)</f>
        <v>Chennai</v>
      </c>
      <c r="Q87">
        <f>_xlfn.XLOOKUP(C87,[1]Customers!$A$2:$A$201,[1]Customers!$D$2:$D$201)</f>
        <v>20</v>
      </c>
      <c r="R87" t="str">
        <f>_xlfn.XLOOKUP([1]Transactions!C87,[1]Customers!$A$2:$A$201,[1]Customers!$C$2:$C$201)</f>
        <v>Male</v>
      </c>
      <c r="S87" t="str">
        <f>_xlfn.XLOOKUP(C87,[1]Customers!$A$2:$A$201,[1]Customers!$B$2:$B$201)</f>
        <v>Customer_140</v>
      </c>
      <c r="T87" t="str">
        <f>_xlfn.XLOOKUP(D87,[1]Products!$A$2:$A$101,[1]Products!$C$2:$C$101)</f>
        <v>Snacks</v>
      </c>
      <c r="U87">
        <f>_xlfn.XLOOKUP(D87,[1]Products!$A$2:$A$101,[1]Products!$E$2:$E$101)</f>
        <v>461</v>
      </c>
      <c r="V87">
        <f>[1]Transactions!F87*[1]Transactions!U87</f>
        <v>2305</v>
      </c>
    </row>
    <row r="88" spans="1:22" x14ac:dyDescent="0.3">
      <c r="A88">
        <v>87</v>
      </c>
      <c r="B88">
        <v>102</v>
      </c>
      <c r="C88">
        <v>139</v>
      </c>
      <c r="D88">
        <v>42</v>
      </c>
      <c r="E88">
        <v>27</v>
      </c>
      <c r="F88">
        <v>1</v>
      </c>
      <c r="G88">
        <v>427</v>
      </c>
      <c r="H88">
        <v>427</v>
      </c>
      <c r="I88">
        <v>58</v>
      </c>
      <c r="J88">
        <f>[1]Transactions!F88*[1]Transactions!G88</f>
        <v>427</v>
      </c>
      <c r="K88">
        <f>_xlfn.XLOOKUP([1]Transactions!D88,[1]Inventory!$C$2:$C$501,[1]Inventory!$A$2:$A$501)</f>
        <v>108</v>
      </c>
      <c r="L88">
        <f>_xlfn.XLOOKUP(K88,[1]Inventory!$A$2:$A$501,[1]Inventory!$D$2:$D$501)</f>
        <v>212</v>
      </c>
      <c r="M88">
        <f>_xlfn.XLOOKUP(K88,[1]Inventory!$A$2:$A$501,[1]Inventory!$E$2:$E$501)</f>
        <v>113</v>
      </c>
      <c r="N88" t="str">
        <f>_xlfn.XLOOKUP([1]Transactions!C88,[1]Customers!$A$2:$A$201,[1]Customers!$G$2:$G$201)</f>
        <v>Rajasthan</v>
      </c>
      <c r="O88" t="str">
        <f>_xlfn.XLOOKUP(C88,[1]Customers!$A$2:$A$201,[1]Customers!$H$2:$H$201)</f>
        <v>North</v>
      </c>
      <c r="P88" t="str">
        <f>_xlfn.XLOOKUP(C88,[1]Customers!$A$2:$A$201,[1]Customers!$F$2:$F$201)</f>
        <v>Jaipur</v>
      </c>
      <c r="Q88">
        <f>_xlfn.XLOOKUP(C88,[1]Customers!$A$2:$A$201,[1]Customers!$D$2:$D$201)</f>
        <v>29</v>
      </c>
      <c r="R88" t="str">
        <f>_xlfn.XLOOKUP([1]Transactions!C88,[1]Customers!$A$2:$A$201,[1]Customers!$C$2:$C$201)</f>
        <v>Female</v>
      </c>
      <c r="S88" t="str">
        <f>_xlfn.XLOOKUP(C88,[1]Customers!$A$2:$A$201,[1]Customers!$B$2:$B$201)</f>
        <v>Customer_139</v>
      </c>
      <c r="T88" t="str">
        <f>_xlfn.XLOOKUP(D88,[1]Products!$A$2:$A$101,[1]Products!$C$2:$C$101)</f>
        <v>Snacks</v>
      </c>
      <c r="U88">
        <f>_xlfn.XLOOKUP(D88,[1]Products!$A$2:$A$101,[1]Products!$E$2:$E$101)</f>
        <v>77</v>
      </c>
      <c r="V88">
        <f>[1]Transactions!F88*[1]Transactions!U88</f>
        <v>77</v>
      </c>
    </row>
    <row r="89" spans="1:22" x14ac:dyDescent="0.3">
      <c r="A89">
        <v>88</v>
      </c>
      <c r="B89">
        <v>66</v>
      </c>
      <c r="C89">
        <v>17</v>
      </c>
      <c r="D89">
        <v>48</v>
      </c>
      <c r="E89">
        <v>42</v>
      </c>
      <c r="F89">
        <v>1</v>
      </c>
      <c r="G89">
        <v>207</v>
      </c>
      <c r="H89">
        <v>207</v>
      </c>
      <c r="I89">
        <v>52</v>
      </c>
      <c r="J89">
        <f>[1]Transactions!F89*[1]Transactions!G89</f>
        <v>207</v>
      </c>
      <c r="K89">
        <f>_xlfn.XLOOKUP([1]Transactions!D89,[1]Inventory!$C$2:$C$501,[1]Inventory!$A$2:$A$501)</f>
        <v>86</v>
      </c>
      <c r="L89">
        <f>_xlfn.XLOOKUP(K89,[1]Inventory!$A$2:$A$501,[1]Inventory!$D$2:$D$501)</f>
        <v>310</v>
      </c>
      <c r="M89">
        <f>_xlfn.XLOOKUP(K89,[1]Inventory!$A$2:$A$501,[1]Inventory!$E$2:$E$501)</f>
        <v>76</v>
      </c>
      <c r="N89" t="str">
        <f>_xlfn.XLOOKUP([1]Transactions!C89,[1]Customers!$A$2:$A$201,[1]Customers!$G$2:$G$201)</f>
        <v>Telangana</v>
      </c>
      <c r="O89" t="str">
        <f>_xlfn.XLOOKUP(C89,[1]Customers!$A$2:$A$201,[1]Customers!$H$2:$H$201)</f>
        <v>South</v>
      </c>
      <c r="P89" t="str">
        <f>_xlfn.XLOOKUP(C89,[1]Customers!$A$2:$A$201,[1]Customers!$F$2:$F$201)</f>
        <v>Hyderabad</v>
      </c>
      <c r="Q89">
        <f>_xlfn.XLOOKUP(C89,[1]Customers!$A$2:$A$201,[1]Customers!$D$2:$D$201)</f>
        <v>31</v>
      </c>
      <c r="R89" t="str">
        <f>_xlfn.XLOOKUP([1]Transactions!C89,[1]Customers!$A$2:$A$201,[1]Customers!$C$2:$C$201)</f>
        <v>Male</v>
      </c>
      <c r="S89" t="str">
        <f>_xlfn.XLOOKUP(C89,[1]Customers!$A$2:$A$201,[1]Customers!$B$2:$B$201)</f>
        <v>Customer_17</v>
      </c>
      <c r="T89" t="str">
        <f>_xlfn.XLOOKUP(D89,[1]Products!$A$2:$A$101,[1]Products!$C$2:$C$101)</f>
        <v>Snacks</v>
      </c>
      <c r="U89">
        <f>_xlfn.XLOOKUP(D89,[1]Products!$A$2:$A$101,[1]Products!$E$2:$E$101)</f>
        <v>315</v>
      </c>
      <c r="V89">
        <f>[1]Transactions!F89*[1]Transactions!U89</f>
        <v>315</v>
      </c>
    </row>
    <row r="90" spans="1:22" x14ac:dyDescent="0.3">
      <c r="A90">
        <v>89</v>
      </c>
      <c r="B90">
        <v>61</v>
      </c>
      <c r="C90">
        <v>193</v>
      </c>
      <c r="D90">
        <v>30</v>
      </c>
      <c r="E90">
        <v>30</v>
      </c>
      <c r="F90">
        <v>4</v>
      </c>
      <c r="G90">
        <v>99</v>
      </c>
      <c r="H90">
        <v>396</v>
      </c>
      <c r="I90">
        <v>29</v>
      </c>
      <c r="J90">
        <f>[1]Transactions!F90*[1]Transactions!G90</f>
        <v>396</v>
      </c>
      <c r="K90">
        <f>_xlfn.XLOOKUP([1]Transactions!D90,[1]Inventory!$C$2:$C$501,[1]Inventory!$A$2:$A$501)</f>
        <v>68</v>
      </c>
      <c r="L90">
        <f>_xlfn.XLOOKUP(K90,[1]Inventory!$A$2:$A$501,[1]Inventory!$D$2:$D$501)</f>
        <v>179</v>
      </c>
      <c r="M90">
        <f>_xlfn.XLOOKUP(K90,[1]Inventory!$A$2:$A$501,[1]Inventory!$E$2:$E$501)</f>
        <v>103</v>
      </c>
      <c r="N90" t="str">
        <f>_xlfn.XLOOKUP([1]Transactions!C90,[1]Customers!$A$2:$A$201,[1]Customers!$G$2:$G$201)</f>
        <v>Telangana</v>
      </c>
      <c r="O90" t="str">
        <f>_xlfn.XLOOKUP(C90,[1]Customers!$A$2:$A$201,[1]Customers!$H$2:$H$201)</f>
        <v>South</v>
      </c>
      <c r="P90" t="str">
        <f>_xlfn.XLOOKUP(C90,[1]Customers!$A$2:$A$201,[1]Customers!$F$2:$F$201)</f>
        <v>Hyderabad</v>
      </c>
      <c r="Q90">
        <f>_xlfn.XLOOKUP(C90,[1]Customers!$A$2:$A$201,[1]Customers!$D$2:$D$201)</f>
        <v>49</v>
      </c>
      <c r="R90" t="str">
        <f>_xlfn.XLOOKUP([1]Transactions!C90,[1]Customers!$A$2:$A$201,[1]Customers!$C$2:$C$201)</f>
        <v>Female</v>
      </c>
      <c r="S90" t="str">
        <f>_xlfn.XLOOKUP(C90,[1]Customers!$A$2:$A$201,[1]Customers!$B$2:$B$201)</f>
        <v>Customer_193</v>
      </c>
      <c r="T90" t="str">
        <f>_xlfn.XLOOKUP(D90,[1]Products!$A$2:$A$101,[1]Products!$C$2:$C$101)</f>
        <v>Beverages</v>
      </c>
      <c r="U90">
        <f>_xlfn.XLOOKUP(D90,[1]Products!$A$2:$A$101,[1]Products!$E$2:$E$101)</f>
        <v>230</v>
      </c>
      <c r="V90">
        <f>[1]Transactions!F90*[1]Transactions!U90</f>
        <v>920</v>
      </c>
    </row>
    <row r="91" spans="1:22" x14ac:dyDescent="0.3">
      <c r="A91">
        <v>90</v>
      </c>
      <c r="B91">
        <v>106</v>
      </c>
      <c r="C91">
        <v>190</v>
      </c>
      <c r="D91">
        <v>61</v>
      </c>
      <c r="E91">
        <v>38</v>
      </c>
      <c r="F91">
        <v>1</v>
      </c>
      <c r="G91">
        <v>136</v>
      </c>
      <c r="H91">
        <v>136</v>
      </c>
      <c r="I91">
        <v>19</v>
      </c>
      <c r="J91">
        <f>[1]Transactions!F91*[1]Transactions!G91</f>
        <v>136</v>
      </c>
      <c r="K91">
        <f>_xlfn.XLOOKUP([1]Transactions!D91,[1]Inventory!$C$2:$C$501,[1]Inventory!$A$2:$A$501)</f>
        <v>92</v>
      </c>
      <c r="L91">
        <f>_xlfn.XLOOKUP(K91,[1]Inventory!$A$2:$A$501,[1]Inventory!$D$2:$D$501)</f>
        <v>48</v>
      </c>
      <c r="M91">
        <f>_xlfn.XLOOKUP(K91,[1]Inventory!$A$2:$A$501,[1]Inventory!$E$2:$E$501)</f>
        <v>23</v>
      </c>
      <c r="N91" t="str">
        <f>_xlfn.XLOOKUP([1]Transactions!C91,[1]Customers!$A$2:$A$201,[1]Customers!$G$2:$G$201)</f>
        <v>Tamil Nadu</v>
      </c>
      <c r="O91" t="str">
        <f>_xlfn.XLOOKUP(C91,[1]Customers!$A$2:$A$201,[1]Customers!$H$2:$H$201)</f>
        <v>South</v>
      </c>
      <c r="P91" t="str">
        <f>_xlfn.XLOOKUP(C91,[1]Customers!$A$2:$A$201,[1]Customers!$F$2:$F$201)</f>
        <v>Chennai</v>
      </c>
      <c r="Q91">
        <f>_xlfn.XLOOKUP(C91,[1]Customers!$A$2:$A$201,[1]Customers!$D$2:$D$201)</f>
        <v>49</v>
      </c>
      <c r="R91" t="str">
        <f>_xlfn.XLOOKUP([1]Transactions!C91,[1]Customers!$A$2:$A$201,[1]Customers!$C$2:$C$201)</f>
        <v>Male</v>
      </c>
      <c r="S91" t="str">
        <f>_xlfn.XLOOKUP(C91,[1]Customers!$A$2:$A$201,[1]Customers!$B$2:$B$201)</f>
        <v>Customer_190</v>
      </c>
      <c r="T91" t="str">
        <f>_xlfn.XLOOKUP(D91,[1]Products!$A$2:$A$101,[1]Products!$C$2:$C$101)</f>
        <v>Beverages</v>
      </c>
      <c r="U91">
        <f>_xlfn.XLOOKUP(D91,[1]Products!$A$2:$A$101,[1]Products!$E$2:$E$101)</f>
        <v>360</v>
      </c>
      <c r="V91">
        <f>[1]Transactions!F91*[1]Transactions!U91</f>
        <v>360</v>
      </c>
    </row>
    <row r="92" spans="1:22" x14ac:dyDescent="0.3">
      <c r="A92">
        <v>91</v>
      </c>
      <c r="B92">
        <v>21</v>
      </c>
      <c r="C92">
        <v>186</v>
      </c>
      <c r="D92">
        <v>72</v>
      </c>
      <c r="E92">
        <v>50</v>
      </c>
      <c r="F92">
        <v>5</v>
      </c>
      <c r="G92">
        <v>129</v>
      </c>
      <c r="H92">
        <v>645</v>
      </c>
      <c r="I92">
        <v>32</v>
      </c>
      <c r="J92">
        <f>[1]Transactions!F92*[1]Transactions!G92</f>
        <v>645</v>
      </c>
      <c r="K92">
        <f>_xlfn.XLOOKUP([1]Transactions!D92,[1]Inventory!$C$2:$C$501,[1]Inventory!$A$2:$A$501)</f>
        <v>236</v>
      </c>
      <c r="L92">
        <f>_xlfn.XLOOKUP(K92,[1]Inventory!$A$2:$A$501,[1]Inventory!$D$2:$D$501)</f>
        <v>36</v>
      </c>
      <c r="M92">
        <f>_xlfn.XLOOKUP(K92,[1]Inventory!$A$2:$A$501,[1]Inventory!$E$2:$E$501)</f>
        <v>159</v>
      </c>
      <c r="N92" t="str">
        <f>_xlfn.XLOOKUP([1]Transactions!C92,[1]Customers!$A$2:$A$201,[1]Customers!$G$2:$G$201)</f>
        <v>West Bengal</v>
      </c>
      <c r="O92" t="str">
        <f>_xlfn.XLOOKUP(C92,[1]Customers!$A$2:$A$201,[1]Customers!$H$2:$H$201)</f>
        <v>East</v>
      </c>
      <c r="P92" t="str">
        <f>_xlfn.XLOOKUP(C92,[1]Customers!$A$2:$A$201,[1]Customers!$F$2:$F$201)</f>
        <v>Kolkata</v>
      </c>
      <c r="Q92">
        <f>_xlfn.XLOOKUP(C92,[1]Customers!$A$2:$A$201,[1]Customers!$D$2:$D$201)</f>
        <v>36</v>
      </c>
      <c r="R92" t="str">
        <f>_xlfn.XLOOKUP([1]Transactions!C92,[1]Customers!$A$2:$A$201,[1]Customers!$C$2:$C$201)</f>
        <v>Female</v>
      </c>
      <c r="S92" t="str">
        <f>_xlfn.XLOOKUP(C92,[1]Customers!$A$2:$A$201,[1]Customers!$B$2:$B$201)</f>
        <v>Customer_186</v>
      </c>
      <c r="T92" t="str">
        <f>_xlfn.XLOOKUP(D92,[1]Products!$A$2:$A$101,[1]Products!$C$2:$C$101)</f>
        <v>Beverages</v>
      </c>
      <c r="U92">
        <f>_xlfn.XLOOKUP(D92,[1]Products!$A$2:$A$101,[1]Products!$E$2:$E$101)</f>
        <v>465</v>
      </c>
      <c r="V92">
        <f>[1]Transactions!F92*[1]Transactions!U92</f>
        <v>2325</v>
      </c>
    </row>
    <row r="93" spans="1:22" x14ac:dyDescent="0.3">
      <c r="A93">
        <v>92</v>
      </c>
      <c r="B93">
        <v>110</v>
      </c>
      <c r="C93">
        <v>124</v>
      </c>
      <c r="D93">
        <v>91</v>
      </c>
      <c r="E93">
        <v>5</v>
      </c>
      <c r="F93">
        <v>4</v>
      </c>
      <c r="G93">
        <v>485</v>
      </c>
      <c r="H93">
        <v>1940</v>
      </c>
      <c r="I93">
        <v>11</v>
      </c>
      <c r="J93">
        <f>[1]Transactions!F93*[1]Transactions!G93</f>
        <v>1940</v>
      </c>
      <c r="K93">
        <f>_xlfn.XLOOKUP([1]Transactions!D93,[1]Inventory!$C$2:$C$501,[1]Inventory!$A$2:$A$501)</f>
        <v>98</v>
      </c>
      <c r="L93">
        <f>_xlfn.XLOOKUP(K93,[1]Inventory!$A$2:$A$501,[1]Inventory!$D$2:$D$501)</f>
        <v>339</v>
      </c>
      <c r="M93">
        <f>_xlfn.XLOOKUP(K93,[1]Inventory!$A$2:$A$501,[1]Inventory!$E$2:$E$501)</f>
        <v>176</v>
      </c>
      <c r="N93" t="str">
        <f>_xlfn.XLOOKUP([1]Transactions!C93,[1]Customers!$A$2:$A$201,[1]Customers!$G$2:$G$201)</f>
        <v>Maharashtra</v>
      </c>
      <c r="O93" t="str">
        <f>_xlfn.XLOOKUP(C93,[1]Customers!$A$2:$A$201,[1]Customers!$H$2:$H$201)</f>
        <v>West</v>
      </c>
      <c r="P93" t="str">
        <f>_xlfn.XLOOKUP(C93,[1]Customers!$A$2:$A$201,[1]Customers!$F$2:$F$201)</f>
        <v>Pune</v>
      </c>
      <c r="Q93">
        <f>_xlfn.XLOOKUP(C93,[1]Customers!$A$2:$A$201,[1]Customers!$D$2:$D$201)</f>
        <v>45</v>
      </c>
      <c r="R93" t="str">
        <f>_xlfn.XLOOKUP([1]Transactions!C93,[1]Customers!$A$2:$A$201,[1]Customers!$C$2:$C$201)</f>
        <v>Female</v>
      </c>
      <c r="S93" t="str">
        <f>_xlfn.XLOOKUP(C93,[1]Customers!$A$2:$A$201,[1]Customers!$B$2:$B$201)</f>
        <v>Customer_124</v>
      </c>
      <c r="T93" t="str">
        <f>_xlfn.XLOOKUP(D93,[1]Products!$A$2:$A$101,[1]Products!$C$2:$C$101)</f>
        <v>Grocery</v>
      </c>
      <c r="U93">
        <f>_xlfn.XLOOKUP(D93,[1]Products!$A$2:$A$101,[1]Products!$E$2:$E$101)</f>
        <v>441</v>
      </c>
      <c r="V93">
        <f>[1]Transactions!F93*[1]Transactions!U93</f>
        <v>1764</v>
      </c>
    </row>
    <row r="94" spans="1:22" x14ac:dyDescent="0.3">
      <c r="A94">
        <v>93</v>
      </c>
      <c r="B94">
        <v>170</v>
      </c>
      <c r="C94">
        <v>117</v>
      </c>
      <c r="D94">
        <v>96</v>
      </c>
      <c r="E94">
        <v>14</v>
      </c>
      <c r="F94">
        <v>1</v>
      </c>
      <c r="G94">
        <v>301</v>
      </c>
      <c r="H94">
        <v>301</v>
      </c>
      <c r="I94">
        <v>33</v>
      </c>
      <c r="J94">
        <f>[1]Transactions!F94*[1]Transactions!G94</f>
        <v>301</v>
      </c>
      <c r="K94">
        <f>_xlfn.XLOOKUP([1]Transactions!D94,[1]Inventory!$C$2:$C$501,[1]Inventory!$A$2:$A$501)</f>
        <v>25</v>
      </c>
      <c r="L94">
        <f>_xlfn.XLOOKUP(K94,[1]Inventory!$A$2:$A$501,[1]Inventory!$D$2:$D$501)</f>
        <v>17</v>
      </c>
      <c r="M94">
        <f>_xlfn.XLOOKUP(K94,[1]Inventory!$A$2:$A$501,[1]Inventory!$E$2:$E$501)</f>
        <v>75</v>
      </c>
      <c r="N94" t="str">
        <f>_xlfn.XLOOKUP([1]Transactions!C94,[1]Customers!$A$2:$A$201,[1]Customers!$G$2:$G$201)</f>
        <v>Gujarat</v>
      </c>
      <c r="O94" t="str">
        <f>_xlfn.XLOOKUP(C94,[1]Customers!$A$2:$A$201,[1]Customers!$H$2:$H$201)</f>
        <v>West</v>
      </c>
      <c r="P94" t="str">
        <f>_xlfn.XLOOKUP(C94,[1]Customers!$A$2:$A$201,[1]Customers!$F$2:$F$201)</f>
        <v>Ahmedabad</v>
      </c>
      <c r="Q94">
        <f>_xlfn.XLOOKUP(C94,[1]Customers!$A$2:$A$201,[1]Customers!$D$2:$D$201)</f>
        <v>49</v>
      </c>
      <c r="R94" t="str">
        <f>_xlfn.XLOOKUP([1]Transactions!C94,[1]Customers!$A$2:$A$201,[1]Customers!$C$2:$C$201)</f>
        <v>Male</v>
      </c>
      <c r="S94" t="str">
        <f>_xlfn.XLOOKUP(C94,[1]Customers!$A$2:$A$201,[1]Customers!$B$2:$B$201)</f>
        <v>Customer_117</v>
      </c>
      <c r="T94" t="str">
        <f>_xlfn.XLOOKUP(D94,[1]Products!$A$2:$A$101,[1]Products!$C$2:$C$101)</f>
        <v>Dairy</v>
      </c>
      <c r="U94">
        <f>_xlfn.XLOOKUP(D94,[1]Products!$A$2:$A$101,[1]Products!$E$2:$E$101)</f>
        <v>150</v>
      </c>
      <c r="V94">
        <f>[1]Transactions!F94*[1]Transactions!U94</f>
        <v>150</v>
      </c>
    </row>
    <row r="95" spans="1:22" x14ac:dyDescent="0.3">
      <c r="A95">
        <v>94</v>
      </c>
      <c r="B95">
        <v>45</v>
      </c>
      <c r="C95">
        <v>192</v>
      </c>
      <c r="D95">
        <v>49</v>
      </c>
      <c r="E95">
        <v>50</v>
      </c>
      <c r="F95">
        <v>2</v>
      </c>
      <c r="G95">
        <v>403</v>
      </c>
      <c r="H95">
        <v>806</v>
      </c>
      <c r="I95">
        <v>30</v>
      </c>
      <c r="J95">
        <f>[1]Transactions!F95*[1]Transactions!G95</f>
        <v>806</v>
      </c>
      <c r="K95">
        <f>_xlfn.XLOOKUP([1]Transactions!D95,[1]Inventory!$C$2:$C$501,[1]Inventory!$A$2:$A$501)</f>
        <v>4</v>
      </c>
      <c r="L95">
        <f>_xlfn.XLOOKUP(K95,[1]Inventory!$A$2:$A$501,[1]Inventory!$D$2:$D$501)</f>
        <v>344</v>
      </c>
      <c r="M95">
        <f>_xlfn.XLOOKUP(K95,[1]Inventory!$A$2:$A$501,[1]Inventory!$E$2:$E$501)</f>
        <v>3</v>
      </c>
      <c r="N95" t="str">
        <f>_xlfn.XLOOKUP([1]Transactions!C95,[1]Customers!$A$2:$A$201,[1]Customers!$G$2:$G$201)</f>
        <v>Rajasthan</v>
      </c>
      <c r="O95" t="str">
        <f>_xlfn.XLOOKUP(C95,[1]Customers!$A$2:$A$201,[1]Customers!$H$2:$H$201)</f>
        <v>North</v>
      </c>
      <c r="P95" t="str">
        <f>_xlfn.XLOOKUP(C95,[1]Customers!$A$2:$A$201,[1]Customers!$F$2:$F$201)</f>
        <v>Jaipur</v>
      </c>
      <c r="Q95">
        <f>_xlfn.XLOOKUP(C95,[1]Customers!$A$2:$A$201,[1]Customers!$D$2:$D$201)</f>
        <v>31</v>
      </c>
      <c r="R95" t="str">
        <f>_xlfn.XLOOKUP([1]Transactions!C95,[1]Customers!$A$2:$A$201,[1]Customers!$C$2:$C$201)</f>
        <v>Female</v>
      </c>
      <c r="S95" t="str">
        <f>_xlfn.XLOOKUP(C95,[1]Customers!$A$2:$A$201,[1]Customers!$B$2:$B$201)</f>
        <v>Customer_192</v>
      </c>
      <c r="T95" t="str">
        <f>_xlfn.XLOOKUP(D95,[1]Products!$A$2:$A$101,[1]Products!$C$2:$C$101)</f>
        <v>Dairy</v>
      </c>
      <c r="U95">
        <f>_xlfn.XLOOKUP(D95,[1]Products!$A$2:$A$101,[1]Products!$E$2:$E$101)</f>
        <v>117</v>
      </c>
      <c r="V95">
        <f>[1]Transactions!F95*[1]Transactions!U95</f>
        <v>234</v>
      </c>
    </row>
    <row r="96" spans="1:22" x14ac:dyDescent="0.3">
      <c r="A96">
        <v>95</v>
      </c>
      <c r="B96">
        <v>171</v>
      </c>
      <c r="C96">
        <v>117</v>
      </c>
      <c r="D96">
        <v>95</v>
      </c>
      <c r="E96">
        <v>8</v>
      </c>
      <c r="F96">
        <v>4</v>
      </c>
      <c r="G96">
        <v>81</v>
      </c>
      <c r="H96">
        <v>324</v>
      </c>
      <c r="I96">
        <v>43</v>
      </c>
      <c r="J96">
        <f>[1]Transactions!F96*[1]Transactions!G96</f>
        <v>324</v>
      </c>
      <c r="K96">
        <f>_xlfn.XLOOKUP([1]Transactions!D96,[1]Inventory!$C$2:$C$501,[1]Inventory!$A$2:$A$501)</f>
        <v>75</v>
      </c>
      <c r="L96">
        <f>_xlfn.XLOOKUP(K96,[1]Inventory!$A$2:$A$501,[1]Inventory!$D$2:$D$501)</f>
        <v>363</v>
      </c>
      <c r="M96">
        <f>_xlfn.XLOOKUP(K96,[1]Inventory!$A$2:$A$501,[1]Inventory!$E$2:$E$501)</f>
        <v>57</v>
      </c>
      <c r="N96" t="str">
        <f>_xlfn.XLOOKUP([1]Transactions!C96,[1]Customers!$A$2:$A$201,[1]Customers!$G$2:$G$201)</f>
        <v>Gujarat</v>
      </c>
      <c r="O96" t="str">
        <f>_xlfn.XLOOKUP(C96,[1]Customers!$A$2:$A$201,[1]Customers!$H$2:$H$201)</f>
        <v>West</v>
      </c>
      <c r="P96" t="str">
        <f>_xlfn.XLOOKUP(C96,[1]Customers!$A$2:$A$201,[1]Customers!$F$2:$F$201)</f>
        <v>Ahmedabad</v>
      </c>
      <c r="Q96">
        <f>_xlfn.XLOOKUP(C96,[1]Customers!$A$2:$A$201,[1]Customers!$D$2:$D$201)</f>
        <v>49</v>
      </c>
      <c r="R96" t="str">
        <f>_xlfn.XLOOKUP([1]Transactions!C96,[1]Customers!$A$2:$A$201,[1]Customers!$C$2:$C$201)</f>
        <v>Male</v>
      </c>
      <c r="S96" t="str">
        <f>_xlfn.XLOOKUP(C96,[1]Customers!$A$2:$A$201,[1]Customers!$B$2:$B$201)</f>
        <v>Customer_117</v>
      </c>
      <c r="T96" t="str">
        <f>_xlfn.XLOOKUP(D96,[1]Products!$A$2:$A$101,[1]Products!$C$2:$C$101)</f>
        <v>Snacks</v>
      </c>
      <c r="U96">
        <f>_xlfn.XLOOKUP(D96,[1]Products!$A$2:$A$101,[1]Products!$E$2:$E$101)</f>
        <v>73</v>
      </c>
      <c r="V96">
        <f>[1]Transactions!F96*[1]Transactions!U96</f>
        <v>292</v>
      </c>
    </row>
    <row r="97" spans="1:22" x14ac:dyDescent="0.3">
      <c r="A97">
        <v>96</v>
      </c>
      <c r="B97">
        <v>162</v>
      </c>
      <c r="C97">
        <v>155</v>
      </c>
      <c r="D97">
        <v>96</v>
      </c>
      <c r="E97">
        <v>47</v>
      </c>
      <c r="F97">
        <v>2</v>
      </c>
      <c r="G97">
        <v>458</v>
      </c>
      <c r="H97">
        <v>916</v>
      </c>
      <c r="I97">
        <v>57</v>
      </c>
      <c r="J97">
        <f>[1]Transactions!F97*[1]Transactions!G97</f>
        <v>916</v>
      </c>
      <c r="K97">
        <f>_xlfn.XLOOKUP([1]Transactions!D97,[1]Inventory!$C$2:$C$501,[1]Inventory!$A$2:$A$501)</f>
        <v>25</v>
      </c>
      <c r="L97">
        <f>_xlfn.XLOOKUP(K97,[1]Inventory!$A$2:$A$501,[1]Inventory!$D$2:$D$501)</f>
        <v>17</v>
      </c>
      <c r="M97">
        <f>_xlfn.XLOOKUP(K97,[1]Inventory!$A$2:$A$501,[1]Inventory!$E$2:$E$501)</f>
        <v>75</v>
      </c>
      <c r="N97" t="str">
        <f>_xlfn.XLOOKUP([1]Transactions!C97,[1]Customers!$A$2:$A$201,[1]Customers!$G$2:$G$201)</f>
        <v>UP</v>
      </c>
      <c r="O97" t="str">
        <f>_xlfn.XLOOKUP(C97,[1]Customers!$A$2:$A$201,[1]Customers!$H$2:$H$201)</f>
        <v>North</v>
      </c>
      <c r="P97" t="str">
        <f>_xlfn.XLOOKUP(C97,[1]Customers!$A$2:$A$201,[1]Customers!$F$2:$F$201)</f>
        <v>Lucknow</v>
      </c>
      <c r="Q97">
        <f>_xlfn.XLOOKUP(C97,[1]Customers!$A$2:$A$201,[1]Customers!$D$2:$D$201)</f>
        <v>29</v>
      </c>
      <c r="R97" t="str">
        <f>_xlfn.XLOOKUP([1]Transactions!C97,[1]Customers!$A$2:$A$201,[1]Customers!$C$2:$C$201)</f>
        <v>Female</v>
      </c>
      <c r="S97" t="str">
        <f>_xlfn.XLOOKUP(C97,[1]Customers!$A$2:$A$201,[1]Customers!$B$2:$B$201)</f>
        <v>Customer_155</v>
      </c>
      <c r="T97" t="str">
        <f>_xlfn.XLOOKUP(D97,[1]Products!$A$2:$A$101,[1]Products!$C$2:$C$101)</f>
        <v>Dairy</v>
      </c>
      <c r="U97">
        <f>_xlfn.XLOOKUP(D97,[1]Products!$A$2:$A$101,[1]Products!$E$2:$E$101)</f>
        <v>150</v>
      </c>
      <c r="V97">
        <f>[1]Transactions!F97*[1]Transactions!U97</f>
        <v>300</v>
      </c>
    </row>
    <row r="98" spans="1:22" x14ac:dyDescent="0.3">
      <c r="A98">
        <v>97</v>
      </c>
      <c r="B98">
        <v>58</v>
      </c>
      <c r="C98">
        <v>66</v>
      </c>
      <c r="D98">
        <v>3</v>
      </c>
      <c r="E98">
        <v>42</v>
      </c>
      <c r="F98">
        <v>4</v>
      </c>
      <c r="G98">
        <v>431</v>
      </c>
      <c r="H98">
        <v>1724</v>
      </c>
      <c r="I98">
        <v>39</v>
      </c>
      <c r="J98">
        <f>[1]Transactions!F98*[1]Transactions!G98</f>
        <v>1724</v>
      </c>
      <c r="K98">
        <f>_xlfn.XLOOKUP([1]Transactions!D98,[1]Inventory!$C$2:$C$501,[1]Inventory!$A$2:$A$501)</f>
        <v>147</v>
      </c>
      <c r="L98">
        <f>_xlfn.XLOOKUP(K98,[1]Inventory!$A$2:$A$501,[1]Inventory!$D$2:$D$501)</f>
        <v>137</v>
      </c>
      <c r="M98">
        <f>_xlfn.XLOOKUP(K98,[1]Inventory!$A$2:$A$501,[1]Inventory!$E$2:$E$501)</f>
        <v>160</v>
      </c>
      <c r="N98" t="str">
        <f>_xlfn.XLOOKUP([1]Transactions!C98,[1]Customers!$A$2:$A$201,[1]Customers!$G$2:$G$201)</f>
        <v>Delhi</v>
      </c>
      <c r="O98" t="str">
        <f>_xlfn.XLOOKUP(C98,[1]Customers!$A$2:$A$201,[1]Customers!$H$2:$H$201)</f>
        <v>North</v>
      </c>
      <c r="P98" t="str">
        <f>_xlfn.XLOOKUP(C98,[1]Customers!$A$2:$A$201,[1]Customers!$F$2:$F$201)</f>
        <v>Delhi</v>
      </c>
      <c r="Q98">
        <f>_xlfn.XLOOKUP(C98,[1]Customers!$A$2:$A$201,[1]Customers!$D$2:$D$201)</f>
        <v>38</v>
      </c>
      <c r="R98" t="str">
        <f>_xlfn.XLOOKUP([1]Transactions!C98,[1]Customers!$A$2:$A$201,[1]Customers!$C$2:$C$201)</f>
        <v>Female</v>
      </c>
      <c r="S98" t="str">
        <f>_xlfn.XLOOKUP(C98,[1]Customers!$A$2:$A$201,[1]Customers!$B$2:$B$201)</f>
        <v>Customer_66</v>
      </c>
      <c r="T98" t="str">
        <f>_xlfn.XLOOKUP(D98,[1]Products!$A$2:$A$101,[1]Products!$C$2:$C$101)</f>
        <v>Dairy</v>
      </c>
      <c r="U98">
        <f>_xlfn.XLOOKUP(D98,[1]Products!$A$2:$A$101,[1]Products!$E$2:$E$101)</f>
        <v>357</v>
      </c>
      <c r="V98">
        <f>[1]Transactions!F98*[1]Transactions!U98</f>
        <v>1428</v>
      </c>
    </row>
    <row r="99" spans="1:22" x14ac:dyDescent="0.3">
      <c r="A99">
        <v>98</v>
      </c>
      <c r="B99">
        <v>80</v>
      </c>
      <c r="C99">
        <v>40</v>
      </c>
      <c r="D99">
        <v>40</v>
      </c>
      <c r="E99">
        <v>23</v>
      </c>
      <c r="F99">
        <v>5</v>
      </c>
      <c r="G99">
        <v>445</v>
      </c>
      <c r="H99">
        <v>2225</v>
      </c>
      <c r="I99">
        <v>12</v>
      </c>
      <c r="J99">
        <f>[1]Transactions!F99*[1]Transactions!G99</f>
        <v>2225</v>
      </c>
      <c r="K99">
        <f>_xlfn.XLOOKUP([1]Transactions!D99,[1]Inventory!$C$2:$C$501,[1]Inventory!$A$2:$A$501)</f>
        <v>113</v>
      </c>
      <c r="L99">
        <f>_xlfn.XLOOKUP(K99,[1]Inventory!$A$2:$A$501,[1]Inventory!$D$2:$D$501)</f>
        <v>462</v>
      </c>
      <c r="M99">
        <f>_xlfn.XLOOKUP(K99,[1]Inventory!$A$2:$A$501,[1]Inventory!$E$2:$E$501)</f>
        <v>68</v>
      </c>
      <c r="N99" t="str">
        <f>_xlfn.XLOOKUP([1]Transactions!C99,[1]Customers!$A$2:$A$201,[1]Customers!$G$2:$G$201)</f>
        <v>Maharashtra</v>
      </c>
      <c r="O99" t="str">
        <f>_xlfn.XLOOKUP(C99,[1]Customers!$A$2:$A$201,[1]Customers!$H$2:$H$201)</f>
        <v>West</v>
      </c>
      <c r="P99" t="str">
        <f>_xlfn.XLOOKUP(C99,[1]Customers!$A$2:$A$201,[1]Customers!$F$2:$F$201)</f>
        <v>Mumbai</v>
      </c>
      <c r="Q99">
        <f>_xlfn.XLOOKUP(C99,[1]Customers!$A$2:$A$201,[1]Customers!$D$2:$D$201)</f>
        <v>51</v>
      </c>
      <c r="R99" t="str">
        <f>_xlfn.XLOOKUP([1]Transactions!C99,[1]Customers!$A$2:$A$201,[1]Customers!$C$2:$C$201)</f>
        <v>Male</v>
      </c>
      <c r="S99" t="str">
        <f>_xlfn.XLOOKUP(C99,[1]Customers!$A$2:$A$201,[1]Customers!$B$2:$B$201)</f>
        <v>Customer_40</v>
      </c>
      <c r="T99" t="str">
        <f>_xlfn.XLOOKUP(D99,[1]Products!$A$2:$A$101,[1]Products!$C$2:$C$101)</f>
        <v>Grocery</v>
      </c>
      <c r="U99">
        <f>_xlfn.XLOOKUP(D99,[1]Products!$A$2:$A$101,[1]Products!$E$2:$E$101)</f>
        <v>184</v>
      </c>
      <c r="V99">
        <f>[1]Transactions!F99*[1]Transactions!U99</f>
        <v>920</v>
      </c>
    </row>
    <row r="100" spans="1:22" x14ac:dyDescent="0.3">
      <c r="A100">
        <v>99</v>
      </c>
      <c r="B100">
        <v>132</v>
      </c>
      <c r="C100">
        <v>150</v>
      </c>
      <c r="D100">
        <v>3</v>
      </c>
      <c r="E100">
        <v>37</v>
      </c>
      <c r="F100">
        <v>2</v>
      </c>
      <c r="G100">
        <v>211</v>
      </c>
      <c r="H100">
        <v>422</v>
      </c>
      <c r="I100">
        <v>10</v>
      </c>
      <c r="J100">
        <f>[1]Transactions!F100*[1]Transactions!G100</f>
        <v>422</v>
      </c>
      <c r="K100">
        <f>_xlfn.XLOOKUP([1]Transactions!D100,[1]Inventory!$C$2:$C$501,[1]Inventory!$A$2:$A$501)</f>
        <v>147</v>
      </c>
      <c r="L100">
        <f>_xlfn.XLOOKUP(K100,[1]Inventory!$A$2:$A$501,[1]Inventory!$D$2:$D$501)</f>
        <v>137</v>
      </c>
      <c r="M100">
        <f>_xlfn.XLOOKUP(K100,[1]Inventory!$A$2:$A$501,[1]Inventory!$E$2:$E$501)</f>
        <v>160</v>
      </c>
      <c r="N100" t="str">
        <f>_xlfn.XLOOKUP([1]Transactions!C100,[1]Customers!$A$2:$A$201,[1]Customers!$G$2:$G$201)</f>
        <v>Rajasthan</v>
      </c>
      <c r="O100" t="str">
        <f>_xlfn.XLOOKUP(C100,[1]Customers!$A$2:$A$201,[1]Customers!$H$2:$H$201)</f>
        <v>North</v>
      </c>
      <c r="P100" t="str">
        <f>_xlfn.XLOOKUP(C100,[1]Customers!$A$2:$A$201,[1]Customers!$F$2:$F$201)</f>
        <v>Jaipur</v>
      </c>
      <c r="Q100">
        <f>_xlfn.XLOOKUP(C100,[1]Customers!$A$2:$A$201,[1]Customers!$D$2:$D$201)</f>
        <v>26</v>
      </c>
      <c r="R100" t="str">
        <f>_xlfn.XLOOKUP([1]Transactions!C100,[1]Customers!$A$2:$A$201,[1]Customers!$C$2:$C$201)</f>
        <v>Female</v>
      </c>
      <c r="S100" t="str">
        <f>_xlfn.XLOOKUP(C100,[1]Customers!$A$2:$A$201,[1]Customers!$B$2:$B$201)</f>
        <v>Customer_150</v>
      </c>
      <c r="T100" t="str">
        <f>_xlfn.XLOOKUP(D100,[1]Products!$A$2:$A$101,[1]Products!$C$2:$C$101)</f>
        <v>Dairy</v>
      </c>
      <c r="U100">
        <f>_xlfn.XLOOKUP(D100,[1]Products!$A$2:$A$101,[1]Products!$E$2:$E$101)</f>
        <v>357</v>
      </c>
      <c r="V100">
        <f>[1]Transactions!F100*[1]Transactions!U100</f>
        <v>714</v>
      </c>
    </row>
    <row r="101" spans="1:22" x14ac:dyDescent="0.3">
      <c r="A101">
        <v>100</v>
      </c>
      <c r="B101">
        <v>120</v>
      </c>
      <c r="C101">
        <v>191</v>
      </c>
      <c r="D101">
        <v>56</v>
      </c>
      <c r="E101">
        <v>47</v>
      </c>
      <c r="F101">
        <v>5</v>
      </c>
      <c r="G101">
        <v>392</v>
      </c>
      <c r="H101">
        <v>1960</v>
      </c>
      <c r="I101">
        <v>23</v>
      </c>
      <c r="J101">
        <f>[1]Transactions!F101*[1]Transactions!G101</f>
        <v>1960</v>
      </c>
      <c r="K101">
        <f>_xlfn.XLOOKUP([1]Transactions!D101,[1]Inventory!$C$2:$C$501,[1]Inventory!$A$2:$A$501)</f>
        <v>70</v>
      </c>
      <c r="L101">
        <f>_xlfn.XLOOKUP(K101,[1]Inventory!$A$2:$A$501,[1]Inventory!$D$2:$D$501)</f>
        <v>197</v>
      </c>
      <c r="M101">
        <f>_xlfn.XLOOKUP(K101,[1]Inventory!$A$2:$A$501,[1]Inventory!$E$2:$E$501)</f>
        <v>102</v>
      </c>
      <c r="N101" t="str">
        <f>_xlfn.XLOOKUP([1]Transactions!C101,[1]Customers!$A$2:$A$201,[1]Customers!$G$2:$G$201)</f>
        <v>Karnataka</v>
      </c>
      <c r="O101" t="str">
        <f>_xlfn.XLOOKUP(C101,[1]Customers!$A$2:$A$201,[1]Customers!$H$2:$H$201)</f>
        <v>South</v>
      </c>
      <c r="P101" t="str">
        <f>_xlfn.XLOOKUP(C101,[1]Customers!$A$2:$A$201,[1]Customers!$F$2:$F$201)</f>
        <v>Bangalore</v>
      </c>
      <c r="Q101">
        <f>_xlfn.XLOOKUP(C101,[1]Customers!$A$2:$A$201,[1]Customers!$D$2:$D$201)</f>
        <v>18</v>
      </c>
      <c r="R101" t="str">
        <f>_xlfn.XLOOKUP([1]Transactions!C101,[1]Customers!$A$2:$A$201,[1]Customers!$C$2:$C$201)</f>
        <v>Female</v>
      </c>
      <c r="S101" t="str">
        <f>_xlfn.XLOOKUP(C101,[1]Customers!$A$2:$A$201,[1]Customers!$B$2:$B$201)</f>
        <v>Customer_191</v>
      </c>
      <c r="T101" t="str">
        <f>_xlfn.XLOOKUP(D101,[1]Products!$A$2:$A$101,[1]Products!$C$2:$C$101)</f>
        <v>Beverages</v>
      </c>
      <c r="U101">
        <f>_xlfn.XLOOKUP(D101,[1]Products!$A$2:$A$101,[1]Products!$E$2:$E$101)</f>
        <v>64</v>
      </c>
      <c r="V101">
        <f>[1]Transactions!F101*[1]Transactions!U101</f>
        <v>320</v>
      </c>
    </row>
    <row r="102" spans="1:22" x14ac:dyDescent="0.3">
      <c r="A102">
        <v>101</v>
      </c>
      <c r="B102">
        <v>136</v>
      </c>
      <c r="C102">
        <v>39</v>
      </c>
      <c r="D102">
        <v>9</v>
      </c>
      <c r="E102">
        <v>24</v>
      </c>
      <c r="F102">
        <v>5</v>
      </c>
      <c r="G102">
        <v>233</v>
      </c>
      <c r="H102">
        <v>1165</v>
      </c>
      <c r="I102">
        <v>22</v>
      </c>
      <c r="J102">
        <f>[1]Transactions!F102*[1]Transactions!G102</f>
        <v>1165</v>
      </c>
      <c r="K102">
        <f>_xlfn.XLOOKUP([1]Transactions!D102,[1]Inventory!$C$2:$C$501,[1]Inventory!$A$2:$A$501)</f>
        <v>185</v>
      </c>
      <c r="L102">
        <f>_xlfn.XLOOKUP(K102,[1]Inventory!$A$2:$A$501,[1]Inventory!$D$2:$D$501)</f>
        <v>464</v>
      </c>
      <c r="M102">
        <f>_xlfn.XLOOKUP(K102,[1]Inventory!$A$2:$A$501,[1]Inventory!$E$2:$E$501)</f>
        <v>34</v>
      </c>
      <c r="N102" t="str">
        <f>_xlfn.XLOOKUP([1]Transactions!C102,[1]Customers!$A$2:$A$201,[1]Customers!$G$2:$G$201)</f>
        <v>Gujarat</v>
      </c>
      <c r="O102" t="str">
        <f>_xlfn.XLOOKUP(C102,[1]Customers!$A$2:$A$201,[1]Customers!$H$2:$H$201)</f>
        <v>West</v>
      </c>
      <c r="P102" t="str">
        <f>_xlfn.XLOOKUP(C102,[1]Customers!$A$2:$A$201,[1]Customers!$F$2:$F$201)</f>
        <v>Ahmedabad</v>
      </c>
      <c r="Q102">
        <f>_xlfn.XLOOKUP(C102,[1]Customers!$A$2:$A$201,[1]Customers!$D$2:$D$201)</f>
        <v>36</v>
      </c>
      <c r="R102" t="str">
        <f>_xlfn.XLOOKUP([1]Transactions!C102,[1]Customers!$A$2:$A$201,[1]Customers!$C$2:$C$201)</f>
        <v>Male</v>
      </c>
      <c r="S102" t="str">
        <f>_xlfn.XLOOKUP(C102,[1]Customers!$A$2:$A$201,[1]Customers!$B$2:$B$201)</f>
        <v>Customer_39</v>
      </c>
      <c r="T102" t="str">
        <f>_xlfn.XLOOKUP(D102,[1]Products!$A$2:$A$101,[1]Products!$C$2:$C$101)</f>
        <v>Personal Care</v>
      </c>
      <c r="U102">
        <f>_xlfn.XLOOKUP(D102,[1]Products!$A$2:$A$101,[1]Products!$E$2:$E$101)</f>
        <v>121</v>
      </c>
      <c r="V102">
        <f>[1]Transactions!F102*[1]Transactions!U102</f>
        <v>605</v>
      </c>
    </row>
    <row r="103" spans="1:22" x14ac:dyDescent="0.3">
      <c r="A103">
        <v>102</v>
      </c>
      <c r="B103">
        <v>26</v>
      </c>
      <c r="C103">
        <v>137</v>
      </c>
      <c r="D103">
        <v>3</v>
      </c>
      <c r="E103">
        <v>11</v>
      </c>
      <c r="F103">
        <v>5</v>
      </c>
      <c r="G103">
        <v>185</v>
      </c>
      <c r="H103">
        <v>925</v>
      </c>
      <c r="I103">
        <v>14</v>
      </c>
      <c r="J103">
        <f>[1]Transactions!F103*[1]Transactions!G103</f>
        <v>925</v>
      </c>
      <c r="K103">
        <f>_xlfn.XLOOKUP([1]Transactions!D103,[1]Inventory!$C$2:$C$501,[1]Inventory!$A$2:$A$501)</f>
        <v>147</v>
      </c>
      <c r="L103">
        <f>_xlfn.XLOOKUP(K103,[1]Inventory!$A$2:$A$501,[1]Inventory!$D$2:$D$501)</f>
        <v>137</v>
      </c>
      <c r="M103">
        <f>_xlfn.XLOOKUP(K103,[1]Inventory!$A$2:$A$501,[1]Inventory!$E$2:$E$501)</f>
        <v>160</v>
      </c>
      <c r="N103" t="str">
        <f>_xlfn.XLOOKUP([1]Transactions!C103,[1]Customers!$A$2:$A$201,[1]Customers!$G$2:$G$201)</f>
        <v>Delhi</v>
      </c>
      <c r="O103" t="str">
        <f>_xlfn.XLOOKUP(C103,[1]Customers!$A$2:$A$201,[1]Customers!$H$2:$H$201)</f>
        <v>North</v>
      </c>
      <c r="P103" t="str">
        <f>_xlfn.XLOOKUP(C103,[1]Customers!$A$2:$A$201,[1]Customers!$F$2:$F$201)</f>
        <v>Delhi</v>
      </c>
      <c r="Q103">
        <f>_xlfn.XLOOKUP(C103,[1]Customers!$A$2:$A$201,[1]Customers!$D$2:$D$201)</f>
        <v>32</v>
      </c>
      <c r="R103" t="str">
        <f>_xlfn.XLOOKUP([1]Transactions!C103,[1]Customers!$A$2:$A$201,[1]Customers!$C$2:$C$201)</f>
        <v>Male</v>
      </c>
      <c r="S103" t="str">
        <f>_xlfn.XLOOKUP(C103,[1]Customers!$A$2:$A$201,[1]Customers!$B$2:$B$201)</f>
        <v>Customer_137</v>
      </c>
      <c r="T103" t="str">
        <f>_xlfn.XLOOKUP(D103,[1]Products!$A$2:$A$101,[1]Products!$C$2:$C$101)</f>
        <v>Dairy</v>
      </c>
      <c r="U103">
        <f>_xlfn.XLOOKUP(D103,[1]Products!$A$2:$A$101,[1]Products!$E$2:$E$101)</f>
        <v>357</v>
      </c>
      <c r="V103">
        <f>[1]Transactions!F103*[1]Transactions!U103</f>
        <v>1785</v>
      </c>
    </row>
    <row r="104" spans="1:22" x14ac:dyDescent="0.3">
      <c r="A104">
        <v>103</v>
      </c>
      <c r="B104">
        <v>48</v>
      </c>
      <c r="C104">
        <v>154</v>
      </c>
      <c r="D104">
        <v>3</v>
      </c>
      <c r="E104">
        <v>26</v>
      </c>
      <c r="F104">
        <v>1</v>
      </c>
      <c r="G104">
        <v>383</v>
      </c>
      <c r="H104">
        <v>383</v>
      </c>
      <c r="I104">
        <v>17</v>
      </c>
      <c r="J104">
        <f>[1]Transactions!F104*[1]Transactions!G104</f>
        <v>383</v>
      </c>
      <c r="K104">
        <f>_xlfn.XLOOKUP([1]Transactions!D104,[1]Inventory!$C$2:$C$501,[1]Inventory!$A$2:$A$501)</f>
        <v>147</v>
      </c>
      <c r="L104">
        <f>_xlfn.XLOOKUP(K104,[1]Inventory!$A$2:$A$501,[1]Inventory!$D$2:$D$501)</f>
        <v>137</v>
      </c>
      <c r="M104">
        <f>_xlfn.XLOOKUP(K104,[1]Inventory!$A$2:$A$501,[1]Inventory!$E$2:$E$501)</f>
        <v>160</v>
      </c>
      <c r="N104" t="str">
        <f>_xlfn.XLOOKUP([1]Transactions!C104,[1]Customers!$A$2:$A$201,[1]Customers!$G$2:$G$201)</f>
        <v>Rajasthan</v>
      </c>
      <c r="O104" t="str">
        <f>_xlfn.XLOOKUP(C104,[1]Customers!$A$2:$A$201,[1]Customers!$H$2:$H$201)</f>
        <v>North</v>
      </c>
      <c r="P104" t="str">
        <f>_xlfn.XLOOKUP(C104,[1]Customers!$A$2:$A$201,[1]Customers!$F$2:$F$201)</f>
        <v>Jaipur</v>
      </c>
      <c r="Q104">
        <f>_xlfn.XLOOKUP(C104,[1]Customers!$A$2:$A$201,[1]Customers!$D$2:$D$201)</f>
        <v>18</v>
      </c>
      <c r="R104" t="str">
        <f>_xlfn.XLOOKUP([1]Transactions!C104,[1]Customers!$A$2:$A$201,[1]Customers!$C$2:$C$201)</f>
        <v>Female</v>
      </c>
      <c r="S104" t="str">
        <f>_xlfn.XLOOKUP(C104,[1]Customers!$A$2:$A$201,[1]Customers!$B$2:$B$201)</f>
        <v>Customer_154</v>
      </c>
      <c r="T104" t="str">
        <f>_xlfn.XLOOKUP(D104,[1]Products!$A$2:$A$101,[1]Products!$C$2:$C$101)</f>
        <v>Dairy</v>
      </c>
      <c r="U104">
        <f>_xlfn.XLOOKUP(D104,[1]Products!$A$2:$A$101,[1]Products!$E$2:$E$101)</f>
        <v>357</v>
      </c>
      <c r="V104">
        <f>[1]Transactions!F104*[1]Transactions!U104</f>
        <v>357</v>
      </c>
    </row>
    <row r="105" spans="1:22" x14ac:dyDescent="0.3">
      <c r="A105">
        <v>104</v>
      </c>
      <c r="B105">
        <v>119</v>
      </c>
      <c r="C105">
        <v>6</v>
      </c>
      <c r="D105">
        <v>99</v>
      </c>
      <c r="E105">
        <v>24</v>
      </c>
      <c r="F105">
        <v>2</v>
      </c>
      <c r="G105">
        <v>172</v>
      </c>
      <c r="H105">
        <v>344</v>
      </c>
      <c r="I105">
        <v>60</v>
      </c>
      <c r="J105">
        <f>[1]Transactions!F105*[1]Transactions!G105</f>
        <v>344</v>
      </c>
      <c r="K105">
        <f>_xlfn.XLOOKUP([1]Transactions!D105,[1]Inventory!$C$2:$C$501,[1]Inventory!$A$2:$A$501)</f>
        <v>13</v>
      </c>
      <c r="L105">
        <f>_xlfn.XLOOKUP(K105,[1]Inventory!$A$2:$A$501,[1]Inventory!$D$2:$D$501)</f>
        <v>285</v>
      </c>
      <c r="M105">
        <f>_xlfn.XLOOKUP(K105,[1]Inventory!$A$2:$A$501,[1]Inventory!$E$2:$E$501)</f>
        <v>98</v>
      </c>
      <c r="N105" t="str">
        <f>_xlfn.XLOOKUP([1]Transactions!C105,[1]Customers!$A$2:$A$201,[1]Customers!$G$2:$G$201)</f>
        <v>Gujarat</v>
      </c>
      <c r="O105" t="str">
        <f>_xlfn.XLOOKUP(C105,[1]Customers!$A$2:$A$201,[1]Customers!$H$2:$H$201)</f>
        <v>West</v>
      </c>
      <c r="P105" t="str">
        <f>_xlfn.XLOOKUP(C105,[1]Customers!$A$2:$A$201,[1]Customers!$F$2:$F$201)</f>
        <v>Ahmedabad</v>
      </c>
      <c r="Q105">
        <f>_xlfn.XLOOKUP(C105,[1]Customers!$A$2:$A$201,[1]Customers!$D$2:$D$201)</f>
        <v>36</v>
      </c>
      <c r="R105" t="str">
        <f>_xlfn.XLOOKUP([1]Transactions!C105,[1]Customers!$A$2:$A$201,[1]Customers!$C$2:$C$201)</f>
        <v>Female</v>
      </c>
      <c r="S105" t="str">
        <f>_xlfn.XLOOKUP(C105,[1]Customers!$A$2:$A$201,[1]Customers!$B$2:$B$201)</f>
        <v>Customer_6</v>
      </c>
      <c r="T105" t="str">
        <f>_xlfn.XLOOKUP(D105,[1]Products!$A$2:$A$101,[1]Products!$C$2:$C$101)</f>
        <v>Personal Care</v>
      </c>
      <c r="U105">
        <f>_xlfn.XLOOKUP(D105,[1]Products!$A$2:$A$101,[1]Products!$E$2:$E$101)</f>
        <v>340</v>
      </c>
      <c r="V105">
        <f>[1]Transactions!F105*[1]Transactions!U105</f>
        <v>680</v>
      </c>
    </row>
    <row r="106" spans="1:22" x14ac:dyDescent="0.3">
      <c r="A106">
        <v>105</v>
      </c>
      <c r="B106">
        <v>80</v>
      </c>
      <c r="C106">
        <v>91</v>
      </c>
      <c r="D106">
        <v>57</v>
      </c>
      <c r="E106">
        <v>13</v>
      </c>
      <c r="F106">
        <v>3</v>
      </c>
      <c r="G106">
        <v>376</v>
      </c>
      <c r="H106">
        <v>1128</v>
      </c>
      <c r="I106">
        <v>60</v>
      </c>
      <c r="J106">
        <f>[1]Transactions!F106*[1]Transactions!G106</f>
        <v>1128</v>
      </c>
      <c r="K106">
        <f>_xlfn.XLOOKUP([1]Transactions!D106,[1]Inventory!$C$2:$C$501,[1]Inventory!$A$2:$A$501)</f>
        <v>31</v>
      </c>
      <c r="L106">
        <f>_xlfn.XLOOKUP(K106,[1]Inventory!$A$2:$A$501,[1]Inventory!$D$2:$D$501)</f>
        <v>30</v>
      </c>
      <c r="M106">
        <f>_xlfn.XLOOKUP(K106,[1]Inventory!$A$2:$A$501,[1]Inventory!$E$2:$E$501)</f>
        <v>151</v>
      </c>
      <c r="N106" t="str">
        <f>_xlfn.XLOOKUP([1]Transactions!C106,[1]Customers!$A$2:$A$201,[1]Customers!$G$2:$G$201)</f>
        <v>Maharashtra</v>
      </c>
      <c r="O106" t="str">
        <f>_xlfn.XLOOKUP(C106,[1]Customers!$A$2:$A$201,[1]Customers!$H$2:$H$201)</f>
        <v>West</v>
      </c>
      <c r="P106" t="str">
        <f>_xlfn.XLOOKUP(C106,[1]Customers!$A$2:$A$201,[1]Customers!$F$2:$F$201)</f>
        <v>Mumbai</v>
      </c>
      <c r="Q106">
        <f>_xlfn.XLOOKUP(C106,[1]Customers!$A$2:$A$201,[1]Customers!$D$2:$D$201)</f>
        <v>60</v>
      </c>
      <c r="R106" t="str">
        <f>_xlfn.XLOOKUP([1]Transactions!C106,[1]Customers!$A$2:$A$201,[1]Customers!$C$2:$C$201)</f>
        <v>Male</v>
      </c>
      <c r="S106" t="str">
        <f>_xlfn.XLOOKUP(C106,[1]Customers!$A$2:$A$201,[1]Customers!$B$2:$B$201)</f>
        <v>Customer_91</v>
      </c>
      <c r="T106" t="str">
        <f>_xlfn.XLOOKUP(D106,[1]Products!$A$2:$A$101,[1]Products!$C$2:$C$101)</f>
        <v>Snacks</v>
      </c>
      <c r="U106">
        <f>_xlfn.XLOOKUP(D106,[1]Products!$A$2:$A$101,[1]Products!$E$2:$E$101)</f>
        <v>66</v>
      </c>
      <c r="V106">
        <f>[1]Transactions!F106*[1]Transactions!U106</f>
        <v>198</v>
      </c>
    </row>
    <row r="107" spans="1:22" x14ac:dyDescent="0.3">
      <c r="A107">
        <v>106</v>
      </c>
      <c r="B107">
        <v>104</v>
      </c>
      <c r="C107">
        <v>132</v>
      </c>
      <c r="D107">
        <v>27</v>
      </c>
      <c r="E107">
        <v>43</v>
      </c>
      <c r="F107">
        <v>4</v>
      </c>
      <c r="G107">
        <v>100</v>
      </c>
      <c r="H107">
        <v>400</v>
      </c>
      <c r="I107">
        <v>27</v>
      </c>
      <c r="J107">
        <f>[1]Transactions!F107*[1]Transactions!G107</f>
        <v>400</v>
      </c>
      <c r="K107">
        <f>_xlfn.XLOOKUP([1]Transactions!D107,[1]Inventory!$C$2:$C$501,[1]Inventory!$A$2:$A$501)</f>
        <v>24</v>
      </c>
      <c r="L107">
        <f>_xlfn.XLOOKUP(K107,[1]Inventory!$A$2:$A$501,[1]Inventory!$D$2:$D$501)</f>
        <v>384</v>
      </c>
      <c r="M107">
        <f>_xlfn.XLOOKUP(K107,[1]Inventory!$A$2:$A$501,[1]Inventory!$E$2:$E$501)</f>
        <v>116</v>
      </c>
      <c r="N107" t="str">
        <f>_xlfn.XLOOKUP([1]Transactions!C107,[1]Customers!$A$2:$A$201,[1]Customers!$G$2:$G$201)</f>
        <v>Tamil Nadu</v>
      </c>
      <c r="O107" t="str">
        <f>_xlfn.XLOOKUP(C107,[1]Customers!$A$2:$A$201,[1]Customers!$H$2:$H$201)</f>
        <v>South</v>
      </c>
      <c r="P107" t="str">
        <f>_xlfn.XLOOKUP(C107,[1]Customers!$A$2:$A$201,[1]Customers!$F$2:$F$201)</f>
        <v>Chennai</v>
      </c>
      <c r="Q107">
        <f>_xlfn.XLOOKUP(C107,[1]Customers!$A$2:$A$201,[1]Customers!$D$2:$D$201)</f>
        <v>28</v>
      </c>
      <c r="R107" t="str">
        <f>_xlfn.XLOOKUP([1]Transactions!C107,[1]Customers!$A$2:$A$201,[1]Customers!$C$2:$C$201)</f>
        <v>Male</v>
      </c>
      <c r="S107" t="str">
        <f>_xlfn.XLOOKUP(C107,[1]Customers!$A$2:$A$201,[1]Customers!$B$2:$B$201)</f>
        <v>Customer_132</v>
      </c>
      <c r="T107" t="str">
        <f>_xlfn.XLOOKUP(D107,[1]Products!$A$2:$A$101,[1]Products!$C$2:$C$101)</f>
        <v>Snacks</v>
      </c>
      <c r="U107">
        <f>_xlfn.XLOOKUP(D107,[1]Products!$A$2:$A$101,[1]Products!$E$2:$E$101)</f>
        <v>372</v>
      </c>
      <c r="V107">
        <f>[1]Transactions!F107*[1]Transactions!U107</f>
        <v>1488</v>
      </c>
    </row>
    <row r="108" spans="1:22" x14ac:dyDescent="0.3">
      <c r="A108">
        <v>107</v>
      </c>
      <c r="B108">
        <v>121</v>
      </c>
      <c r="C108">
        <v>157</v>
      </c>
      <c r="D108">
        <v>63</v>
      </c>
      <c r="E108">
        <v>14</v>
      </c>
      <c r="F108">
        <v>1</v>
      </c>
      <c r="G108">
        <v>261</v>
      </c>
      <c r="H108">
        <v>261</v>
      </c>
      <c r="I108">
        <v>33</v>
      </c>
      <c r="J108">
        <f>[1]Transactions!F108*[1]Transactions!G108</f>
        <v>261</v>
      </c>
      <c r="K108">
        <f>_xlfn.XLOOKUP([1]Transactions!D108,[1]Inventory!$C$2:$C$501,[1]Inventory!$A$2:$A$501)</f>
        <v>36</v>
      </c>
      <c r="L108">
        <f>_xlfn.XLOOKUP(K108,[1]Inventory!$A$2:$A$501,[1]Inventory!$D$2:$D$501)</f>
        <v>75</v>
      </c>
      <c r="M108">
        <f>_xlfn.XLOOKUP(K108,[1]Inventory!$A$2:$A$501,[1]Inventory!$E$2:$E$501)</f>
        <v>177</v>
      </c>
      <c r="N108" t="str">
        <f>_xlfn.XLOOKUP([1]Transactions!C108,[1]Customers!$A$2:$A$201,[1]Customers!$G$2:$G$201)</f>
        <v>Tamil Nadu</v>
      </c>
      <c r="O108" t="str">
        <f>_xlfn.XLOOKUP(C108,[1]Customers!$A$2:$A$201,[1]Customers!$H$2:$H$201)</f>
        <v>South</v>
      </c>
      <c r="P108" t="str">
        <f>_xlfn.XLOOKUP(C108,[1]Customers!$A$2:$A$201,[1]Customers!$F$2:$F$201)</f>
        <v>Chennai</v>
      </c>
      <c r="Q108">
        <f>_xlfn.XLOOKUP(C108,[1]Customers!$A$2:$A$201,[1]Customers!$D$2:$D$201)</f>
        <v>30</v>
      </c>
      <c r="R108" t="str">
        <f>_xlfn.XLOOKUP([1]Transactions!C108,[1]Customers!$A$2:$A$201,[1]Customers!$C$2:$C$201)</f>
        <v>Female</v>
      </c>
      <c r="S108" t="str">
        <f>_xlfn.XLOOKUP(C108,[1]Customers!$A$2:$A$201,[1]Customers!$B$2:$B$201)</f>
        <v>Customer_157</v>
      </c>
      <c r="T108" t="str">
        <f>_xlfn.XLOOKUP(D108,[1]Products!$A$2:$A$101,[1]Products!$C$2:$C$101)</f>
        <v>Grocery</v>
      </c>
      <c r="U108">
        <f>_xlfn.XLOOKUP(D108,[1]Products!$A$2:$A$101,[1]Products!$E$2:$E$101)</f>
        <v>171</v>
      </c>
      <c r="V108">
        <f>[1]Transactions!F108*[1]Transactions!U108</f>
        <v>171</v>
      </c>
    </row>
    <row r="109" spans="1:22" x14ac:dyDescent="0.3">
      <c r="A109">
        <v>108</v>
      </c>
      <c r="B109">
        <v>144</v>
      </c>
      <c r="C109">
        <v>148</v>
      </c>
      <c r="D109">
        <v>86</v>
      </c>
      <c r="E109">
        <v>14</v>
      </c>
      <c r="F109">
        <v>4</v>
      </c>
      <c r="G109">
        <v>213</v>
      </c>
      <c r="H109">
        <v>852</v>
      </c>
      <c r="I109">
        <v>52</v>
      </c>
      <c r="J109">
        <f>[1]Transactions!F109*[1]Transactions!G109</f>
        <v>852</v>
      </c>
      <c r="K109">
        <f>_xlfn.XLOOKUP([1]Transactions!D109,[1]Inventory!$C$2:$C$501,[1]Inventory!$A$2:$A$501)</f>
        <v>84</v>
      </c>
      <c r="L109">
        <f>_xlfn.XLOOKUP(K109,[1]Inventory!$A$2:$A$501,[1]Inventory!$D$2:$D$501)</f>
        <v>450</v>
      </c>
      <c r="M109">
        <f>_xlfn.XLOOKUP(K109,[1]Inventory!$A$2:$A$501,[1]Inventory!$E$2:$E$501)</f>
        <v>85</v>
      </c>
      <c r="N109" t="str">
        <f>_xlfn.XLOOKUP([1]Transactions!C109,[1]Customers!$A$2:$A$201,[1]Customers!$G$2:$G$201)</f>
        <v>Rajasthan</v>
      </c>
      <c r="O109" t="str">
        <f>_xlfn.XLOOKUP(C109,[1]Customers!$A$2:$A$201,[1]Customers!$H$2:$H$201)</f>
        <v>North</v>
      </c>
      <c r="P109" t="str">
        <f>_xlfn.XLOOKUP(C109,[1]Customers!$A$2:$A$201,[1]Customers!$F$2:$F$201)</f>
        <v>Jaipur</v>
      </c>
      <c r="Q109">
        <f>_xlfn.XLOOKUP(C109,[1]Customers!$A$2:$A$201,[1]Customers!$D$2:$D$201)</f>
        <v>42</v>
      </c>
      <c r="R109" t="str">
        <f>_xlfn.XLOOKUP([1]Transactions!C109,[1]Customers!$A$2:$A$201,[1]Customers!$C$2:$C$201)</f>
        <v>Female</v>
      </c>
      <c r="S109" t="str">
        <f>_xlfn.XLOOKUP(C109,[1]Customers!$A$2:$A$201,[1]Customers!$B$2:$B$201)</f>
        <v>Customer_148</v>
      </c>
      <c r="T109" t="str">
        <f>_xlfn.XLOOKUP(D109,[1]Products!$A$2:$A$101,[1]Products!$C$2:$C$101)</f>
        <v>Snacks</v>
      </c>
      <c r="U109">
        <f>_xlfn.XLOOKUP(D109,[1]Products!$A$2:$A$101,[1]Products!$E$2:$E$101)</f>
        <v>405</v>
      </c>
      <c r="V109">
        <f>[1]Transactions!F109*[1]Transactions!U109</f>
        <v>1620</v>
      </c>
    </row>
    <row r="110" spans="1:22" x14ac:dyDescent="0.3">
      <c r="A110">
        <v>109</v>
      </c>
      <c r="B110">
        <v>31</v>
      </c>
      <c r="C110">
        <v>121</v>
      </c>
      <c r="D110">
        <v>30</v>
      </c>
      <c r="E110">
        <v>7</v>
      </c>
      <c r="F110">
        <v>1</v>
      </c>
      <c r="G110">
        <v>425</v>
      </c>
      <c r="H110">
        <v>425</v>
      </c>
      <c r="I110">
        <v>52</v>
      </c>
      <c r="J110">
        <f>[1]Transactions!F110*[1]Transactions!G110</f>
        <v>425</v>
      </c>
      <c r="K110">
        <f>_xlfn.XLOOKUP([1]Transactions!D110,[1]Inventory!$C$2:$C$501,[1]Inventory!$A$2:$A$501)</f>
        <v>68</v>
      </c>
      <c r="L110">
        <f>_xlfn.XLOOKUP(K110,[1]Inventory!$A$2:$A$501,[1]Inventory!$D$2:$D$501)</f>
        <v>179</v>
      </c>
      <c r="M110">
        <f>_xlfn.XLOOKUP(K110,[1]Inventory!$A$2:$A$501,[1]Inventory!$E$2:$E$501)</f>
        <v>103</v>
      </c>
      <c r="N110" t="str">
        <f>_xlfn.XLOOKUP([1]Transactions!C110,[1]Customers!$A$2:$A$201,[1]Customers!$G$2:$G$201)</f>
        <v>Tamil Nadu</v>
      </c>
      <c r="O110" t="str">
        <f>_xlfn.XLOOKUP(C110,[1]Customers!$A$2:$A$201,[1]Customers!$H$2:$H$201)</f>
        <v>South</v>
      </c>
      <c r="P110" t="str">
        <f>_xlfn.XLOOKUP(C110,[1]Customers!$A$2:$A$201,[1]Customers!$F$2:$F$201)</f>
        <v>Chennai</v>
      </c>
      <c r="Q110">
        <f>_xlfn.XLOOKUP(C110,[1]Customers!$A$2:$A$201,[1]Customers!$D$2:$D$201)</f>
        <v>47</v>
      </c>
      <c r="R110" t="str">
        <f>_xlfn.XLOOKUP([1]Transactions!C110,[1]Customers!$A$2:$A$201,[1]Customers!$C$2:$C$201)</f>
        <v>Female</v>
      </c>
      <c r="S110" t="str">
        <f>_xlfn.XLOOKUP(C110,[1]Customers!$A$2:$A$201,[1]Customers!$B$2:$B$201)</f>
        <v>Customer_121</v>
      </c>
      <c r="T110" t="str">
        <f>_xlfn.XLOOKUP(D110,[1]Products!$A$2:$A$101,[1]Products!$C$2:$C$101)</f>
        <v>Beverages</v>
      </c>
      <c r="U110">
        <f>_xlfn.XLOOKUP(D110,[1]Products!$A$2:$A$101,[1]Products!$E$2:$E$101)</f>
        <v>230</v>
      </c>
      <c r="V110">
        <f>[1]Transactions!F110*[1]Transactions!U110</f>
        <v>230</v>
      </c>
    </row>
    <row r="111" spans="1:22" x14ac:dyDescent="0.3">
      <c r="A111">
        <v>110</v>
      </c>
      <c r="B111">
        <v>135</v>
      </c>
      <c r="C111">
        <v>189</v>
      </c>
      <c r="D111">
        <v>39</v>
      </c>
      <c r="E111">
        <v>23</v>
      </c>
      <c r="F111">
        <v>5</v>
      </c>
      <c r="G111">
        <v>63</v>
      </c>
      <c r="H111">
        <v>315</v>
      </c>
      <c r="I111">
        <v>37</v>
      </c>
      <c r="J111">
        <f>[1]Transactions!F111*[1]Transactions!G111</f>
        <v>315</v>
      </c>
      <c r="K111">
        <f>_xlfn.XLOOKUP([1]Transactions!D111,[1]Inventory!$C$2:$C$501,[1]Inventory!$A$2:$A$501)</f>
        <v>122</v>
      </c>
      <c r="L111">
        <f>_xlfn.XLOOKUP(K111,[1]Inventory!$A$2:$A$501,[1]Inventory!$D$2:$D$501)</f>
        <v>220</v>
      </c>
      <c r="M111">
        <f>_xlfn.XLOOKUP(K111,[1]Inventory!$A$2:$A$501,[1]Inventory!$E$2:$E$501)</f>
        <v>113</v>
      </c>
      <c r="N111" t="str">
        <f>_xlfn.XLOOKUP([1]Transactions!C111,[1]Customers!$A$2:$A$201,[1]Customers!$G$2:$G$201)</f>
        <v>Delhi</v>
      </c>
      <c r="O111" t="str">
        <f>_xlfn.XLOOKUP(C111,[1]Customers!$A$2:$A$201,[1]Customers!$H$2:$H$201)</f>
        <v>North</v>
      </c>
      <c r="P111" t="str">
        <f>_xlfn.XLOOKUP(C111,[1]Customers!$A$2:$A$201,[1]Customers!$F$2:$F$201)</f>
        <v>Delhi</v>
      </c>
      <c r="Q111">
        <f>_xlfn.XLOOKUP(C111,[1]Customers!$A$2:$A$201,[1]Customers!$D$2:$D$201)</f>
        <v>20</v>
      </c>
      <c r="R111" t="str">
        <f>_xlfn.XLOOKUP([1]Transactions!C111,[1]Customers!$A$2:$A$201,[1]Customers!$C$2:$C$201)</f>
        <v>Female</v>
      </c>
      <c r="S111" t="str">
        <f>_xlfn.XLOOKUP(C111,[1]Customers!$A$2:$A$201,[1]Customers!$B$2:$B$201)</f>
        <v>Customer_189</v>
      </c>
      <c r="T111" t="str">
        <f>_xlfn.XLOOKUP(D111,[1]Products!$A$2:$A$101,[1]Products!$C$2:$C$101)</f>
        <v>Grocery</v>
      </c>
      <c r="U111">
        <f>_xlfn.XLOOKUP(D111,[1]Products!$A$2:$A$101,[1]Products!$E$2:$E$101)</f>
        <v>50</v>
      </c>
      <c r="V111">
        <f>[1]Transactions!F111*[1]Transactions!U111</f>
        <v>250</v>
      </c>
    </row>
    <row r="112" spans="1:22" x14ac:dyDescent="0.3">
      <c r="A112">
        <v>111</v>
      </c>
      <c r="B112">
        <v>71</v>
      </c>
      <c r="C112">
        <v>25</v>
      </c>
      <c r="D112">
        <v>92</v>
      </c>
      <c r="E112">
        <v>40</v>
      </c>
      <c r="F112">
        <v>3</v>
      </c>
      <c r="G112">
        <v>406</v>
      </c>
      <c r="H112">
        <v>1218</v>
      </c>
      <c r="I112">
        <v>15</v>
      </c>
      <c r="J112">
        <f>[1]Transactions!F112*[1]Transactions!G112</f>
        <v>1218</v>
      </c>
      <c r="K112">
        <f>_xlfn.XLOOKUP([1]Transactions!D112,[1]Inventory!$C$2:$C$501,[1]Inventory!$A$2:$A$501)</f>
        <v>160</v>
      </c>
      <c r="L112">
        <f>_xlfn.XLOOKUP(K112,[1]Inventory!$A$2:$A$501,[1]Inventory!$D$2:$D$501)</f>
        <v>357</v>
      </c>
      <c r="M112">
        <f>_xlfn.XLOOKUP(K112,[1]Inventory!$A$2:$A$501,[1]Inventory!$E$2:$E$501)</f>
        <v>130</v>
      </c>
      <c r="N112" t="str">
        <f>_xlfn.XLOOKUP([1]Transactions!C112,[1]Customers!$A$2:$A$201,[1]Customers!$G$2:$G$201)</f>
        <v>Maharashtra</v>
      </c>
      <c r="O112" t="str">
        <f>_xlfn.XLOOKUP(C112,[1]Customers!$A$2:$A$201,[1]Customers!$H$2:$H$201)</f>
        <v>West</v>
      </c>
      <c r="P112" t="str">
        <f>_xlfn.XLOOKUP(C112,[1]Customers!$A$2:$A$201,[1]Customers!$F$2:$F$201)</f>
        <v>Mumbai</v>
      </c>
      <c r="Q112">
        <f>_xlfn.XLOOKUP(C112,[1]Customers!$A$2:$A$201,[1]Customers!$D$2:$D$201)</f>
        <v>58</v>
      </c>
      <c r="R112" t="str">
        <f>_xlfn.XLOOKUP([1]Transactions!C112,[1]Customers!$A$2:$A$201,[1]Customers!$C$2:$C$201)</f>
        <v>Female</v>
      </c>
      <c r="S112" t="str">
        <f>_xlfn.XLOOKUP(C112,[1]Customers!$A$2:$A$201,[1]Customers!$B$2:$B$201)</f>
        <v>Customer_25</v>
      </c>
      <c r="T112" t="str">
        <f>_xlfn.XLOOKUP(D112,[1]Products!$A$2:$A$101,[1]Products!$C$2:$C$101)</f>
        <v>Snacks</v>
      </c>
      <c r="U112">
        <f>_xlfn.XLOOKUP(D112,[1]Products!$A$2:$A$101,[1]Products!$E$2:$E$101)</f>
        <v>55</v>
      </c>
      <c r="V112">
        <f>[1]Transactions!F112*[1]Transactions!U112</f>
        <v>165</v>
      </c>
    </row>
    <row r="113" spans="1:22" x14ac:dyDescent="0.3">
      <c r="A113">
        <v>112</v>
      </c>
      <c r="B113">
        <v>116</v>
      </c>
      <c r="C113">
        <v>49</v>
      </c>
      <c r="D113">
        <v>12</v>
      </c>
      <c r="E113">
        <v>43</v>
      </c>
      <c r="F113">
        <v>4</v>
      </c>
      <c r="G113">
        <v>445</v>
      </c>
      <c r="H113">
        <v>1780</v>
      </c>
      <c r="I113">
        <v>38</v>
      </c>
      <c r="J113">
        <f>[1]Transactions!F113*[1]Transactions!G113</f>
        <v>1780</v>
      </c>
      <c r="K113">
        <f>_xlfn.XLOOKUP([1]Transactions!D113,[1]Inventory!$C$2:$C$501,[1]Inventory!$A$2:$A$501)</f>
        <v>410</v>
      </c>
      <c r="L113">
        <f>_xlfn.XLOOKUP(K113,[1]Inventory!$A$2:$A$501,[1]Inventory!$D$2:$D$501)</f>
        <v>256</v>
      </c>
      <c r="M113">
        <f>_xlfn.XLOOKUP(K113,[1]Inventory!$A$2:$A$501,[1]Inventory!$E$2:$E$501)</f>
        <v>51</v>
      </c>
      <c r="N113" t="str">
        <f>_xlfn.XLOOKUP([1]Transactions!C113,[1]Customers!$A$2:$A$201,[1]Customers!$G$2:$G$201)</f>
        <v>UP</v>
      </c>
      <c r="O113" t="str">
        <f>_xlfn.XLOOKUP(C113,[1]Customers!$A$2:$A$201,[1]Customers!$H$2:$H$201)</f>
        <v>North</v>
      </c>
      <c r="P113" t="str">
        <f>_xlfn.XLOOKUP(C113,[1]Customers!$A$2:$A$201,[1]Customers!$F$2:$F$201)</f>
        <v>Lucknow</v>
      </c>
      <c r="Q113">
        <f>_xlfn.XLOOKUP(C113,[1]Customers!$A$2:$A$201,[1]Customers!$D$2:$D$201)</f>
        <v>40</v>
      </c>
      <c r="R113" t="str">
        <f>_xlfn.XLOOKUP([1]Transactions!C113,[1]Customers!$A$2:$A$201,[1]Customers!$C$2:$C$201)</f>
        <v>Male</v>
      </c>
      <c r="S113" t="str">
        <f>_xlfn.XLOOKUP(C113,[1]Customers!$A$2:$A$201,[1]Customers!$B$2:$B$201)</f>
        <v>Customer_49</v>
      </c>
      <c r="T113" t="str">
        <f>_xlfn.XLOOKUP(D113,[1]Products!$A$2:$A$101,[1]Products!$C$2:$C$101)</f>
        <v>Beverages</v>
      </c>
      <c r="U113">
        <f>_xlfn.XLOOKUP(D113,[1]Products!$A$2:$A$101,[1]Products!$E$2:$E$101)</f>
        <v>61</v>
      </c>
      <c r="V113">
        <f>[1]Transactions!F113*[1]Transactions!U113</f>
        <v>244</v>
      </c>
    </row>
    <row r="114" spans="1:22" x14ac:dyDescent="0.3">
      <c r="A114">
        <v>113</v>
      </c>
      <c r="B114">
        <v>155</v>
      </c>
      <c r="C114">
        <v>16</v>
      </c>
      <c r="D114">
        <v>44</v>
      </c>
      <c r="E114">
        <v>28</v>
      </c>
      <c r="F114">
        <v>4</v>
      </c>
      <c r="G114">
        <v>28</v>
      </c>
      <c r="H114">
        <v>112</v>
      </c>
      <c r="I114">
        <v>10</v>
      </c>
      <c r="J114">
        <f>[1]Transactions!F114*[1]Transactions!G114</f>
        <v>112</v>
      </c>
      <c r="K114">
        <f>_xlfn.XLOOKUP([1]Transactions!D114,[1]Inventory!$C$2:$C$501,[1]Inventory!$A$2:$A$501)</f>
        <v>72</v>
      </c>
      <c r="L114">
        <f>_xlfn.XLOOKUP(K114,[1]Inventory!$A$2:$A$501,[1]Inventory!$D$2:$D$501)</f>
        <v>462</v>
      </c>
      <c r="M114">
        <f>_xlfn.XLOOKUP(K114,[1]Inventory!$A$2:$A$501,[1]Inventory!$E$2:$E$501)</f>
        <v>9</v>
      </c>
      <c r="N114" t="str">
        <f>_xlfn.XLOOKUP([1]Transactions!C114,[1]Customers!$A$2:$A$201,[1]Customers!$G$2:$G$201)</f>
        <v>Rajasthan</v>
      </c>
      <c r="O114" t="str">
        <f>_xlfn.XLOOKUP(C114,[1]Customers!$A$2:$A$201,[1]Customers!$H$2:$H$201)</f>
        <v>North</v>
      </c>
      <c r="P114" t="str">
        <f>_xlfn.XLOOKUP(C114,[1]Customers!$A$2:$A$201,[1]Customers!$F$2:$F$201)</f>
        <v>Jaipur</v>
      </c>
      <c r="Q114">
        <f>_xlfn.XLOOKUP(C114,[1]Customers!$A$2:$A$201,[1]Customers!$D$2:$D$201)</f>
        <v>24</v>
      </c>
      <c r="R114" t="str">
        <f>_xlfn.XLOOKUP([1]Transactions!C114,[1]Customers!$A$2:$A$201,[1]Customers!$C$2:$C$201)</f>
        <v>Female</v>
      </c>
      <c r="S114" t="str">
        <f>_xlfn.XLOOKUP(C114,[1]Customers!$A$2:$A$201,[1]Customers!$B$2:$B$201)</f>
        <v>Customer_16</v>
      </c>
      <c r="T114" t="str">
        <f>_xlfn.XLOOKUP(D114,[1]Products!$A$2:$A$101,[1]Products!$C$2:$C$101)</f>
        <v>Dairy</v>
      </c>
      <c r="U114">
        <f>_xlfn.XLOOKUP(D114,[1]Products!$A$2:$A$101,[1]Products!$E$2:$E$101)</f>
        <v>181</v>
      </c>
      <c r="V114">
        <f>[1]Transactions!F114*[1]Transactions!U114</f>
        <v>724</v>
      </c>
    </row>
    <row r="115" spans="1:22" x14ac:dyDescent="0.3">
      <c r="A115">
        <v>114</v>
      </c>
      <c r="B115">
        <v>100</v>
      </c>
      <c r="C115">
        <v>114</v>
      </c>
      <c r="D115">
        <v>52</v>
      </c>
      <c r="E115">
        <v>35</v>
      </c>
      <c r="F115">
        <v>3</v>
      </c>
      <c r="G115">
        <v>163</v>
      </c>
      <c r="H115">
        <v>489</v>
      </c>
      <c r="I115">
        <v>39</v>
      </c>
      <c r="J115">
        <f>[1]Transactions!F115*[1]Transactions!G115</f>
        <v>489</v>
      </c>
      <c r="K115">
        <f>_xlfn.XLOOKUP([1]Transactions!D115,[1]Inventory!$C$2:$C$501,[1]Inventory!$A$2:$A$501)</f>
        <v>2</v>
      </c>
      <c r="L115">
        <f>_xlfn.XLOOKUP(K115,[1]Inventory!$A$2:$A$501,[1]Inventory!$D$2:$D$501)</f>
        <v>420</v>
      </c>
      <c r="M115">
        <f>_xlfn.XLOOKUP(K115,[1]Inventory!$A$2:$A$501,[1]Inventory!$E$2:$E$501)</f>
        <v>29</v>
      </c>
      <c r="N115" t="str">
        <f>_xlfn.XLOOKUP([1]Transactions!C115,[1]Customers!$A$2:$A$201,[1]Customers!$G$2:$G$201)</f>
        <v>Delhi</v>
      </c>
      <c r="O115" t="str">
        <f>_xlfn.XLOOKUP(C115,[1]Customers!$A$2:$A$201,[1]Customers!$H$2:$H$201)</f>
        <v>North</v>
      </c>
      <c r="P115" t="str">
        <f>_xlfn.XLOOKUP(C115,[1]Customers!$A$2:$A$201,[1]Customers!$F$2:$F$201)</f>
        <v>Delhi</v>
      </c>
      <c r="Q115">
        <f>_xlfn.XLOOKUP(C115,[1]Customers!$A$2:$A$201,[1]Customers!$D$2:$D$201)</f>
        <v>38</v>
      </c>
      <c r="R115" t="str">
        <f>_xlfn.XLOOKUP([1]Transactions!C115,[1]Customers!$A$2:$A$201,[1]Customers!$C$2:$C$201)</f>
        <v>Male</v>
      </c>
      <c r="S115" t="str">
        <f>_xlfn.XLOOKUP(C115,[1]Customers!$A$2:$A$201,[1]Customers!$B$2:$B$201)</f>
        <v>Customer_114</v>
      </c>
      <c r="T115" t="str">
        <f>_xlfn.XLOOKUP(D115,[1]Products!$A$2:$A$101,[1]Products!$C$2:$C$101)</f>
        <v>Dairy</v>
      </c>
      <c r="U115">
        <f>_xlfn.XLOOKUP(D115,[1]Products!$A$2:$A$101,[1]Products!$E$2:$E$101)</f>
        <v>257</v>
      </c>
      <c r="V115">
        <f>[1]Transactions!F115*[1]Transactions!U115</f>
        <v>771</v>
      </c>
    </row>
    <row r="116" spans="1:22" x14ac:dyDescent="0.3">
      <c r="A116">
        <v>115</v>
      </c>
      <c r="B116">
        <v>4</v>
      </c>
      <c r="C116">
        <v>184</v>
      </c>
      <c r="D116">
        <v>25</v>
      </c>
      <c r="E116">
        <v>10</v>
      </c>
      <c r="F116">
        <v>2</v>
      </c>
      <c r="G116">
        <v>404</v>
      </c>
      <c r="H116">
        <v>808</v>
      </c>
      <c r="I116">
        <v>17</v>
      </c>
      <c r="J116">
        <f>[1]Transactions!F116*[1]Transactions!G116</f>
        <v>808</v>
      </c>
      <c r="K116">
        <f>_xlfn.XLOOKUP([1]Transactions!D116,[1]Inventory!$C$2:$C$501,[1]Inventory!$A$2:$A$501)</f>
        <v>85</v>
      </c>
      <c r="L116">
        <f>_xlfn.XLOOKUP(K116,[1]Inventory!$A$2:$A$501,[1]Inventory!$D$2:$D$501)</f>
        <v>32</v>
      </c>
      <c r="M116">
        <f>_xlfn.XLOOKUP(K116,[1]Inventory!$A$2:$A$501,[1]Inventory!$E$2:$E$501)</f>
        <v>25</v>
      </c>
      <c r="N116" t="str">
        <f>_xlfn.XLOOKUP([1]Transactions!C116,[1]Customers!$A$2:$A$201,[1]Customers!$G$2:$G$201)</f>
        <v>Gujarat</v>
      </c>
      <c r="O116" t="str">
        <f>_xlfn.XLOOKUP(C116,[1]Customers!$A$2:$A$201,[1]Customers!$H$2:$H$201)</f>
        <v>West</v>
      </c>
      <c r="P116" t="str">
        <f>_xlfn.XLOOKUP(C116,[1]Customers!$A$2:$A$201,[1]Customers!$F$2:$F$201)</f>
        <v>Ahmedabad</v>
      </c>
      <c r="Q116">
        <f>_xlfn.XLOOKUP(C116,[1]Customers!$A$2:$A$201,[1]Customers!$D$2:$D$201)</f>
        <v>43</v>
      </c>
      <c r="R116" t="str">
        <f>_xlfn.XLOOKUP([1]Transactions!C116,[1]Customers!$A$2:$A$201,[1]Customers!$C$2:$C$201)</f>
        <v>Female</v>
      </c>
      <c r="S116" t="str">
        <f>_xlfn.XLOOKUP(C116,[1]Customers!$A$2:$A$201,[1]Customers!$B$2:$B$201)</f>
        <v>Customer_184</v>
      </c>
      <c r="T116" t="str">
        <f>_xlfn.XLOOKUP(D116,[1]Products!$A$2:$A$101,[1]Products!$C$2:$C$101)</f>
        <v>Personal Care</v>
      </c>
      <c r="U116">
        <f>_xlfn.XLOOKUP(D116,[1]Products!$A$2:$A$101,[1]Products!$E$2:$E$101)</f>
        <v>212</v>
      </c>
      <c r="V116">
        <f>[1]Transactions!F116*[1]Transactions!U116</f>
        <v>424</v>
      </c>
    </row>
    <row r="117" spans="1:22" x14ac:dyDescent="0.3">
      <c r="A117">
        <v>116</v>
      </c>
      <c r="B117">
        <v>150</v>
      </c>
      <c r="C117">
        <v>141</v>
      </c>
      <c r="D117">
        <v>14</v>
      </c>
      <c r="E117">
        <v>4</v>
      </c>
      <c r="F117">
        <v>3</v>
      </c>
      <c r="G117">
        <v>471</v>
      </c>
      <c r="H117">
        <v>1413</v>
      </c>
      <c r="I117">
        <v>33</v>
      </c>
      <c r="J117">
        <f>[1]Transactions!F117*[1]Transactions!G117</f>
        <v>1413</v>
      </c>
      <c r="K117">
        <f>_xlfn.XLOOKUP([1]Transactions!D117,[1]Inventory!$C$2:$C$501,[1]Inventory!$A$2:$A$501)</f>
        <v>8</v>
      </c>
      <c r="L117">
        <f>_xlfn.XLOOKUP(K117,[1]Inventory!$A$2:$A$501,[1]Inventory!$D$2:$D$501)</f>
        <v>197</v>
      </c>
      <c r="M117">
        <f>_xlfn.XLOOKUP(K117,[1]Inventory!$A$2:$A$501,[1]Inventory!$E$2:$E$501)</f>
        <v>82</v>
      </c>
      <c r="N117" t="str">
        <f>_xlfn.XLOOKUP([1]Transactions!C117,[1]Customers!$A$2:$A$201,[1]Customers!$G$2:$G$201)</f>
        <v>Tamil Nadu</v>
      </c>
      <c r="O117" t="str">
        <f>_xlfn.XLOOKUP(C117,[1]Customers!$A$2:$A$201,[1]Customers!$H$2:$H$201)</f>
        <v>South</v>
      </c>
      <c r="P117" t="str">
        <f>_xlfn.XLOOKUP(C117,[1]Customers!$A$2:$A$201,[1]Customers!$F$2:$F$201)</f>
        <v>Chennai</v>
      </c>
      <c r="Q117">
        <f>_xlfn.XLOOKUP(C117,[1]Customers!$A$2:$A$201,[1]Customers!$D$2:$D$201)</f>
        <v>28</v>
      </c>
      <c r="R117" t="str">
        <f>_xlfn.XLOOKUP([1]Transactions!C117,[1]Customers!$A$2:$A$201,[1]Customers!$C$2:$C$201)</f>
        <v>Female</v>
      </c>
      <c r="S117" t="str">
        <f>_xlfn.XLOOKUP(C117,[1]Customers!$A$2:$A$201,[1]Customers!$B$2:$B$201)</f>
        <v>Customer_141</v>
      </c>
      <c r="T117" t="str">
        <f>_xlfn.XLOOKUP(D117,[1]Products!$A$2:$A$101,[1]Products!$C$2:$C$101)</f>
        <v>Beverages</v>
      </c>
      <c r="U117">
        <f>_xlfn.XLOOKUP(D117,[1]Products!$A$2:$A$101,[1]Products!$E$2:$E$101)</f>
        <v>290</v>
      </c>
      <c r="V117">
        <f>[1]Transactions!F117*[1]Transactions!U117</f>
        <v>870</v>
      </c>
    </row>
    <row r="118" spans="1:22" x14ac:dyDescent="0.3">
      <c r="A118">
        <v>117</v>
      </c>
      <c r="B118">
        <v>7</v>
      </c>
      <c r="C118">
        <v>149</v>
      </c>
      <c r="D118">
        <v>54</v>
      </c>
      <c r="E118">
        <v>15</v>
      </c>
      <c r="F118">
        <v>3</v>
      </c>
      <c r="G118">
        <v>350</v>
      </c>
      <c r="H118">
        <v>1050</v>
      </c>
      <c r="I118">
        <v>38</v>
      </c>
      <c r="J118">
        <f>[1]Transactions!F118*[1]Transactions!G118</f>
        <v>1050</v>
      </c>
      <c r="K118">
        <f>_xlfn.XLOOKUP([1]Transactions!D118,[1]Inventory!$C$2:$C$501,[1]Inventory!$A$2:$A$501)</f>
        <v>21</v>
      </c>
      <c r="L118">
        <f>_xlfn.XLOOKUP(K118,[1]Inventory!$A$2:$A$501,[1]Inventory!$D$2:$D$501)</f>
        <v>124</v>
      </c>
      <c r="M118">
        <f>_xlfn.XLOOKUP(K118,[1]Inventory!$A$2:$A$501,[1]Inventory!$E$2:$E$501)</f>
        <v>101</v>
      </c>
      <c r="N118" t="str">
        <f>_xlfn.XLOOKUP([1]Transactions!C118,[1]Customers!$A$2:$A$201,[1]Customers!$G$2:$G$201)</f>
        <v>Maharashtra</v>
      </c>
      <c r="O118" t="str">
        <f>_xlfn.XLOOKUP(C118,[1]Customers!$A$2:$A$201,[1]Customers!$H$2:$H$201)</f>
        <v>West</v>
      </c>
      <c r="P118" t="str">
        <f>_xlfn.XLOOKUP(C118,[1]Customers!$A$2:$A$201,[1]Customers!$F$2:$F$201)</f>
        <v>Mumbai</v>
      </c>
      <c r="Q118">
        <f>_xlfn.XLOOKUP(C118,[1]Customers!$A$2:$A$201,[1]Customers!$D$2:$D$201)</f>
        <v>52</v>
      </c>
      <c r="R118" t="str">
        <f>_xlfn.XLOOKUP([1]Transactions!C118,[1]Customers!$A$2:$A$201,[1]Customers!$C$2:$C$201)</f>
        <v>Female</v>
      </c>
      <c r="S118" t="str">
        <f>_xlfn.XLOOKUP(C118,[1]Customers!$A$2:$A$201,[1]Customers!$B$2:$B$201)</f>
        <v>Customer_149</v>
      </c>
      <c r="T118" t="str">
        <f>_xlfn.XLOOKUP(D118,[1]Products!$A$2:$A$101,[1]Products!$C$2:$C$101)</f>
        <v>Beverages</v>
      </c>
      <c r="U118">
        <f>_xlfn.XLOOKUP(D118,[1]Products!$A$2:$A$101,[1]Products!$E$2:$E$101)</f>
        <v>426</v>
      </c>
      <c r="V118">
        <f>[1]Transactions!F118*[1]Transactions!U118</f>
        <v>1278</v>
      </c>
    </row>
    <row r="119" spans="1:22" x14ac:dyDescent="0.3">
      <c r="A119">
        <v>118</v>
      </c>
      <c r="B119">
        <v>60</v>
      </c>
      <c r="C119">
        <v>136</v>
      </c>
      <c r="D119">
        <v>43</v>
      </c>
      <c r="E119">
        <v>4</v>
      </c>
      <c r="F119">
        <v>1</v>
      </c>
      <c r="G119">
        <v>104</v>
      </c>
      <c r="H119">
        <v>104</v>
      </c>
      <c r="I119">
        <v>29</v>
      </c>
      <c r="J119">
        <f>[1]Transactions!F119*[1]Transactions!G119</f>
        <v>104</v>
      </c>
      <c r="K119">
        <f>_xlfn.XLOOKUP([1]Transactions!D119,[1]Inventory!$C$2:$C$501,[1]Inventory!$A$2:$A$501)</f>
        <v>34</v>
      </c>
      <c r="L119">
        <f>_xlfn.XLOOKUP(K119,[1]Inventory!$A$2:$A$501,[1]Inventory!$D$2:$D$501)</f>
        <v>211</v>
      </c>
      <c r="M119">
        <f>_xlfn.XLOOKUP(K119,[1]Inventory!$A$2:$A$501,[1]Inventory!$E$2:$E$501)</f>
        <v>50</v>
      </c>
      <c r="N119" t="str">
        <f>_xlfn.XLOOKUP([1]Transactions!C119,[1]Customers!$A$2:$A$201,[1]Customers!$G$2:$G$201)</f>
        <v>West Bengal</v>
      </c>
      <c r="O119" t="str">
        <f>_xlfn.XLOOKUP(C119,[1]Customers!$A$2:$A$201,[1]Customers!$H$2:$H$201)</f>
        <v>East</v>
      </c>
      <c r="P119" t="str">
        <f>_xlfn.XLOOKUP(C119,[1]Customers!$A$2:$A$201,[1]Customers!$F$2:$F$201)</f>
        <v>Kolkata</v>
      </c>
      <c r="Q119">
        <f>_xlfn.XLOOKUP(C119,[1]Customers!$A$2:$A$201,[1]Customers!$D$2:$D$201)</f>
        <v>43</v>
      </c>
      <c r="R119" t="str">
        <f>_xlfn.XLOOKUP([1]Transactions!C119,[1]Customers!$A$2:$A$201,[1]Customers!$C$2:$C$201)</f>
        <v>Male</v>
      </c>
      <c r="S119" t="str">
        <f>_xlfn.XLOOKUP(C119,[1]Customers!$A$2:$A$201,[1]Customers!$B$2:$B$201)</f>
        <v>Customer_136</v>
      </c>
      <c r="T119" t="str">
        <f>_xlfn.XLOOKUP(D119,[1]Products!$A$2:$A$101,[1]Products!$C$2:$C$101)</f>
        <v>Grocery</v>
      </c>
      <c r="U119">
        <f>_xlfn.XLOOKUP(D119,[1]Products!$A$2:$A$101,[1]Products!$E$2:$E$101)</f>
        <v>293</v>
      </c>
      <c r="V119">
        <f>[1]Transactions!F119*[1]Transactions!U119</f>
        <v>293</v>
      </c>
    </row>
    <row r="120" spans="1:22" x14ac:dyDescent="0.3">
      <c r="A120">
        <v>119</v>
      </c>
      <c r="B120">
        <v>177</v>
      </c>
      <c r="C120">
        <v>106</v>
      </c>
      <c r="D120">
        <v>21</v>
      </c>
      <c r="E120">
        <v>29</v>
      </c>
      <c r="F120">
        <v>3</v>
      </c>
      <c r="G120">
        <v>248</v>
      </c>
      <c r="H120">
        <v>744</v>
      </c>
      <c r="I120">
        <v>27</v>
      </c>
      <c r="J120">
        <f>[1]Transactions!F120*[1]Transactions!G120</f>
        <v>744</v>
      </c>
      <c r="K120">
        <f>_xlfn.XLOOKUP([1]Transactions!D120,[1]Inventory!$C$2:$C$501,[1]Inventory!$A$2:$A$501)</f>
        <v>126</v>
      </c>
      <c r="L120">
        <f>_xlfn.XLOOKUP(K120,[1]Inventory!$A$2:$A$501,[1]Inventory!$D$2:$D$501)</f>
        <v>52</v>
      </c>
      <c r="M120">
        <f>_xlfn.XLOOKUP(K120,[1]Inventory!$A$2:$A$501,[1]Inventory!$E$2:$E$501)</f>
        <v>139</v>
      </c>
      <c r="N120" t="str">
        <f>_xlfn.XLOOKUP([1]Transactions!C120,[1]Customers!$A$2:$A$201,[1]Customers!$G$2:$G$201)</f>
        <v>Rajasthan</v>
      </c>
      <c r="O120" t="str">
        <f>_xlfn.XLOOKUP(C120,[1]Customers!$A$2:$A$201,[1]Customers!$H$2:$H$201)</f>
        <v>North</v>
      </c>
      <c r="P120" t="str">
        <f>_xlfn.XLOOKUP(C120,[1]Customers!$A$2:$A$201,[1]Customers!$F$2:$F$201)</f>
        <v>Jaipur</v>
      </c>
      <c r="Q120">
        <f>_xlfn.XLOOKUP(C120,[1]Customers!$A$2:$A$201,[1]Customers!$D$2:$D$201)</f>
        <v>60</v>
      </c>
      <c r="R120" t="str">
        <f>_xlfn.XLOOKUP([1]Transactions!C120,[1]Customers!$A$2:$A$201,[1]Customers!$C$2:$C$201)</f>
        <v>Male</v>
      </c>
      <c r="S120" t="str">
        <f>_xlfn.XLOOKUP(C120,[1]Customers!$A$2:$A$201,[1]Customers!$B$2:$B$201)</f>
        <v>Customer_106</v>
      </c>
      <c r="T120" t="str">
        <f>_xlfn.XLOOKUP(D120,[1]Products!$A$2:$A$101,[1]Products!$C$2:$C$101)</f>
        <v>Beverages</v>
      </c>
      <c r="U120">
        <f>_xlfn.XLOOKUP(D120,[1]Products!$A$2:$A$101,[1]Products!$E$2:$E$101)</f>
        <v>327</v>
      </c>
      <c r="V120">
        <f>[1]Transactions!F120*[1]Transactions!U120</f>
        <v>981</v>
      </c>
    </row>
    <row r="121" spans="1:22" x14ac:dyDescent="0.3">
      <c r="A121">
        <v>120</v>
      </c>
      <c r="B121">
        <v>159</v>
      </c>
      <c r="C121">
        <v>9</v>
      </c>
      <c r="D121">
        <v>50</v>
      </c>
      <c r="E121">
        <v>10</v>
      </c>
      <c r="F121">
        <v>4</v>
      </c>
      <c r="G121">
        <v>262</v>
      </c>
      <c r="H121">
        <v>1048</v>
      </c>
      <c r="I121">
        <v>21</v>
      </c>
      <c r="J121">
        <f>[1]Transactions!F121*[1]Transactions!G121</f>
        <v>1048</v>
      </c>
      <c r="K121">
        <f>_xlfn.XLOOKUP([1]Transactions!D121,[1]Inventory!$C$2:$C$501,[1]Inventory!$A$2:$A$501)</f>
        <v>50</v>
      </c>
      <c r="L121">
        <f>_xlfn.XLOOKUP(K121,[1]Inventory!$A$2:$A$501,[1]Inventory!$D$2:$D$501)</f>
        <v>220</v>
      </c>
      <c r="M121">
        <f>_xlfn.XLOOKUP(K121,[1]Inventory!$A$2:$A$501,[1]Inventory!$E$2:$E$501)</f>
        <v>144</v>
      </c>
      <c r="N121" t="str">
        <f>_xlfn.XLOOKUP([1]Transactions!C121,[1]Customers!$A$2:$A$201,[1]Customers!$G$2:$G$201)</f>
        <v>Telangana</v>
      </c>
      <c r="O121" t="str">
        <f>_xlfn.XLOOKUP(C121,[1]Customers!$A$2:$A$201,[1]Customers!$H$2:$H$201)</f>
        <v>South</v>
      </c>
      <c r="P121" t="str">
        <f>_xlfn.XLOOKUP(C121,[1]Customers!$A$2:$A$201,[1]Customers!$F$2:$F$201)</f>
        <v>Hyderabad</v>
      </c>
      <c r="Q121">
        <f>_xlfn.XLOOKUP(C121,[1]Customers!$A$2:$A$201,[1]Customers!$D$2:$D$201)</f>
        <v>31</v>
      </c>
      <c r="R121" t="str">
        <f>_xlfn.XLOOKUP([1]Transactions!C121,[1]Customers!$A$2:$A$201,[1]Customers!$C$2:$C$201)</f>
        <v>Female</v>
      </c>
      <c r="S121" t="str">
        <f>_xlfn.XLOOKUP(C121,[1]Customers!$A$2:$A$201,[1]Customers!$B$2:$B$201)</f>
        <v>Customer_9</v>
      </c>
      <c r="T121" t="str">
        <f>_xlfn.XLOOKUP(D121,[1]Products!$A$2:$A$101,[1]Products!$C$2:$C$101)</f>
        <v>Personal Care</v>
      </c>
      <c r="U121">
        <f>_xlfn.XLOOKUP(D121,[1]Products!$A$2:$A$101,[1]Products!$E$2:$E$101)</f>
        <v>407</v>
      </c>
      <c r="V121">
        <f>[1]Transactions!F121*[1]Transactions!U121</f>
        <v>1628</v>
      </c>
    </row>
    <row r="122" spans="1:22" x14ac:dyDescent="0.3">
      <c r="A122">
        <v>121</v>
      </c>
      <c r="B122">
        <v>122</v>
      </c>
      <c r="C122">
        <v>179</v>
      </c>
      <c r="D122">
        <v>43</v>
      </c>
      <c r="E122">
        <v>13</v>
      </c>
      <c r="F122">
        <v>5</v>
      </c>
      <c r="G122">
        <v>105</v>
      </c>
      <c r="H122">
        <v>525</v>
      </c>
      <c r="I122">
        <v>31</v>
      </c>
      <c r="J122">
        <f>[1]Transactions!F122*[1]Transactions!G122</f>
        <v>525</v>
      </c>
      <c r="K122">
        <f>_xlfn.XLOOKUP([1]Transactions!D122,[1]Inventory!$C$2:$C$501,[1]Inventory!$A$2:$A$501)</f>
        <v>34</v>
      </c>
      <c r="L122">
        <f>_xlfn.XLOOKUP(K122,[1]Inventory!$A$2:$A$501,[1]Inventory!$D$2:$D$501)</f>
        <v>211</v>
      </c>
      <c r="M122">
        <f>_xlfn.XLOOKUP(K122,[1]Inventory!$A$2:$A$501,[1]Inventory!$E$2:$E$501)</f>
        <v>50</v>
      </c>
      <c r="N122" t="str">
        <f>_xlfn.XLOOKUP([1]Transactions!C122,[1]Customers!$A$2:$A$201,[1]Customers!$G$2:$G$201)</f>
        <v>Delhi</v>
      </c>
      <c r="O122" t="str">
        <f>_xlfn.XLOOKUP(C122,[1]Customers!$A$2:$A$201,[1]Customers!$H$2:$H$201)</f>
        <v>North</v>
      </c>
      <c r="P122" t="str">
        <f>_xlfn.XLOOKUP(C122,[1]Customers!$A$2:$A$201,[1]Customers!$F$2:$F$201)</f>
        <v>Delhi</v>
      </c>
      <c r="Q122">
        <f>_xlfn.XLOOKUP(C122,[1]Customers!$A$2:$A$201,[1]Customers!$D$2:$D$201)</f>
        <v>19</v>
      </c>
      <c r="R122" t="str">
        <f>_xlfn.XLOOKUP([1]Transactions!C122,[1]Customers!$A$2:$A$201,[1]Customers!$C$2:$C$201)</f>
        <v>Female</v>
      </c>
      <c r="S122" t="str">
        <f>_xlfn.XLOOKUP(C122,[1]Customers!$A$2:$A$201,[1]Customers!$B$2:$B$201)</f>
        <v>Customer_179</v>
      </c>
      <c r="T122" t="str">
        <f>_xlfn.XLOOKUP(D122,[1]Products!$A$2:$A$101,[1]Products!$C$2:$C$101)</f>
        <v>Grocery</v>
      </c>
      <c r="U122">
        <f>_xlfn.XLOOKUP(D122,[1]Products!$A$2:$A$101,[1]Products!$E$2:$E$101)</f>
        <v>293</v>
      </c>
      <c r="V122">
        <f>[1]Transactions!F122*[1]Transactions!U122</f>
        <v>1465</v>
      </c>
    </row>
    <row r="123" spans="1:22" x14ac:dyDescent="0.3">
      <c r="A123">
        <v>122</v>
      </c>
      <c r="B123">
        <v>63</v>
      </c>
      <c r="C123">
        <v>16</v>
      </c>
      <c r="D123">
        <v>66</v>
      </c>
      <c r="E123">
        <v>47</v>
      </c>
      <c r="F123">
        <v>5</v>
      </c>
      <c r="G123">
        <v>221</v>
      </c>
      <c r="H123">
        <v>1105</v>
      </c>
      <c r="I123">
        <v>16</v>
      </c>
      <c r="J123">
        <f>[1]Transactions!F123*[1]Transactions!G123</f>
        <v>1105</v>
      </c>
      <c r="K123">
        <f>_xlfn.XLOOKUP([1]Transactions!D123,[1]Inventory!$C$2:$C$501,[1]Inventory!$A$2:$A$501)</f>
        <v>76</v>
      </c>
      <c r="L123">
        <f>_xlfn.XLOOKUP(K123,[1]Inventory!$A$2:$A$501,[1]Inventory!$D$2:$D$501)</f>
        <v>210</v>
      </c>
      <c r="M123">
        <f>_xlfn.XLOOKUP(K123,[1]Inventory!$A$2:$A$501,[1]Inventory!$E$2:$E$501)</f>
        <v>178</v>
      </c>
      <c r="N123" t="str">
        <f>_xlfn.XLOOKUP([1]Transactions!C123,[1]Customers!$A$2:$A$201,[1]Customers!$G$2:$G$201)</f>
        <v>Rajasthan</v>
      </c>
      <c r="O123" t="str">
        <f>_xlfn.XLOOKUP(C123,[1]Customers!$A$2:$A$201,[1]Customers!$H$2:$H$201)</f>
        <v>North</v>
      </c>
      <c r="P123" t="str">
        <f>_xlfn.XLOOKUP(C123,[1]Customers!$A$2:$A$201,[1]Customers!$F$2:$F$201)</f>
        <v>Jaipur</v>
      </c>
      <c r="Q123">
        <f>_xlfn.XLOOKUP(C123,[1]Customers!$A$2:$A$201,[1]Customers!$D$2:$D$201)</f>
        <v>24</v>
      </c>
      <c r="R123" t="str">
        <f>_xlfn.XLOOKUP([1]Transactions!C123,[1]Customers!$A$2:$A$201,[1]Customers!$C$2:$C$201)</f>
        <v>Female</v>
      </c>
      <c r="S123" t="str">
        <f>_xlfn.XLOOKUP(C123,[1]Customers!$A$2:$A$201,[1]Customers!$B$2:$B$201)</f>
        <v>Customer_16</v>
      </c>
      <c r="T123" t="str">
        <f>_xlfn.XLOOKUP(D123,[1]Products!$A$2:$A$101,[1]Products!$C$2:$C$101)</f>
        <v>Beverages</v>
      </c>
      <c r="U123">
        <f>_xlfn.XLOOKUP(D123,[1]Products!$A$2:$A$101,[1]Products!$E$2:$E$101)</f>
        <v>452</v>
      </c>
      <c r="V123">
        <f>[1]Transactions!F123*[1]Transactions!U123</f>
        <v>2260</v>
      </c>
    </row>
    <row r="124" spans="1:22" x14ac:dyDescent="0.3">
      <c r="A124">
        <v>123</v>
      </c>
      <c r="B124">
        <v>25</v>
      </c>
      <c r="C124">
        <v>179</v>
      </c>
      <c r="D124">
        <v>31</v>
      </c>
      <c r="E124">
        <v>29</v>
      </c>
      <c r="F124">
        <v>5</v>
      </c>
      <c r="G124">
        <v>382</v>
      </c>
      <c r="H124">
        <v>1910</v>
      </c>
      <c r="I124">
        <v>46</v>
      </c>
      <c r="J124">
        <f>[1]Transactions!F124*[1]Transactions!G124</f>
        <v>1910</v>
      </c>
      <c r="K124">
        <f>_xlfn.XLOOKUP([1]Transactions!D124,[1]Inventory!$C$2:$C$501,[1]Inventory!$A$2:$A$501)</f>
        <v>61</v>
      </c>
      <c r="L124">
        <f>_xlfn.XLOOKUP(K124,[1]Inventory!$A$2:$A$501,[1]Inventory!$D$2:$D$501)</f>
        <v>342</v>
      </c>
      <c r="M124">
        <f>_xlfn.XLOOKUP(K124,[1]Inventory!$A$2:$A$501,[1]Inventory!$E$2:$E$501)</f>
        <v>35</v>
      </c>
      <c r="N124" t="str">
        <f>_xlfn.XLOOKUP([1]Transactions!C124,[1]Customers!$A$2:$A$201,[1]Customers!$G$2:$G$201)</f>
        <v>Delhi</v>
      </c>
      <c r="O124" t="str">
        <f>_xlfn.XLOOKUP(C124,[1]Customers!$A$2:$A$201,[1]Customers!$H$2:$H$201)</f>
        <v>North</v>
      </c>
      <c r="P124" t="str">
        <f>_xlfn.XLOOKUP(C124,[1]Customers!$A$2:$A$201,[1]Customers!$F$2:$F$201)</f>
        <v>Delhi</v>
      </c>
      <c r="Q124">
        <f>_xlfn.XLOOKUP(C124,[1]Customers!$A$2:$A$201,[1]Customers!$D$2:$D$201)</f>
        <v>19</v>
      </c>
      <c r="R124" t="str">
        <f>_xlfn.XLOOKUP([1]Transactions!C124,[1]Customers!$A$2:$A$201,[1]Customers!$C$2:$C$201)</f>
        <v>Female</v>
      </c>
      <c r="S124" t="str">
        <f>_xlfn.XLOOKUP(C124,[1]Customers!$A$2:$A$201,[1]Customers!$B$2:$B$201)</f>
        <v>Customer_179</v>
      </c>
      <c r="T124" t="str">
        <f>_xlfn.XLOOKUP(D124,[1]Products!$A$2:$A$101,[1]Products!$C$2:$C$101)</f>
        <v>Grocery</v>
      </c>
      <c r="U124">
        <f>_xlfn.XLOOKUP(D124,[1]Products!$A$2:$A$101,[1]Products!$E$2:$E$101)</f>
        <v>254</v>
      </c>
      <c r="V124">
        <f>[1]Transactions!F124*[1]Transactions!U124</f>
        <v>1270</v>
      </c>
    </row>
    <row r="125" spans="1:22" x14ac:dyDescent="0.3">
      <c r="A125">
        <v>124</v>
      </c>
      <c r="B125">
        <v>71</v>
      </c>
      <c r="C125">
        <v>92</v>
      </c>
      <c r="D125">
        <v>17</v>
      </c>
      <c r="E125">
        <v>15</v>
      </c>
      <c r="F125">
        <v>4</v>
      </c>
      <c r="G125">
        <v>286</v>
      </c>
      <c r="H125">
        <v>1144</v>
      </c>
      <c r="I125">
        <v>44</v>
      </c>
      <c r="J125">
        <f>[1]Transactions!F125*[1]Transactions!G125</f>
        <v>1144</v>
      </c>
      <c r="K125">
        <f>_xlfn.XLOOKUP([1]Transactions!D125,[1]Inventory!$C$2:$C$501,[1]Inventory!$A$2:$A$501)</f>
        <v>1</v>
      </c>
      <c r="L125">
        <f>_xlfn.XLOOKUP(K125,[1]Inventory!$A$2:$A$501,[1]Inventory!$D$2:$D$501)</f>
        <v>179</v>
      </c>
      <c r="M125">
        <f>_xlfn.XLOOKUP(K125,[1]Inventory!$A$2:$A$501,[1]Inventory!$E$2:$E$501)</f>
        <v>124</v>
      </c>
      <c r="N125" t="str">
        <f>_xlfn.XLOOKUP([1]Transactions!C125,[1]Customers!$A$2:$A$201,[1]Customers!$G$2:$G$201)</f>
        <v>Maharashtra</v>
      </c>
      <c r="O125" t="str">
        <f>_xlfn.XLOOKUP(C125,[1]Customers!$A$2:$A$201,[1]Customers!$H$2:$H$201)</f>
        <v>West</v>
      </c>
      <c r="P125" t="str">
        <f>_xlfn.XLOOKUP(C125,[1]Customers!$A$2:$A$201,[1]Customers!$F$2:$F$201)</f>
        <v>Mumbai</v>
      </c>
      <c r="Q125">
        <f>_xlfn.XLOOKUP(C125,[1]Customers!$A$2:$A$201,[1]Customers!$D$2:$D$201)</f>
        <v>47</v>
      </c>
      <c r="R125" t="str">
        <f>_xlfn.XLOOKUP([1]Transactions!C125,[1]Customers!$A$2:$A$201,[1]Customers!$C$2:$C$201)</f>
        <v>Female</v>
      </c>
      <c r="S125" t="str">
        <f>_xlfn.XLOOKUP(C125,[1]Customers!$A$2:$A$201,[1]Customers!$B$2:$B$201)</f>
        <v>Customer_92</v>
      </c>
      <c r="T125" t="str">
        <f>_xlfn.XLOOKUP(D125,[1]Products!$A$2:$A$101,[1]Products!$C$2:$C$101)</f>
        <v>Snacks</v>
      </c>
      <c r="U125">
        <f>_xlfn.XLOOKUP(D125,[1]Products!$A$2:$A$101,[1]Products!$E$2:$E$101)</f>
        <v>55</v>
      </c>
      <c r="V125">
        <f>[1]Transactions!F125*[1]Transactions!U125</f>
        <v>220</v>
      </c>
    </row>
    <row r="126" spans="1:22" x14ac:dyDescent="0.3">
      <c r="A126">
        <v>125</v>
      </c>
      <c r="B126">
        <v>73</v>
      </c>
      <c r="C126">
        <v>192</v>
      </c>
      <c r="D126">
        <v>20</v>
      </c>
      <c r="E126">
        <v>10</v>
      </c>
      <c r="F126">
        <v>2</v>
      </c>
      <c r="G126">
        <v>475</v>
      </c>
      <c r="H126">
        <v>950</v>
      </c>
      <c r="I126">
        <v>36</v>
      </c>
      <c r="J126">
        <f>[1]Transactions!F126*[1]Transactions!G126</f>
        <v>950</v>
      </c>
      <c r="K126">
        <f>_xlfn.XLOOKUP([1]Transactions!D126,[1]Inventory!$C$2:$C$501,[1]Inventory!$A$2:$A$501)</f>
        <v>137</v>
      </c>
      <c r="L126">
        <f>_xlfn.XLOOKUP(K126,[1]Inventory!$A$2:$A$501,[1]Inventory!$D$2:$D$501)</f>
        <v>338</v>
      </c>
      <c r="M126">
        <f>_xlfn.XLOOKUP(K126,[1]Inventory!$A$2:$A$501,[1]Inventory!$E$2:$E$501)</f>
        <v>85</v>
      </c>
      <c r="N126" t="str">
        <f>_xlfn.XLOOKUP([1]Transactions!C126,[1]Customers!$A$2:$A$201,[1]Customers!$G$2:$G$201)</f>
        <v>Rajasthan</v>
      </c>
      <c r="O126" t="str">
        <f>_xlfn.XLOOKUP(C126,[1]Customers!$A$2:$A$201,[1]Customers!$H$2:$H$201)</f>
        <v>North</v>
      </c>
      <c r="P126" t="str">
        <f>_xlfn.XLOOKUP(C126,[1]Customers!$A$2:$A$201,[1]Customers!$F$2:$F$201)</f>
        <v>Jaipur</v>
      </c>
      <c r="Q126">
        <f>_xlfn.XLOOKUP(C126,[1]Customers!$A$2:$A$201,[1]Customers!$D$2:$D$201)</f>
        <v>31</v>
      </c>
      <c r="R126" t="str">
        <f>_xlfn.XLOOKUP([1]Transactions!C126,[1]Customers!$A$2:$A$201,[1]Customers!$C$2:$C$201)</f>
        <v>Female</v>
      </c>
      <c r="S126" t="str">
        <f>_xlfn.XLOOKUP(C126,[1]Customers!$A$2:$A$201,[1]Customers!$B$2:$B$201)</f>
        <v>Customer_192</v>
      </c>
      <c r="T126" t="str">
        <f>_xlfn.XLOOKUP(D126,[1]Products!$A$2:$A$101,[1]Products!$C$2:$C$101)</f>
        <v>Dairy</v>
      </c>
      <c r="U126">
        <f>_xlfn.XLOOKUP(D126,[1]Products!$A$2:$A$101,[1]Products!$E$2:$E$101)</f>
        <v>182</v>
      </c>
      <c r="V126">
        <f>[1]Transactions!F126*[1]Transactions!U126</f>
        <v>364</v>
      </c>
    </row>
    <row r="127" spans="1:22" x14ac:dyDescent="0.3">
      <c r="A127">
        <v>126</v>
      </c>
      <c r="B127">
        <v>38</v>
      </c>
      <c r="C127">
        <v>50</v>
      </c>
      <c r="D127">
        <v>64</v>
      </c>
      <c r="E127">
        <v>32</v>
      </c>
      <c r="F127">
        <v>1</v>
      </c>
      <c r="G127">
        <v>239</v>
      </c>
      <c r="H127">
        <v>239</v>
      </c>
      <c r="I127">
        <v>14</v>
      </c>
      <c r="J127">
        <f>[1]Transactions!F127*[1]Transactions!G127</f>
        <v>239</v>
      </c>
      <c r="K127">
        <f>_xlfn.XLOOKUP([1]Transactions!D127,[1]Inventory!$C$2:$C$501,[1]Inventory!$A$2:$A$501)</f>
        <v>66</v>
      </c>
      <c r="L127">
        <f>_xlfn.XLOOKUP(K127,[1]Inventory!$A$2:$A$501,[1]Inventory!$D$2:$D$501)</f>
        <v>460</v>
      </c>
      <c r="M127">
        <f>_xlfn.XLOOKUP(K127,[1]Inventory!$A$2:$A$501,[1]Inventory!$E$2:$E$501)</f>
        <v>179</v>
      </c>
      <c r="N127" t="str">
        <f>_xlfn.XLOOKUP([1]Transactions!C127,[1]Customers!$A$2:$A$201,[1]Customers!$G$2:$G$201)</f>
        <v>West Bengal</v>
      </c>
      <c r="O127" t="str">
        <f>_xlfn.XLOOKUP(C127,[1]Customers!$A$2:$A$201,[1]Customers!$H$2:$H$201)</f>
        <v>East</v>
      </c>
      <c r="P127" t="str">
        <f>_xlfn.XLOOKUP(C127,[1]Customers!$A$2:$A$201,[1]Customers!$F$2:$F$201)</f>
        <v>Kolkata</v>
      </c>
      <c r="Q127">
        <f>_xlfn.XLOOKUP(C127,[1]Customers!$A$2:$A$201,[1]Customers!$D$2:$D$201)</f>
        <v>40</v>
      </c>
      <c r="R127" t="str">
        <f>_xlfn.XLOOKUP([1]Transactions!C127,[1]Customers!$A$2:$A$201,[1]Customers!$C$2:$C$201)</f>
        <v>Female</v>
      </c>
      <c r="S127" t="str">
        <f>_xlfn.XLOOKUP(C127,[1]Customers!$A$2:$A$201,[1]Customers!$B$2:$B$201)</f>
        <v>Customer_50</v>
      </c>
      <c r="T127" t="str">
        <f>_xlfn.XLOOKUP(D127,[1]Products!$A$2:$A$101,[1]Products!$C$2:$C$101)</f>
        <v>Snacks</v>
      </c>
      <c r="U127">
        <f>_xlfn.XLOOKUP(D127,[1]Products!$A$2:$A$101,[1]Products!$E$2:$E$101)</f>
        <v>461</v>
      </c>
      <c r="V127">
        <f>[1]Transactions!F127*[1]Transactions!U127</f>
        <v>461</v>
      </c>
    </row>
    <row r="128" spans="1:22" x14ac:dyDescent="0.3">
      <c r="A128">
        <v>127</v>
      </c>
      <c r="B128">
        <v>17</v>
      </c>
      <c r="C128">
        <v>121</v>
      </c>
      <c r="D128">
        <v>34</v>
      </c>
      <c r="E128">
        <v>10</v>
      </c>
      <c r="F128">
        <v>2</v>
      </c>
      <c r="G128">
        <v>408</v>
      </c>
      <c r="H128">
        <v>816</v>
      </c>
      <c r="I128">
        <v>32</v>
      </c>
      <c r="J128">
        <f>[1]Transactions!F128*[1]Transactions!G128</f>
        <v>816</v>
      </c>
      <c r="K128">
        <f>_xlfn.XLOOKUP([1]Transactions!D128,[1]Inventory!$C$2:$C$501,[1]Inventory!$A$2:$A$501)</f>
        <v>43</v>
      </c>
      <c r="L128">
        <f>_xlfn.XLOOKUP(K128,[1]Inventory!$A$2:$A$501,[1]Inventory!$D$2:$D$501)</f>
        <v>315</v>
      </c>
      <c r="M128">
        <f>_xlfn.XLOOKUP(K128,[1]Inventory!$A$2:$A$501,[1]Inventory!$E$2:$E$501)</f>
        <v>18</v>
      </c>
      <c r="N128" t="str">
        <f>_xlfn.XLOOKUP([1]Transactions!C128,[1]Customers!$A$2:$A$201,[1]Customers!$G$2:$G$201)</f>
        <v>Tamil Nadu</v>
      </c>
      <c r="O128" t="str">
        <f>_xlfn.XLOOKUP(C128,[1]Customers!$A$2:$A$201,[1]Customers!$H$2:$H$201)</f>
        <v>South</v>
      </c>
      <c r="P128" t="str">
        <f>_xlfn.XLOOKUP(C128,[1]Customers!$A$2:$A$201,[1]Customers!$F$2:$F$201)</f>
        <v>Chennai</v>
      </c>
      <c r="Q128">
        <f>_xlfn.XLOOKUP(C128,[1]Customers!$A$2:$A$201,[1]Customers!$D$2:$D$201)</f>
        <v>47</v>
      </c>
      <c r="R128" t="str">
        <f>_xlfn.XLOOKUP([1]Transactions!C128,[1]Customers!$A$2:$A$201,[1]Customers!$C$2:$C$201)</f>
        <v>Female</v>
      </c>
      <c r="S128" t="str">
        <f>_xlfn.XLOOKUP(C128,[1]Customers!$A$2:$A$201,[1]Customers!$B$2:$B$201)</f>
        <v>Customer_121</v>
      </c>
      <c r="T128" t="str">
        <f>_xlfn.XLOOKUP(D128,[1]Products!$A$2:$A$101,[1]Products!$C$2:$C$101)</f>
        <v>Snacks</v>
      </c>
      <c r="U128">
        <f>_xlfn.XLOOKUP(D128,[1]Products!$A$2:$A$101,[1]Products!$E$2:$E$101)</f>
        <v>349</v>
      </c>
      <c r="V128">
        <f>[1]Transactions!F128*[1]Transactions!U128</f>
        <v>698</v>
      </c>
    </row>
    <row r="129" spans="1:22" x14ac:dyDescent="0.3">
      <c r="A129">
        <v>128</v>
      </c>
      <c r="B129">
        <v>88</v>
      </c>
      <c r="C129">
        <v>33</v>
      </c>
      <c r="D129">
        <v>59</v>
      </c>
      <c r="E129">
        <v>31</v>
      </c>
      <c r="F129">
        <v>1</v>
      </c>
      <c r="G129">
        <v>293</v>
      </c>
      <c r="H129">
        <v>293</v>
      </c>
      <c r="I129">
        <v>45</v>
      </c>
      <c r="J129">
        <f>[1]Transactions!F129*[1]Transactions!G129</f>
        <v>293</v>
      </c>
      <c r="K129">
        <f>_xlfn.XLOOKUP([1]Transactions!D129,[1]Inventory!$C$2:$C$501,[1]Inventory!$A$2:$A$501)</f>
        <v>148</v>
      </c>
      <c r="L129">
        <f>_xlfn.XLOOKUP(K129,[1]Inventory!$A$2:$A$501,[1]Inventory!$D$2:$D$501)</f>
        <v>410</v>
      </c>
      <c r="M129">
        <f>_xlfn.XLOOKUP(K129,[1]Inventory!$A$2:$A$501,[1]Inventory!$E$2:$E$501)</f>
        <v>25</v>
      </c>
      <c r="N129" t="str">
        <f>_xlfn.XLOOKUP([1]Transactions!C129,[1]Customers!$A$2:$A$201,[1]Customers!$G$2:$G$201)</f>
        <v>West Bengal</v>
      </c>
      <c r="O129" t="str">
        <f>_xlfn.XLOOKUP(C129,[1]Customers!$A$2:$A$201,[1]Customers!$H$2:$H$201)</f>
        <v>East</v>
      </c>
      <c r="P129" t="str">
        <f>_xlfn.XLOOKUP(C129,[1]Customers!$A$2:$A$201,[1]Customers!$F$2:$F$201)</f>
        <v>Kolkata</v>
      </c>
      <c r="Q129">
        <f>_xlfn.XLOOKUP(C129,[1]Customers!$A$2:$A$201,[1]Customers!$D$2:$D$201)</f>
        <v>20</v>
      </c>
      <c r="R129" t="str">
        <f>_xlfn.XLOOKUP([1]Transactions!C129,[1]Customers!$A$2:$A$201,[1]Customers!$C$2:$C$201)</f>
        <v>Female</v>
      </c>
      <c r="S129" t="str">
        <f>_xlfn.XLOOKUP(C129,[1]Customers!$A$2:$A$201,[1]Customers!$B$2:$B$201)</f>
        <v>Customer_33</v>
      </c>
      <c r="T129" t="str">
        <f>_xlfn.XLOOKUP(D129,[1]Products!$A$2:$A$101,[1]Products!$C$2:$C$101)</f>
        <v>Dairy</v>
      </c>
      <c r="U129">
        <f>_xlfn.XLOOKUP(D129,[1]Products!$A$2:$A$101,[1]Products!$E$2:$E$101)</f>
        <v>183</v>
      </c>
      <c r="V129">
        <f>[1]Transactions!F129*[1]Transactions!U129</f>
        <v>183</v>
      </c>
    </row>
    <row r="130" spans="1:22" x14ac:dyDescent="0.3">
      <c r="A130">
        <v>129</v>
      </c>
      <c r="B130">
        <v>138</v>
      </c>
      <c r="C130">
        <v>55</v>
      </c>
      <c r="D130">
        <v>63</v>
      </c>
      <c r="E130">
        <v>14</v>
      </c>
      <c r="F130">
        <v>5</v>
      </c>
      <c r="G130">
        <v>486</v>
      </c>
      <c r="H130">
        <v>2430</v>
      </c>
      <c r="I130">
        <v>21</v>
      </c>
      <c r="J130">
        <f>[1]Transactions!F130*[1]Transactions!G130</f>
        <v>2430</v>
      </c>
      <c r="K130">
        <f>_xlfn.XLOOKUP([1]Transactions!D130,[1]Inventory!$C$2:$C$501,[1]Inventory!$A$2:$A$501)</f>
        <v>36</v>
      </c>
      <c r="L130">
        <f>_xlfn.XLOOKUP(K130,[1]Inventory!$A$2:$A$501,[1]Inventory!$D$2:$D$501)</f>
        <v>75</v>
      </c>
      <c r="M130">
        <f>_xlfn.XLOOKUP(K130,[1]Inventory!$A$2:$A$501,[1]Inventory!$E$2:$E$501)</f>
        <v>177</v>
      </c>
      <c r="N130" t="str">
        <f>_xlfn.XLOOKUP([1]Transactions!C130,[1]Customers!$A$2:$A$201,[1]Customers!$G$2:$G$201)</f>
        <v>Tamil Nadu</v>
      </c>
      <c r="O130" t="str">
        <f>_xlfn.XLOOKUP(C130,[1]Customers!$A$2:$A$201,[1]Customers!$H$2:$H$201)</f>
        <v>South</v>
      </c>
      <c r="P130" t="str">
        <f>_xlfn.XLOOKUP(C130,[1]Customers!$A$2:$A$201,[1]Customers!$F$2:$F$201)</f>
        <v>Chennai</v>
      </c>
      <c r="Q130">
        <f>_xlfn.XLOOKUP(C130,[1]Customers!$A$2:$A$201,[1]Customers!$D$2:$D$201)</f>
        <v>24</v>
      </c>
      <c r="R130" t="str">
        <f>_xlfn.XLOOKUP([1]Transactions!C130,[1]Customers!$A$2:$A$201,[1]Customers!$C$2:$C$201)</f>
        <v>Female</v>
      </c>
      <c r="S130" t="str">
        <f>_xlfn.XLOOKUP(C130,[1]Customers!$A$2:$A$201,[1]Customers!$B$2:$B$201)</f>
        <v>Customer_55</v>
      </c>
      <c r="T130" t="str">
        <f>_xlfn.XLOOKUP(D130,[1]Products!$A$2:$A$101,[1]Products!$C$2:$C$101)</f>
        <v>Grocery</v>
      </c>
      <c r="U130">
        <f>_xlfn.XLOOKUP(D130,[1]Products!$A$2:$A$101,[1]Products!$E$2:$E$101)</f>
        <v>171</v>
      </c>
      <c r="V130">
        <f>[1]Transactions!F130*[1]Transactions!U130</f>
        <v>855</v>
      </c>
    </row>
    <row r="131" spans="1:22" x14ac:dyDescent="0.3">
      <c r="A131">
        <v>130</v>
      </c>
      <c r="B131">
        <v>166</v>
      </c>
      <c r="C131">
        <v>41</v>
      </c>
      <c r="D131">
        <v>69</v>
      </c>
      <c r="E131">
        <v>12</v>
      </c>
      <c r="F131">
        <v>4</v>
      </c>
      <c r="G131">
        <v>446</v>
      </c>
      <c r="H131">
        <v>1784</v>
      </c>
      <c r="I131">
        <v>15</v>
      </c>
      <c r="J131">
        <f>[1]Transactions!F131*[1]Transactions!G131</f>
        <v>1784</v>
      </c>
      <c r="K131">
        <f>_xlfn.XLOOKUP([1]Transactions!D131,[1]Inventory!$C$2:$C$501,[1]Inventory!$A$2:$A$501)</f>
        <v>15</v>
      </c>
      <c r="L131">
        <f>_xlfn.XLOOKUP(K131,[1]Inventory!$A$2:$A$501,[1]Inventory!$D$2:$D$501)</f>
        <v>190</v>
      </c>
      <c r="M131">
        <f>_xlfn.XLOOKUP(K131,[1]Inventory!$A$2:$A$501,[1]Inventory!$E$2:$E$501)</f>
        <v>91</v>
      </c>
      <c r="N131" t="str">
        <f>_xlfn.XLOOKUP([1]Transactions!C131,[1]Customers!$A$2:$A$201,[1]Customers!$G$2:$G$201)</f>
        <v>Karnataka</v>
      </c>
      <c r="O131" t="str">
        <f>_xlfn.XLOOKUP(C131,[1]Customers!$A$2:$A$201,[1]Customers!$H$2:$H$201)</f>
        <v>South</v>
      </c>
      <c r="P131" t="str">
        <f>_xlfn.XLOOKUP(C131,[1]Customers!$A$2:$A$201,[1]Customers!$F$2:$F$201)</f>
        <v>Bangalore</v>
      </c>
      <c r="Q131">
        <f>_xlfn.XLOOKUP(C131,[1]Customers!$A$2:$A$201,[1]Customers!$D$2:$D$201)</f>
        <v>57</v>
      </c>
      <c r="R131" t="str">
        <f>_xlfn.XLOOKUP([1]Transactions!C131,[1]Customers!$A$2:$A$201,[1]Customers!$C$2:$C$201)</f>
        <v>Female</v>
      </c>
      <c r="S131" t="str">
        <f>_xlfn.XLOOKUP(C131,[1]Customers!$A$2:$A$201,[1]Customers!$B$2:$B$201)</f>
        <v>Customer_41</v>
      </c>
      <c r="T131" t="str">
        <f>_xlfn.XLOOKUP(D131,[1]Products!$A$2:$A$101,[1]Products!$C$2:$C$101)</f>
        <v>Grocery</v>
      </c>
      <c r="U131">
        <f>_xlfn.XLOOKUP(D131,[1]Products!$A$2:$A$101,[1]Products!$E$2:$E$101)</f>
        <v>460</v>
      </c>
      <c r="V131">
        <f>[1]Transactions!F131*[1]Transactions!U131</f>
        <v>1840</v>
      </c>
    </row>
    <row r="132" spans="1:22" x14ac:dyDescent="0.3">
      <c r="A132">
        <v>131</v>
      </c>
      <c r="B132">
        <v>135</v>
      </c>
      <c r="C132">
        <v>37</v>
      </c>
      <c r="D132">
        <v>100</v>
      </c>
      <c r="E132">
        <v>30</v>
      </c>
      <c r="F132">
        <v>1</v>
      </c>
      <c r="G132">
        <v>55</v>
      </c>
      <c r="H132">
        <v>55</v>
      </c>
      <c r="I132">
        <v>48</v>
      </c>
      <c r="J132">
        <f>[1]Transactions!F132*[1]Transactions!G132</f>
        <v>55</v>
      </c>
      <c r="K132">
        <f>_xlfn.XLOOKUP([1]Transactions!D132,[1]Inventory!$C$2:$C$501,[1]Inventory!$A$2:$A$501)</f>
        <v>54</v>
      </c>
      <c r="L132">
        <f>_xlfn.XLOOKUP(K132,[1]Inventory!$A$2:$A$501,[1]Inventory!$D$2:$D$501)</f>
        <v>397</v>
      </c>
      <c r="M132">
        <f>_xlfn.XLOOKUP(K132,[1]Inventory!$A$2:$A$501,[1]Inventory!$E$2:$E$501)</f>
        <v>5</v>
      </c>
      <c r="N132" t="str">
        <f>_xlfn.XLOOKUP([1]Transactions!C132,[1]Customers!$A$2:$A$201,[1]Customers!$G$2:$G$201)</f>
        <v>Karnataka</v>
      </c>
      <c r="O132" t="str">
        <f>_xlfn.XLOOKUP(C132,[1]Customers!$A$2:$A$201,[1]Customers!$H$2:$H$201)</f>
        <v>South</v>
      </c>
      <c r="P132" t="str">
        <f>_xlfn.XLOOKUP(C132,[1]Customers!$A$2:$A$201,[1]Customers!$F$2:$F$201)</f>
        <v>Bangalore</v>
      </c>
      <c r="Q132">
        <f>_xlfn.XLOOKUP(C132,[1]Customers!$A$2:$A$201,[1]Customers!$D$2:$D$201)</f>
        <v>43</v>
      </c>
      <c r="R132" t="str">
        <f>_xlfn.XLOOKUP([1]Transactions!C132,[1]Customers!$A$2:$A$201,[1]Customers!$C$2:$C$201)</f>
        <v>Male</v>
      </c>
      <c r="S132" t="str">
        <f>_xlfn.XLOOKUP(C132,[1]Customers!$A$2:$A$201,[1]Customers!$B$2:$B$201)</f>
        <v>Customer_37</v>
      </c>
      <c r="T132" t="str">
        <f>_xlfn.XLOOKUP(D132,[1]Products!$A$2:$A$101,[1]Products!$C$2:$C$101)</f>
        <v>Dairy</v>
      </c>
      <c r="U132">
        <f>_xlfn.XLOOKUP(D132,[1]Products!$A$2:$A$101,[1]Products!$E$2:$E$101)</f>
        <v>472</v>
      </c>
      <c r="V132">
        <f>[1]Transactions!F132*[1]Transactions!U132</f>
        <v>472</v>
      </c>
    </row>
    <row r="133" spans="1:22" x14ac:dyDescent="0.3">
      <c r="A133">
        <v>132</v>
      </c>
      <c r="B133">
        <v>62</v>
      </c>
      <c r="C133">
        <v>97</v>
      </c>
      <c r="D133">
        <v>62</v>
      </c>
      <c r="E133">
        <v>6</v>
      </c>
      <c r="F133">
        <v>2</v>
      </c>
      <c r="G133">
        <v>259</v>
      </c>
      <c r="H133">
        <v>518</v>
      </c>
      <c r="I133">
        <v>59</v>
      </c>
      <c r="J133">
        <f>[1]Transactions!F133*[1]Transactions!G133</f>
        <v>518</v>
      </c>
      <c r="K133">
        <f>_xlfn.XLOOKUP([1]Transactions!D133,[1]Inventory!$C$2:$C$501,[1]Inventory!$A$2:$A$501)</f>
        <v>26</v>
      </c>
      <c r="L133">
        <f>_xlfn.XLOOKUP(K133,[1]Inventory!$A$2:$A$501,[1]Inventory!$D$2:$D$501)</f>
        <v>449</v>
      </c>
      <c r="M133">
        <f>_xlfn.XLOOKUP(K133,[1]Inventory!$A$2:$A$501,[1]Inventory!$E$2:$E$501)</f>
        <v>132</v>
      </c>
      <c r="N133" t="str">
        <f>_xlfn.XLOOKUP([1]Transactions!C133,[1]Customers!$A$2:$A$201,[1]Customers!$G$2:$G$201)</f>
        <v>West Bengal</v>
      </c>
      <c r="O133" t="str">
        <f>_xlfn.XLOOKUP(C133,[1]Customers!$A$2:$A$201,[1]Customers!$H$2:$H$201)</f>
        <v>East</v>
      </c>
      <c r="P133" t="str">
        <f>_xlfn.XLOOKUP(C133,[1]Customers!$A$2:$A$201,[1]Customers!$F$2:$F$201)</f>
        <v>Kolkata</v>
      </c>
      <c r="Q133">
        <f>_xlfn.XLOOKUP(C133,[1]Customers!$A$2:$A$201,[1]Customers!$D$2:$D$201)</f>
        <v>19</v>
      </c>
      <c r="R133" t="str">
        <f>_xlfn.XLOOKUP([1]Transactions!C133,[1]Customers!$A$2:$A$201,[1]Customers!$C$2:$C$201)</f>
        <v>Male</v>
      </c>
      <c r="S133" t="str">
        <f>_xlfn.XLOOKUP(C133,[1]Customers!$A$2:$A$201,[1]Customers!$B$2:$B$201)</f>
        <v>Customer_97</v>
      </c>
      <c r="T133" t="str">
        <f>_xlfn.XLOOKUP(D133,[1]Products!$A$2:$A$101,[1]Products!$C$2:$C$101)</f>
        <v>Snacks</v>
      </c>
      <c r="U133">
        <f>_xlfn.XLOOKUP(D133,[1]Products!$A$2:$A$101,[1]Products!$E$2:$E$101)</f>
        <v>32</v>
      </c>
      <c r="V133">
        <f>[1]Transactions!F133*[1]Transactions!U133</f>
        <v>64</v>
      </c>
    </row>
    <row r="134" spans="1:22" x14ac:dyDescent="0.3">
      <c r="A134">
        <v>133</v>
      </c>
      <c r="B134">
        <v>137</v>
      </c>
      <c r="C134">
        <v>21</v>
      </c>
      <c r="D134">
        <v>28</v>
      </c>
      <c r="E134">
        <v>39</v>
      </c>
      <c r="F134">
        <v>1</v>
      </c>
      <c r="G134">
        <v>342</v>
      </c>
      <c r="H134">
        <v>342</v>
      </c>
      <c r="I134">
        <v>58</v>
      </c>
      <c r="J134">
        <f>[1]Transactions!F134*[1]Transactions!G134</f>
        <v>342</v>
      </c>
      <c r="K134">
        <f>_xlfn.XLOOKUP([1]Transactions!D134,[1]Inventory!$C$2:$C$501,[1]Inventory!$A$2:$A$501)</f>
        <v>16</v>
      </c>
      <c r="L134">
        <f>_xlfn.XLOOKUP(K134,[1]Inventory!$A$2:$A$501,[1]Inventory!$D$2:$D$501)</f>
        <v>284</v>
      </c>
      <c r="M134">
        <f>_xlfn.XLOOKUP(K134,[1]Inventory!$A$2:$A$501,[1]Inventory!$E$2:$E$501)</f>
        <v>80</v>
      </c>
      <c r="N134" t="str">
        <f>_xlfn.XLOOKUP([1]Transactions!C134,[1]Customers!$A$2:$A$201,[1]Customers!$G$2:$G$201)</f>
        <v>Telangana</v>
      </c>
      <c r="O134" t="str">
        <f>_xlfn.XLOOKUP(C134,[1]Customers!$A$2:$A$201,[1]Customers!$H$2:$H$201)</f>
        <v>South</v>
      </c>
      <c r="P134" t="str">
        <f>_xlfn.XLOOKUP(C134,[1]Customers!$A$2:$A$201,[1]Customers!$F$2:$F$201)</f>
        <v>Hyderabad</v>
      </c>
      <c r="Q134">
        <f>_xlfn.XLOOKUP(C134,[1]Customers!$A$2:$A$201,[1]Customers!$D$2:$D$201)</f>
        <v>33</v>
      </c>
      <c r="R134" t="str">
        <f>_xlfn.XLOOKUP([1]Transactions!C134,[1]Customers!$A$2:$A$201,[1]Customers!$C$2:$C$201)</f>
        <v>Female</v>
      </c>
      <c r="S134" t="str">
        <f>_xlfn.XLOOKUP(C134,[1]Customers!$A$2:$A$201,[1]Customers!$B$2:$B$201)</f>
        <v>Customer_21</v>
      </c>
      <c r="T134" t="str">
        <f>_xlfn.XLOOKUP(D134,[1]Products!$A$2:$A$101,[1]Products!$C$2:$C$101)</f>
        <v>Grocery</v>
      </c>
      <c r="U134">
        <f>_xlfn.XLOOKUP(D134,[1]Products!$A$2:$A$101,[1]Products!$E$2:$E$101)</f>
        <v>203</v>
      </c>
      <c r="V134">
        <f>[1]Transactions!F134*[1]Transactions!U134</f>
        <v>203</v>
      </c>
    </row>
    <row r="135" spans="1:22" x14ac:dyDescent="0.3">
      <c r="A135">
        <v>134</v>
      </c>
      <c r="B135">
        <v>169</v>
      </c>
      <c r="C135">
        <v>158</v>
      </c>
      <c r="D135">
        <v>66</v>
      </c>
      <c r="E135">
        <v>23</v>
      </c>
      <c r="F135">
        <v>3</v>
      </c>
      <c r="G135">
        <v>31</v>
      </c>
      <c r="H135">
        <v>93</v>
      </c>
      <c r="I135">
        <v>33</v>
      </c>
      <c r="J135">
        <f>[1]Transactions!F135*[1]Transactions!G135</f>
        <v>93</v>
      </c>
      <c r="K135">
        <f>_xlfn.XLOOKUP([1]Transactions!D135,[1]Inventory!$C$2:$C$501,[1]Inventory!$A$2:$A$501)</f>
        <v>76</v>
      </c>
      <c r="L135">
        <f>_xlfn.XLOOKUP(K135,[1]Inventory!$A$2:$A$501,[1]Inventory!$D$2:$D$501)</f>
        <v>210</v>
      </c>
      <c r="M135">
        <f>_xlfn.XLOOKUP(K135,[1]Inventory!$A$2:$A$501,[1]Inventory!$E$2:$E$501)</f>
        <v>178</v>
      </c>
      <c r="N135" t="str">
        <f>_xlfn.XLOOKUP([1]Transactions!C135,[1]Customers!$A$2:$A$201,[1]Customers!$G$2:$G$201)</f>
        <v>Telangana</v>
      </c>
      <c r="O135" t="str">
        <f>_xlfn.XLOOKUP(C135,[1]Customers!$A$2:$A$201,[1]Customers!$H$2:$H$201)</f>
        <v>South</v>
      </c>
      <c r="P135" t="str">
        <f>_xlfn.XLOOKUP(C135,[1]Customers!$A$2:$A$201,[1]Customers!$F$2:$F$201)</f>
        <v>Hyderabad</v>
      </c>
      <c r="Q135">
        <f>_xlfn.XLOOKUP(C135,[1]Customers!$A$2:$A$201,[1]Customers!$D$2:$D$201)</f>
        <v>30</v>
      </c>
      <c r="R135" t="str">
        <f>_xlfn.XLOOKUP([1]Transactions!C135,[1]Customers!$A$2:$A$201,[1]Customers!$C$2:$C$201)</f>
        <v>Male</v>
      </c>
      <c r="S135" t="str">
        <f>_xlfn.XLOOKUP(C135,[1]Customers!$A$2:$A$201,[1]Customers!$B$2:$B$201)</f>
        <v>Customer_158</v>
      </c>
      <c r="T135" t="str">
        <f>_xlfn.XLOOKUP(D135,[1]Products!$A$2:$A$101,[1]Products!$C$2:$C$101)</f>
        <v>Beverages</v>
      </c>
      <c r="U135">
        <f>_xlfn.XLOOKUP(D135,[1]Products!$A$2:$A$101,[1]Products!$E$2:$E$101)</f>
        <v>452</v>
      </c>
      <c r="V135">
        <f>[1]Transactions!F135*[1]Transactions!U135</f>
        <v>1356</v>
      </c>
    </row>
    <row r="136" spans="1:22" x14ac:dyDescent="0.3">
      <c r="A136">
        <v>135</v>
      </c>
      <c r="B136">
        <v>11</v>
      </c>
      <c r="C136">
        <v>176</v>
      </c>
      <c r="D136">
        <v>71</v>
      </c>
      <c r="E136">
        <v>13</v>
      </c>
      <c r="F136">
        <v>5</v>
      </c>
      <c r="G136">
        <v>340</v>
      </c>
      <c r="H136">
        <v>1700</v>
      </c>
      <c r="I136">
        <v>25</v>
      </c>
      <c r="J136">
        <f>[1]Transactions!F136*[1]Transactions!G136</f>
        <v>1700</v>
      </c>
      <c r="K136">
        <f>_xlfn.XLOOKUP([1]Transactions!D136,[1]Inventory!$C$2:$C$501,[1]Inventory!$A$2:$A$501)</f>
        <v>30</v>
      </c>
      <c r="L136">
        <f>_xlfn.XLOOKUP(K136,[1]Inventory!$A$2:$A$501,[1]Inventory!$D$2:$D$501)</f>
        <v>155</v>
      </c>
      <c r="M136">
        <f>_xlfn.XLOOKUP(K136,[1]Inventory!$A$2:$A$501,[1]Inventory!$E$2:$E$501)</f>
        <v>79</v>
      </c>
      <c r="N136" t="str">
        <f>_xlfn.XLOOKUP([1]Transactions!C136,[1]Customers!$A$2:$A$201,[1]Customers!$G$2:$G$201)</f>
        <v>Gujarat</v>
      </c>
      <c r="O136" t="str">
        <f>_xlfn.XLOOKUP(C136,[1]Customers!$A$2:$A$201,[1]Customers!$H$2:$H$201)</f>
        <v>West</v>
      </c>
      <c r="P136" t="str">
        <f>_xlfn.XLOOKUP(C136,[1]Customers!$A$2:$A$201,[1]Customers!$F$2:$F$201)</f>
        <v>Ahmedabad</v>
      </c>
      <c r="Q136">
        <f>_xlfn.XLOOKUP(C136,[1]Customers!$A$2:$A$201,[1]Customers!$D$2:$D$201)</f>
        <v>45</v>
      </c>
      <c r="R136" t="str">
        <f>_xlfn.XLOOKUP([1]Transactions!C136,[1]Customers!$A$2:$A$201,[1]Customers!$C$2:$C$201)</f>
        <v>Female</v>
      </c>
      <c r="S136" t="str">
        <f>_xlfn.XLOOKUP(C136,[1]Customers!$A$2:$A$201,[1]Customers!$B$2:$B$201)</f>
        <v>Customer_176</v>
      </c>
      <c r="T136" t="str">
        <f>_xlfn.XLOOKUP(D136,[1]Products!$A$2:$A$101,[1]Products!$C$2:$C$101)</f>
        <v>Snacks</v>
      </c>
      <c r="U136">
        <f>_xlfn.XLOOKUP(D136,[1]Products!$A$2:$A$101,[1]Products!$E$2:$E$101)</f>
        <v>389</v>
      </c>
      <c r="V136">
        <f>[1]Transactions!F136*[1]Transactions!U136</f>
        <v>1945</v>
      </c>
    </row>
    <row r="137" spans="1:22" x14ac:dyDescent="0.3">
      <c r="A137">
        <v>136</v>
      </c>
      <c r="B137">
        <v>95</v>
      </c>
      <c r="C137">
        <v>104</v>
      </c>
      <c r="D137">
        <v>21</v>
      </c>
      <c r="E137">
        <v>12</v>
      </c>
      <c r="F137">
        <v>4</v>
      </c>
      <c r="G137">
        <v>365</v>
      </c>
      <c r="H137">
        <v>1460</v>
      </c>
      <c r="I137">
        <v>39</v>
      </c>
      <c r="J137">
        <f>[1]Transactions!F137*[1]Transactions!G137</f>
        <v>1460</v>
      </c>
      <c r="K137">
        <f>_xlfn.XLOOKUP([1]Transactions!D137,[1]Inventory!$C$2:$C$501,[1]Inventory!$A$2:$A$501)</f>
        <v>126</v>
      </c>
      <c r="L137">
        <f>_xlfn.XLOOKUP(K137,[1]Inventory!$A$2:$A$501,[1]Inventory!$D$2:$D$501)</f>
        <v>52</v>
      </c>
      <c r="M137">
        <f>_xlfn.XLOOKUP(K137,[1]Inventory!$A$2:$A$501,[1]Inventory!$E$2:$E$501)</f>
        <v>139</v>
      </c>
      <c r="N137" t="str">
        <f>_xlfn.XLOOKUP([1]Transactions!C137,[1]Customers!$A$2:$A$201,[1]Customers!$G$2:$G$201)</f>
        <v>Gujarat</v>
      </c>
      <c r="O137" t="str">
        <f>_xlfn.XLOOKUP(C137,[1]Customers!$A$2:$A$201,[1]Customers!$H$2:$H$201)</f>
        <v>West</v>
      </c>
      <c r="P137" t="str">
        <f>_xlfn.XLOOKUP(C137,[1]Customers!$A$2:$A$201,[1]Customers!$F$2:$F$201)</f>
        <v>Ahmedabad</v>
      </c>
      <c r="Q137">
        <f>_xlfn.XLOOKUP(C137,[1]Customers!$A$2:$A$201,[1]Customers!$D$2:$D$201)</f>
        <v>44</v>
      </c>
      <c r="R137" t="str">
        <f>_xlfn.XLOOKUP([1]Transactions!C137,[1]Customers!$A$2:$A$201,[1]Customers!$C$2:$C$201)</f>
        <v>Male</v>
      </c>
      <c r="S137" t="str">
        <f>_xlfn.XLOOKUP(C137,[1]Customers!$A$2:$A$201,[1]Customers!$B$2:$B$201)</f>
        <v>Customer_104</v>
      </c>
      <c r="T137" t="str">
        <f>_xlfn.XLOOKUP(D137,[1]Products!$A$2:$A$101,[1]Products!$C$2:$C$101)</f>
        <v>Beverages</v>
      </c>
      <c r="U137">
        <f>_xlfn.XLOOKUP(D137,[1]Products!$A$2:$A$101,[1]Products!$E$2:$E$101)</f>
        <v>327</v>
      </c>
      <c r="V137">
        <f>[1]Transactions!F137*[1]Transactions!U137</f>
        <v>1308</v>
      </c>
    </row>
    <row r="138" spans="1:22" x14ac:dyDescent="0.3">
      <c r="A138">
        <v>137</v>
      </c>
      <c r="B138">
        <v>74</v>
      </c>
      <c r="C138">
        <v>53</v>
      </c>
      <c r="D138">
        <v>76</v>
      </c>
      <c r="E138">
        <v>38</v>
      </c>
      <c r="F138">
        <v>5</v>
      </c>
      <c r="G138">
        <v>422</v>
      </c>
      <c r="H138">
        <v>2110</v>
      </c>
      <c r="I138">
        <v>40</v>
      </c>
      <c r="J138">
        <f>[1]Transactions!F138*[1]Transactions!G138</f>
        <v>2110</v>
      </c>
      <c r="K138">
        <f>_xlfn.XLOOKUP([1]Transactions!D138,[1]Inventory!$C$2:$C$501,[1]Inventory!$A$2:$A$501)</f>
        <v>29</v>
      </c>
      <c r="L138">
        <f>_xlfn.XLOOKUP(K138,[1]Inventory!$A$2:$A$501,[1]Inventory!$D$2:$D$501)</f>
        <v>328</v>
      </c>
      <c r="M138">
        <f>_xlfn.XLOOKUP(K138,[1]Inventory!$A$2:$A$501,[1]Inventory!$E$2:$E$501)</f>
        <v>97</v>
      </c>
      <c r="N138" t="str">
        <f>_xlfn.XLOOKUP([1]Transactions!C138,[1]Customers!$A$2:$A$201,[1]Customers!$G$2:$G$201)</f>
        <v>Maharashtra</v>
      </c>
      <c r="O138" t="str">
        <f>_xlfn.XLOOKUP(C138,[1]Customers!$A$2:$A$201,[1]Customers!$H$2:$H$201)</f>
        <v>West</v>
      </c>
      <c r="P138" t="str">
        <f>_xlfn.XLOOKUP(C138,[1]Customers!$A$2:$A$201,[1]Customers!$F$2:$F$201)</f>
        <v>Pune</v>
      </c>
      <c r="Q138">
        <f>_xlfn.XLOOKUP(C138,[1]Customers!$A$2:$A$201,[1]Customers!$D$2:$D$201)</f>
        <v>35</v>
      </c>
      <c r="R138" t="str">
        <f>_xlfn.XLOOKUP([1]Transactions!C138,[1]Customers!$A$2:$A$201,[1]Customers!$C$2:$C$201)</f>
        <v>Male</v>
      </c>
      <c r="S138" t="str">
        <f>_xlfn.XLOOKUP(C138,[1]Customers!$A$2:$A$201,[1]Customers!$B$2:$B$201)</f>
        <v>Customer_53</v>
      </c>
      <c r="T138" t="str">
        <f>_xlfn.XLOOKUP(D138,[1]Products!$A$2:$A$101,[1]Products!$C$2:$C$101)</f>
        <v>Dairy</v>
      </c>
      <c r="U138">
        <f>_xlfn.XLOOKUP(D138,[1]Products!$A$2:$A$101,[1]Products!$E$2:$E$101)</f>
        <v>164</v>
      </c>
      <c r="V138">
        <f>[1]Transactions!F138*[1]Transactions!U138</f>
        <v>820</v>
      </c>
    </row>
    <row r="139" spans="1:22" x14ac:dyDescent="0.3">
      <c r="A139">
        <v>138</v>
      </c>
      <c r="B139">
        <v>53</v>
      </c>
      <c r="C139">
        <v>9</v>
      </c>
      <c r="D139">
        <v>19</v>
      </c>
      <c r="E139">
        <v>6</v>
      </c>
      <c r="F139">
        <v>5</v>
      </c>
      <c r="G139">
        <v>282</v>
      </c>
      <c r="H139">
        <v>1410</v>
      </c>
      <c r="I139">
        <v>36</v>
      </c>
      <c r="J139">
        <f>[1]Transactions!F139*[1]Transactions!G139</f>
        <v>1410</v>
      </c>
      <c r="K139">
        <f>_xlfn.XLOOKUP([1]Transactions!D139,[1]Inventory!$C$2:$C$501,[1]Inventory!$A$2:$A$501)</f>
        <v>7</v>
      </c>
      <c r="L139">
        <f>_xlfn.XLOOKUP(K139,[1]Inventory!$A$2:$A$501,[1]Inventory!$D$2:$D$501)</f>
        <v>88</v>
      </c>
      <c r="M139">
        <f>_xlfn.XLOOKUP(K139,[1]Inventory!$A$2:$A$501,[1]Inventory!$E$2:$E$501)</f>
        <v>158</v>
      </c>
      <c r="N139" t="str">
        <f>_xlfn.XLOOKUP([1]Transactions!C139,[1]Customers!$A$2:$A$201,[1]Customers!$G$2:$G$201)</f>
        <v>Telangana</v>
      </c>
      <c r="O139" t="str">
        <f>_xlfn.XLOOKUP(C139,[1]Customers!$A$2:$A$201,[1]Customers!$H$2:$H$201)</f>
        <v>South</v>
      </c>
      <c r="P139" t="str">
        <f>_xlfn.XLOOKUP(C139,[1]Customers!$A$2:$A$201,[1]Customers!$F$2:$F$201)</f>
        <v>Hyderabad</v>
      </c>
      <c r="Q139">
        <f>_xlfn.XLOOKUP(C139,[1]Customers!$A$2:$A$201,[1]Customers!$D$2:$D$201)</f>
        <v>31</v>
      </c>
      <c r="R139" t="str">
        <f>_xlfn.XLOOKUP([1]Transactions!C139,[1]Customers!$A$2:$A$201,[1]Customers!$C$2:$C$201)</f>
        <v>Female</v>
      </c>
      <c r="S139" t="str">
        <f>_xlfn.XLOOKUP(C139,[1]Customers!$A$2:$A$201,[1]Customers!$B$2:$B$201)</f>
        <v>Customer_9</v>
      </c>
      <c r="T139" t="str">
        <f>_xlfn.XLOOKUP(D139,[1]Products!$A$2:$A$101,[1]Products!$C$2:$C$101)</f>
        <v>Snacks</v>
      </c>
      <c r="U139">
        <f>_xlfn.XLOOKUP(D139,[1]Products!$A$2:$A$101,[1]Products!$E$2:$E$101)</f>
        <v>442</v>
      </c>
      <c r="V139">
        <f>[1]Transactions!F139*[1]Transactions!U139</f>
        <v>2210</v>
      </c>
    </row>
    <row r="140" spans="1:22" x14ac:dyDescent="0.3">
      <c r="A140">
        <v>139</v>
      </c>
      <c r="B140">
        <v>139</v>
      </c>
      <c r="C140">
        <v>19</v>
      </c>
      <c r="D140">
        <v>62</v>
      </c>
      <c r="E140">
        <v>19</v>
      </c>
      <c r="F140">
        <v>1</v>
      </c>
      <c r="G140">
        <v>329</v>
      </c>
      <c r="H140">
        <v>329</v>
      </c>
      <c r="I140">
        <v>37</v>
      </c>
      <c r="J140">
        <f>[1]Transactions!F140*[1]Transactions!G140</f>
        <v>329</v>
      </c>
      <c r="K140">
        <f>_xlfn.XLOOKUP([1]Transactions!D140,[1]Inventory!$C$2:$C$501,[1]Inventory!$A$2:$A$501)</f>
        <v>26</v>
      </c>
      <c r="L140">
        <f>_xlfn.XLOOKUP(K140,[1]Inventory!$A$2:$A$501,[1]Inventory!$D$2:$D$501)</f>
        <v>449</v>
      </c>
      <c r="M140">
        <f>_xlfn.XLOOKUP(K140,[1]Inventory!$A$2:$A$501,[1]Inventory!$E$2:$E$501)</f>
        <v>132</v>
      </c>
      <c r="N140" t="str">
        <f>_xlfn.XLOOKUP([1]Transactions!C140,[1]Customers!$A$2:$A$201,[1]Customers!$G$2:$G$201)</f>
        <v>Maharashtra</v>
      </c>
      <c r="O140" t="str">
        <f>_xlfn.XLOOKUP(C140,[1]Customers!$A$2:$A$201,[1]Customers!$H$2:$H$201)</f>
        <v>West</v>
      </c>
      <c r="P140" t="str">
        <f>_xlfn.XLOOKUP(C140,[1]Customers!$A$2:$A$201,[1]Customers!$F$2:$F$201)</f>
        <v>Pune</v>
      </c>
      <c r="Q140">
        <f>_xlfn.XLOOKUP(C140,[1]Customers!$A$2:$A$201,[1]Customers!$D$2:$D$201)</f>
        <v>39</v>
      </c>
      <c r="R140" t="str">
        <f>_xlfn.XLOOKUP([1]Transactions!C140,[1]Customers!$A$2:$A$201,[1]Customers!$C$2:$C$201)</f>
        <v>Female</v>
      </c>
      <c r="S140" t="str">
        <f>_xlfn.XLOOKUP(C140,[1]Customers!$A$2:$A$201,[1]Customers!$B$2:$B$201)</f>
        <v>Customer_19</v>
      </c>
      <c r="T140" t="str">
        <f>_xlfn.XLOOKUP(D140,[1]Products!$A$2:$A$101,[1]Products!$C$2:$C$101)</f>
        <v>Snacks</v>
      </c>
      <c r="U140">
        <f>_xlfn.XLOOKUP(D140,[1]Products!$A$2:$A$101,[1]Products!$E$2:$E$101)</f>
        <v>32</v>
      </c>
      <c r="V140">
        <f>[1]Transactions!F140*[1]Transactions!U140</f>
        <v>32</v>
      </c>
    </row>
    <row r="141" spans="1:22" x14ac:dyDescent="0.3">
      <c r="A141">
        <v>140</v>
      </c>
      <c r="B141">
        <v>132</v>
      </c>
      <c r="C141">
        <v>194</v>
      </c>
      <c r="D141">
        <v>24</v>
      </c>
      <c r="E141">
        <v>34</v>
      </c>
      <c r="F141">
        <v>5</v>
      </c>
      <c r="G141">
        <v>106</v>
      </c>
      <c r="H141">
        <v>530</v>
      </c>
      <c r="I141">
        <v>15</v>
      </c>
      <c r="J141">
        <f>[1]Transactions!F141*[1]Transactions!G141</f>
        <v>530</v>
      </c>
      <c r="K141">
        <f>_xlfn.XLOOKUP([1]Transactions!D141,[1]Inventory!$C$2:$C$501,[1]Inventory!$A$2:$A$501)</f>
        <v>111</v>
      </c>
      <c r="L141">
        <f>_xlfn.XLOOKUP(K141,[1]Inventory!$A$2:$A$501,[1]Inventory!$D$2:$D$501)</f>
        <v>237</v>
      </c>
      <c r="M141">
        <f>_xlfn.XLOOKUP(K141,[1]Inventory!$A$2:$A$501,[1]Inventory!$E$2:$E$501)</f>
        <v>154</v>
      </c>
      <c r="N141" t="str">
        <f>_xlfn.XLOOKUP([1]Transactions!C141,[1]Customers!$A$2:$A$201,[1]Customers!$G$2:$G$201)</f>
        <v>Delhi</v>
      </c>
      <c r="O141" t="str">
        <f>_xlfn.XLOOKUP(C141,[1]Customers!$A$2:$A$201,[1]Customers!$H$2:$H$201)</f>
        <v>North</v>
      </c>
      <c r="P141" t="str">
        <f>_xlfn.XLOOKUP(C141,[1]Customers!$A$2:$A$201,[1]Customers!$F$2:$F$201)</f>
        <v>Delhi</v>
      </c>
      <c r="Q141">
        <f>_xlfn.XLOOKUP(C141,[1]Customers!$A$2:$A$201,[1]Customers!$D$2:$D$201)</f>
        <v>31</v>
      </c>
      <c r="R141" t="str">
        <f>_xlfn.XLOOKUP([1]Transactions!C141,[1]Customers!$A$2:$A$201,[1]Customers!$C$2:$C$201)</f>
        <v>Male</v>
      </c>
      <c r="S141" t="str">
        <f>_xlfn.XLOOKUP(C141,[1]Customers!$A$2:$A$201,[1]Customers!$B$2:$B$201)</f>
        <v>Customer_194</v>
      </c>
      <c r="T141" t="str">
        <f>_xlfn.XLOOKUP(D141,[1]Products!$A$2:$A$101,[1]Products!$C$2:$C$101)</f>
        <v>Personal Care</v>
      </c>
      <c r="U141">
        <f>_xlfn.XLOOKUP(D141,[1]Products!$A$2:$A$101,[1]Products!$E$2:$E$101)</f>
        <v>435</v>
      </c>
      <c r="V141">
        <f>[1]Transactions!F141*[1]Transactions!U141</f>
        <v>2175</v>
      </c>
    </row>
    <row r="142" spans="1:22" x14ac:dyDescent="0.3">
      <c r="A142">
        <v>141</v>
      </c>
      <c r="B142">
        <v>59</v>
      </c>
      <c r="C142">
        <v>166</v>
      </c>
      <c r="D142">
        <v>63</v>
      </c>
      <c r="E142">
        <v>22</v>
      </c>
      <c r="F142">
        <v>2</v>
      </c>
      <c r="G142">
        <v>96</v>
      </c>
      <c r="H142">
        <v>192</v>
      </c>
      <c r="I142">
        <v>39</v>
      </c>
      <c r="J142">
        <f>[1]Transactions!F142*[1]Transactions!G142</f>
        <v>192</v>
      </c>
      <c r="K142">
        <f>_xlfn.XLOOKUP([1]Transactions!D142,[1]Inventory!$C$2:$C$501,[1]Inventory!$A$2:$A$501)</f>
        <v>36</v>
      </c>
      <c r="L142">
        <f>_xlfn.XLOOKUP(K142,[1]Inventory!$A$2:$A$501,[1]Inventory!$D$2:$D$501)</f>
        <v>75</v>
      </c>
      <c r="M142">
        <f>_xlfn.XLOOKUP(K142,[1]Inventory!$A$2:$A$501,[1]Inventory!$E$2:$E$501)</f>
        <v>177</v>
      </c>
      <c r="N142" t="str">
        <f>_xlfn.XLOOKUP([1]Transactions!C142,[1]Customers!$A$2:$A$201,[1]Customers!$G$2:$G$201)</f>
        <v>UP</v>
      </c>
      <c r="O142" t="str">
        <f>_xlfn.XLOOKUP(C142,[1]Customers!$A$2:$A$201,[1]Customers!$H$2:$H$201)</f>
        <v>North</v>
      </c>
      <c r="P142" t="str">
        <f>_xlfn.XLOOKUP(C142,[1]Customers!$A$2:$A$201,[1]Customers!$F$2:$F$201)</f>
        <v>Lucknow</v>
      </c>
      <c r="Q142">
        <f>_xlfn.XLOOKUP(C142,[1]Customers!$A$2:$A$201,[1]Customers!$D$2:$D$201)</f>
        <v>28</v>
      </c>
      <c r="R142" t="str">
        <f>_xlfn.XLOOKUP([1]Transactions!C142,[1]Customers!$A$2:$A$201,[1]Customers!$C$2:$C$201)</f>
        <v>Male</v>
      </c>
      <c r="S142" t="str">
        <f>_xlfn.XLOOKUP(C142,[1]Customers!$A$2:$A$201,[1]Customers!$B$2:$B$201)</f>
        <v>Customer_166</v>
      </c>
      <c r="T142" t="str">
        <f>_xlfn.XLOOKUP(D142,[1]Products!$A$2:$A$101,[1]Products!$C$2:$C$101)</f>
        <v>Grocery</v>
      </c>
      <c r="U142">
        <f>_xlfn.XLOOKUP(D142,[1]Products!$A$2:$A$101,[1]Products!$E$2:$E$101)</f>
        <v>171</v>
      </c>
      <c r="V142">
        <f>[1]Transactions!F142*[1]Transactions!U142</f>
        <v>342</v>
      </c>
    </row>
    <row r="143" spans="1:22" x14ac:dyDescent="0.3">
      <c r="A143">
        <v>142</v>
      </c>
      <c r="B143">
        <v>3</v>
      </c>
      <c r="C143">
        <v>45</v>
      </c>
      <c r="D143">
        <v>23</v>
      </c>
      <c r="E143">
        <v>21</v>
      </c>
      <c r="F143">
        <v>3</v>
      </c>
      <c r="G143">
        <v>121</v>
      </c>
      <c r="H143">
        <v>363</v>
      </c>
      <c r="I143">
        <v>44</v>
      </c>
      <c r="J143">
        <f>[1]Transactions!F143*[1]Transactions!G143</f>
        <v>363</v>
      </c>
      <c r="K143">
        <f>_xlfn.XLOOKUP([1]Transactions!D143,[1]Inventory!$C$2:$C$501,[1]Inventory!$A$2:$A$501)</f>
        <v>127</v>
      </c>
      <c r="L143">
        <f>_xlfn.XLOOKUP(K143,[1]Inventory!$A$2:$A$501,[1]Inventory!$D$2:$D$501)</f>
        <v>144</v>
      </c>
      <c r="M143">
        <f>_xlfn.XLOOKUP(K143,[1]Inventory!$A$2:$A$501,[1]Inventory!$E$2:$E$501)</f>
        <v>95</v>
      </c>
      <c r="N143" t="str">
        <f>_xlfn.XLOOKUP([1]Transactions!C143,[1]Customers!$A$2:$A$201,[1]Customers!$G$2:$G$201)</f>
        <v>Gujarat</v>
      </c>
      <c r="O143" t="str">
        <f>_xlfn.XLOOKUP(C143,[1]Customers!$A$2:$A$201,[1]Customers!$H$2:$H$201)</f>
        <v>West</v>
      </c>
      <c r="P143" t="str">
        <f>_xlfn.XLOOKUP(C143,[1]Customers!$A$2:$A$201,[1]Customers!$F$2:$F$201)</f>
        <v>Ahmedabad</v>
      </c>
      <c r="Q143">
        <f>_xlfn.XLOOKUP(C143,[1]Customers!$A$2:$A$201,[1]Customers!$D$2:$D$201)</f>
        <v>51</v>
      </c>
      <c r="R143" t="str">
        <f>_xlfn.XLOOKUP([1]Transactions!C143,[1]Customers!$A$2:$A$201,[1]Customers!$C$2:$C$201)</f>
        <v>Female</v>
      </c>
      <c r="S143" t="str">
        <f>_xlfn.XLOOKUP(C143,[1]Customers!$A$2:$A$201,[1]Customers!$B$2:$B$201)</f>
        <v>Customer_45</v>
      </c>
      <c r="T143" t="str">
        <f>_xlfn.XLOOKUP(D143,[1]Products!$A$2:$A$101,[1]Products!$C$2:$C$101)</f>
        <v>Grocery</v>
      </c>
      <c r="U143">
        <f>_xlfn.XLOOKUP(D143,[1]Products!$A$2:$A$101,[1]Products!$E$2:$E$101)</f>
        <v>370</v>
      </c>
      <c r="V143">
        <f>[1]Transactions!F143*[1]Transactions!U143</f>
        <v>1110</v>
      </c>
    </row>
    <row r="144" spans="1:22" x14ac:dyDescent="0.3">
      <c r="A144">
        <v>143</v>
      </c>
      <c r="B144">
        <v>71</v>
      </c>
      <c r="C144">
        <v>121</v>
      </c>
      <c r="D144">
        <v>86</v>
      </c>
      <c r="E144">
        <v>37</v>
      </c>
      <c r="F144">
        <v>2</v>
      </c>
      <c r="G144">
        <v>470</v>
      </c>
      <c r="H144">
        <v>940</v>
      </c>
      <c r="I144">
        <v>15</v>
      </c>
      <c r="J144">
        <f>[1]Transactions!F144*[1]Transactions!G144</f>
        <v>940</v>
      </c>
      <c r="K144">
        <f>_xlfn.XLOOKUP([1]Transactions!D144,[1]Inventory!$C$2:$C$501,[1]Inventory!$A$2:$A$501)</f>
        <v>84</v>
      </c>
      <c r="L144">
        <f>_xlfn.XLOOKUP(K144,[1]Inventory!$A$2:$A$501,[1]Inventory!$D$2:$D$501)</f>
        <v>450</v>
      </c>
      <c r="M144">
        <f>_xlfn.XLOOKUP(K144,[1]Inventory!$A$2:$A$501,[1]Inventory!$E$2:$E$501)</f>
        <v>85</v>
      </c>
      <c r="N144" t="str">
        <f>_xlfn.XLOOKUP([1]Transactions!C144,[1]Customers!$A$2:$A$201,[1]Customers!$G$2:$G$201)</f>
        <v>Tamil Nadu</v>
      </c>
      <c r="O144" t="str">
        <f>_xlfn.XLOOKUP(C144,[1]Customers!$A$2:$A$201,[1]Customers!$H$2:$H$201)</f>
        <v>South</v>
      </c>
      <c r="P144" t="str">
        <f>_xlfn.XLOOKUP(C144,[1]Customers!$A$2:$A$201,[1]Customers!$F$2:$F$201)</f>
        <v>Chennai</v>
      </c>
      <c r="Q144">
        <f>_xlfn.XLOOKUP(C144,[1]Customers!$A$2:$A$201,[1]Customers!$D$2:$D$201)</f>
        <v>47</v>
      </c>
      <c r="R144" t="str">
        <f>_xlfn.XLOOKUP([1]Transactions!C144,[1]Customers!$A$2:$A$201,[1]Customers!$C$2:$C$201)</f>
        <v>Female</v>
      </c>
      <c r="S144" t="str">
        <f>_xlfn.XLOOKUP(C144,[1]Customers!$A$2:$A$201,[1]Customers!$B$2:$B$201)</f>
        <v>Customer_121</v>
      </c>
      <c r="T144" t="str">
        <f>_xlfn.XLOOKUP(D144,[1]Products!$A$2:$A$101,[1]Products!$C$2:$C$101)</f>
        <v>Snacks</v>
      </c>
      <c r="U144">
        <f>_xlfn.XLOOKUP(D144,[1]Products!$A$2:$A$101,[1]Products!$E$2:$E$101)</f>
        <v>405</v>
      </c>
      <c r="V144">
        <f>[1]Transactions!F144*[1]Transactions!U144</f>
        <v>810</v>
      </c>
    </row>
    <row r="145" spans="1:22" x14ac:dyDescent="0.3">
      <c r="A145">
        <v>144</v>
      </c>
      <c r="B145">
        <v>143</v>
      </c>
      <c r="C145">
        <v>61</v>
      </c>
      <c r="D145">
        <v>31</v>
      </c>
      <c r="E145">
        <v>48</v>
      </c>
      <c r="F145">
        <v>5</v>
      </c>
      <c r="G145">
        <v>167</v>
      </c>
      <c r="H145">
        <v>835</v>
      </c>
      <c r="I145">
        <v>34</v>
      </c>
      <c r="J145">
        <f>[1]Transactions!F145*[1]Transactions!G145</f>
        <v>835</v>
      </c>
      <c r="K145">
        <f>_xlfn.XLOOKUP([1]Transactions!D145,[1]Inventory!$C$2:$C$501,[1]Inventory!$A$2:$A$501)</f>
        <v>61</v>
      </c>
      <c r="L145">
        <f>_xlfn.XLOOKUP(K145,[1]Inventory!$A$2:$A$501,[1]Inventory!$D$2:$D$501)</f>
        <v>342</v>
      </c>
      <c r="M145">
        <f>_xlfn.XLOOKUP(K145,[1]Inventory!$A$2:$A$501,[1]Inventory!$E$2:$E$501)</f>
        <v>35</v>
      </c>
      <c r="N145" t="str">
        <f>_xlfn.XLOOKUP([1]Transactions!C145,[1]Customers!$A$2:$A$201,[1]Customers!$G$2:$G$201)</f>
        <v>Maharashtra</v>
      </c>
      <c r="O145" t="str">
        <f>_xlfn.XLOOKUP(C145,[1]Customers!$A$2:$A$201,[1]Customers!$H$2:$H$201)</f>
        <v>West</v>
      </c>
      <c r="P145" t="str">
        <f>_xlfn.XLOOKUP(C145,[1]Customers!$A$2:$A$201,[1]Customers!$F$2:$F$201)</f>
        <v>Pune</v>
      </c>
      <c r="Q145">
        <f>_xlfn.XLOOKUP(C145,[1]Customers!$A$2:$A$201,[1]Customers!$D$2:$D$201)</f>
        <v>27</v>
      </c>
      <c r="R145" t="str">
        <f>_xlfn.XLOOKUP([1]Transactions!C145,[1]Customers!$A$2:$A$201,[1]Customers!$C$2:$C$201)</f>
        <v>Male</v>
      </c>
      <c r="S145" t="str">
        <f>_xlfn.XLOOKUP(C145,[1]Customers!$A$2:$A$201,[1]Customers!$B$2:$B$201)</f>
        <v>Customer_61</v>
      </c>
      <c r="T145" t="str">
        <f>_xlfn.XLOOKUP(D145,[1]Products!$A$2:$A$101,[1]Products!$C$2:$C$101)</f>
        <v>Grocery</v>
      </c>
      <c r="U145">
        <f>_xlfn.XLOOKUP(D145,[1]Products!$A$2:$A$101,[1]Products!$E$2:$E$101)</f>
        <v>254</v>
      </c>
      <c r="V145">
        <f>[1]Transactions!F145*[1]Transactions!U145</f>
        <v>1270</v>
      </c>
    </row>
    <row r="146" spans="1:22" x14ac:dyDescent="0.3">
      <c r="A146">
        <v>145</v>
      </c>
      <c r="B146">
        <v>22</v>
      </c>
      <c r="C146">
        <v>26</v>
      </c>
      <c r="D146">
        <v>87</v>
      </c>
      <c r="E146">
        <v>30</v>
      </c>
      <c r="F146">
        <v>1</v>
      </c>
      <c r="G146">
        <v>288</v>
      </c>
      <c r="H146">
        <v>288</v>
      </c>
      <c r="I146">
        <v>59</v>
      </c>
      <c r="J146">
        <f>[1]Transactions!F146*[1]Transactions!G146</f>
        <v>288</v>
      </c>
      <c r="K146">
        <f>_xlfn.XLOOKUP([1]Transactions!D146,[1]Inventory!$C$2:$C$501,[1]Inventory!$A$2:$A$501)</f>
        <v>145</v>
      </c>
      <c r="L146">
        <f>_xlfn.XLOOKUP(K146,[1]Inventory!$A$2:$A$501,[1]Inventory!$D$2:$D$501)</f>
        <v>165</v>
      </c>
      <c r="M146">
        <f>_xlfn.XLOOKUP(K146,[1]Inventory!$A$2:$A$501,[1]Inventory!$E$2:$E$501)</f>
        <v>80</v>
      </c>
      <c r="N146" t="str">
        <f>_xlfn.XLOOKUP([1]Transactions!C146,[1]Customers!$A$2:$A$201,[1]Customers!$G$2:$G$201)</f>
        <v>Tamil Nadu</v>
      </c>
      <c r="O146" t="str">
        <f>_xlfn.XLOOKUP(C146,[1]Customers!$A$2:$A$201,[1]Customers!$H$2:$H$201)</f>
        <v>South</v>
      </c>
      <c r="P146" t="str">
        <f>_xlfn.XLOOKUP(C146,[1]Customers!$A$2:$A$201,[1]Customers!$F$2:$F$201)</f>
        <v>Chennai</v>
      </c>
      <c r="Q146">
        <f>_xlfn.XLOOKUP(C146,[1]Customers!$A$2:$A$201,[1]Customers!$D$2:$D$201)</f>
        <v>38</v>
      </c>
      <c r="R146" t="str">
        <f>_xlfn.XLOOKUP([1]Transactions!C146,[1]Customers!$A$2:$A$201,[1]Customers!$C$2:$C$201)</f>
        <v>Male</v>
      </c>
      <c r="S146" t="str">
        <f>_xlfn.XLOOKUP(C146,[1]Customers!$A$2:$A$201,[1]Customers!$B$2:$B$201)</f>
        <v>Customer_26</v>
      </c>
      <c r="T146" t="str">
        <f>_xlfn.XLOOKUP(D146,[1]Products!$A$2:$A$101,[1]Products!$C$2:$C$101)</f>
        <v>Snacks</v>
      </c>
      <c r="U146">
        <f>_xlfn.XLOOKUP(D146,[1]Products!$A$2:$A$101,[1]Products!$E$2:$E$101)</f>
        <v>115</v>
      </c>
      <c r="V146">
        <f>[1]Transactions!F146*[1]Transactions!U146</f>
        <v>115</v>
      </c>
    </row>
    <row r="147" spans="1:22" x14ac:dyDescent="0.3">
      <c r="A147">
        <v>146</v>
      </c>
      <c r="B147">
        <v>13</v>
      </c>
      <c r="C147">
        <v>145</v>
      </c>
      <c r="D147">
        <v>67</v>
      </c>
      <c r="E147">
        <v>28</v>
      </c>
      <c r="F147">
        <v>2</v>
      </c>
      <c r="G147">
        <v>122</v>
      </c>
      <c r="H147">
        <v>244</v>
      </c>
      <c r="I147">
        <v>27</v>
      </c>
      <c r="J147">
        <f>[1]Transactions!F147*[1]Transactions!G147</f>
        <v>244</v>
      </c>
      <c r="K147">
        <f>_xlfn.XLOOKUP([1]Transactions!D147,[1]Inventory!$C$2:$C$501,[1]Inventory!$A$2:$A$501)</f>
        <v>295</v>
      </c>
      <c r="L147">
        <f>_xlfn.XLOOKUP(K147,[1]Inventory!$A$2:$A$501,[1]Inventory!$D$2:$D$501)</f>
        <v>148</v>
      </c>
      <c r="M147">
        <f>_xlfn.XLOOKUP(K147,[1]Inventory!$A$2:$A$501,[1]Inventory!$E$2:$E$501)</f>
        <v>129</v>
      </c>
      <c r="N147" t="str">
        <f>_xlfn.XLOOKUP([1]Transactions!C147,[1]Customers!$A$2:$A$201,[1]Customers!$G$2:$G$201)</f>
        <v>West Bengal</v>
      </c>
      <c r="O147" t="str">
        <f>_xlfn.XLOOKUP(C147,[1]Customers!$A$2:$A$201,[1]Customers!$H$2:$H$201)</f>
        <v>East</v>
      </c>
      <c r="P147" t="str">
        <f>_xlfn.XLOOKUP(C147,[1]Customers!$A$2:$A$201,[1]Customers!$F$2:$F$201)</f>
        <v>Kolkata</v>
      </c>
      <c r="Q147">
        <f>_xlfn.XLOOKUP(C147,[1]Customers!$A$2:$A$201,[1]Customers!$D$2:$D$201)</f>
        <v>55</v>
      </c>
      <c r="R147" t="str">
        <f>_xlfn.XLOOKUP([1]Transactions!C147,[1]Customers!$A$2:$A$201,[1]Customers!$C$2:$C$201)</f>
        <v>Male</v>
      </c>
      <c r="S147" t="str">
        <f>_xlfn.XLOOKUP(C147,[1]Customers!$A$2:$A$201,[1]Customers!$B$2:$B$201)</f>
        <v>Customer_145</v>
      </c>
      <c r="T147" t="str">
        <f>_xlfn.XLOOKUP(D147,[1]Products!$A$2:$A$101,[1]Products!$C$2:$C$101)</f>
        <v>Snacks</v>
      </c>
      <c r="U147">
        <f>_xlfn.XLOOKUP(D147,[1]Products!$A$2:$A$101,[1]Products!$E$2:$E$101)</f>
        <v>291</v>
      </c>
      <c r="V147">
        <f>[1]Transactions!F147*[1]Transactions!U147</f>
        <v>582</v>
      </c>
    </row>
    <row r="148" spans="1:22" x14ac:dyDescent="0.3">
      <c r="A148">
        <v>147</v>
      </c>
      <c r="B148">
        <v>180</v>
      </c>
      <c r="C148">
        <v>131</v>
      </c>
      <c r="D148">
        <v>5</v>
      </c>
      <c r="E148">
        <v>28</v>
      </c>
      <c r="F148">
        <v>4</v>
      </c>
      <c r="G148">
        <v>399</v>
      </c>
      <c r="H148">
        <v>1596</v>
      </c>
      <c r="I148">
        <v>27</v>
      </c>
      <c r="J148">
        <f>[1]Transactions!F148*[1]Transactions!G148</f>
        <v>1596</v>
      </c>
      <c r="K148">
        <f>_xlfn.XLOOKUP([1]Transactions!D148,[1]Inventory!$C$2:$C$501,[1]Inventory!$A$2:$A$501)</f>
        <v>71</v>
      </c>
      <c r="L148">
        <f>_xlfn.XLOOKUP(K148,[1]Inventory!$A$2:$A$501,[1]Inventory!$D$2:$D$501)</f>
        <v>288</v>
      </c>
      <c r="M148">
        <f>_xlfn.XLOOKUP(K148,[1]Inventory!$A$2:$A$501,[1]Inventory!$E$2:$E$501)</f>
        <v>130</v>
      </c>
      <c r="N148" t="str">
        <f>_xlfn.XLOOKUP([1]Transactions!C148,[1]Customers!$A$2:$A$201,[1]Customers!$G$2:$G$201)</f>
        <v>Gujarat</v>
      </c>
      <c r="O148" t="str">
        <f>_xlfn.XLOOKUP(C148,[1]Customers!$A$2:$A$201,[1]Customers!$H$2:$H$201)</f>
        <v>West</v>
      </c>
      <c r="P148" t="str">
        <f>_xlfn.XLOOKUP(C148,[1]Customers!$A$2:$A$201,[1]Customers!$F$2:$F$201)</f>
        <v>Ahmedabad</v>
      </c>
      <c r="Q148">
        <f>_xlfn.XLOOKUP(C148,[1]Customers!$A$2:$A$201,[1]Customers!$D$2:$D$201)</f>
        <v>40</v>
      </c>
      <c r="R148" t="str">
        <f>_xlfn.XLOOKUP([1]Transactions!C148,[1]Customers!$A$2:$A$201,[1]Customers!$C$2:$C$201)</f>
        <v>Female</v>
      </c>
      <c r="S148" t="str">
        <f>_xlfn.XLOOKUP(C148,[1]Customers!$A$2:$A$201,[1]Customers!$B$2:$B$201)</f>
        <v>Customer_131</v>
      </c>
      <c r="T148" t="str">
        <f>_xlfn.XLOOKUP(D148,[1]Products!$A$2:$A$101,[1]Products!$C$2:$C$101)</f>
        <v>Grocery</v>
      </c>
      <c r="U148">
        <f>_xlfn.XLOOKUP(D148,[1]Products!$A$2:$A$101,[1]Products!$E$2:$E$101)</f>
        <v>127</v>
      </c>
      <c r="V148">
        <f>[1]Transactions!F148*[1]Transactions!U148</f>
        <v>508</v>
      </c>
    </row>
    <row r="149" spans="1:22" x14ac:dyDescent="0.3">
      <c r="A149">
        <v>148</v>
      </c>
      <c r="B149">
        <v>134</v>
      </c>
      <c r="C149">
        <v>75</v>
      </c>
      <c r="D149">
        <v>54</v>
      </c>
      <c r="E149">
        <v>50</v>
      </c>
      <c r="F149">
        <v>5</v>
      </c>
      <c r="G149">
        <v>211</v>
      </c>
      <c r="H149">
        <v>1055</v>
      </c>
      <c r="I149">
        <v>29</v>
      </c>
      <c r="J149">
        <f>[1]Transactions!F149*[1]Transactions!G149</f>
        <v>1055</v>
      </c>
      <c r="K149">
        <f>_xlfn.XLOOKUP([1]Transactions!D149,[1]Inventory!$C$2:$C$501,[1]Inventory!$A$2:$A$501)</f>
        <v>21</v>
      </c>
      <c r="L149">
        <f>_xlfn.XLOOKUP(K149,[1]Inventory!$A$2:$A$501,[1]Inventory!$D$2:$D$501)</f>
        <v>124</v>
      </c>
      <c r="M149">
        <f>_xlfn.XLOOKUP(K149,[1]Inventory!$A$2:$A$501,[1]Inventory!$E$2:$E$501)</f>
        <v>101</v>
      </c>
      <c r="N149" t="str">
        <f>_xlfn.XLOOKUP([1]Transactions!C149,[1]Customers!$A$2:$A$201,[1]Customers!$G$2:$G$201)</f>
        <v>Rajasthan</v>
      </c>
      <c r="O149" t="str">
        <f>_xlfn.XLOOKUP(C149,[1]Customers!$A$2:$A$201,[1]Customers!$H$2:$H$201)</f>
        <v>North</v>
      </c>
      <c r="P149" t="str">
        <f>_xlfn.XLOOKUP(C149,[1]Customers!$A$2:$A$201,[1]Customers!$F$2:$F$201)</f>
        <v>Jaipur</v>
      </c>
      <c r="Q149">
        <f>_xlfn.XLOOKUP(C149,[1]Customers!$A$2:$A$201,[1]Customers!$D$2:$D$201)</f>
        <v>35</v>
      </c>
      <c r="R149" t="str">
        <f>_xlfn.XLOOKUP([1]Transactions!C149,[1]Customers!$A$2:$A$201,[1]Customers!$C$2:$C$201)</f>
        <v>Male</v>
      </c>
      <c r="S149" t="str">
        <f>_xlfn.XLOOKUP(C149,[1]Customers!$A$2:$A$201,[1]Customers!$B$2:$B$201)</f>
        <v>Customer_75</v>
      </c>
      <c r="T149" t="str">
        <f>_xlfn.XLOOKUP(D149,[1]Products!$A$2:$A$101,[1]Products!$C$2:$C$101)</f>
        <v>Beverages</v>
      </c>
      <c r="U149">
        <f>_xlfn.XLOOKUP(D149,[1]Products!$A$2:$A$101,[1]Products!$E$2:$E$101)</f>
        <v>426</v>
      </c>
      <c r="V149">
        <f>[1]Transactions!F149*[1]Transactions!U149</f>
        <v>2130</v>
      </c>
    </row>
    <row r="150" spans="1:22" x14ac:dyDescent="0.3">
      <c r="A150">
        <v>149</v>
      </c>
      <c r="B150">
        <v>174</v>
      </c>
      <c r="C150">
        <v>6</v>
      </c>
      <c r="D150">
        <v>81</v>
      </c>
      <c r="E150">
        <v>14</v>
      </c>
      <c r="F150">
        <v>1</v>
      </c>
      <c r="G150">
        <v>120</v>
      </c>
      <c r="H150">
        <v>120</v>
      </c>
      <c r="I150">
        <v>57</v>
      </c>
      <c r="J150">
        <f>[1]Transactions!F150*[1]Transactions!G150</f>
        <v>120</v>
      </c>
      <c r="K150">
        <f>_xlfn.XLOOKUP([1]Transactions!D150,[1]Inventory!$C$2:$C$501,[1]Inventory!$A$2:$A$501)</f>
        <v>80</v>
      </c>
      <c r="L150">
        <f>_xlfn.XLOOKUP(K150,[1]Inventory!$A$2:$A$501,[1]Inventory!$D$2:$D$501)</f>
        <v>9</v>
      </c>
      <c r="M150">
        <f>_xlfn.XLOOKUP(K150,[1]Inventory!$A$2:$A$501,[1]Inventory!$E$2:$E$501)</f>
        <v>4</v>
      </c>
      <c r="N150" t="str">
        <f>_xlfn.XLOOKUP([1]Transactions!C150,[1]Customers!$A$2:$A$201,[1]Customers!$G$2:$G$201)</f>
        <v>Gujarat</v>
      </c>
      <c r="O150" t="str">
        <f>_xlfn.XLOOKUP(C150,[1]Customers!$A$2:$A$201,[1]Customers!$H$2:$H$201)</f>
        <v>West</v>
      </c>
      <c r="P150" t="str">
        <f>_xlfn.XLOOKUP(C150,[1]Customers!$A$2:$A$201,[1]Customers!$F$2:$F$201)</f>
        <v>Ahmedabad</v>
      </c>
      <c r="Q150">
        <f>_xlfn.XLOOKUP(C150,[1]Customers!$A$2:$A$201,[1]Customers!$D$2:$D$201)</f>
        <v>36</v>
      </c>
      <c r="R150" t="str">
        <f>_xlfn.XLOOKUP([1]Transactions!C150,[1]Customers!$A$2:$A$201,[1]Customers!$C$2:$C$201)</f>
        <v>Female</v>
      </c>
      <c r="S150" t="str">
        <f>_xlfn.XLOOKUP(C150,[1]Customers!$A$2:$A$201,[1]Customers!$B$2:$B$201)</f>
        <v>Customer_6</v>
      </c>
      <c r="T150" t="str">
        <f>_xlfn.XLOOKUP(D150,[1]Products!$A$2:$A$101,[1]Products!$C$2:$C$101)</f>
        <v>Beverages</v>
      </c>
      <c r="U150">
        <f>_xlfn.XLOOKUP(D150,[1]Products!$A$2:$A$101,[1]Products!$E$2:$E$101)</f>
        <v>262</v>
      </c>
      <c r="V150">
        <f>[1]Transactions!F150*[1]Transactions!U150</f>
        <v>262</v>
      </c>
    </row>
    <row r="151" spans="1:22" x14ac:dyDescent="0.3">
      <c r="A151">
        <v>150</v>
      </c>
      <c r="B151">
        <v>117</v>
      </c>
      <c r="C151">
        <v>192</v>
      </c>
      <c r="D151">
        <v>4</v>
      </c>
      <c r="E151">
        <v>11</v>
      </c>
      <c r="F151">
        <v>4</v>
      </c>
      <c r="G151">
        <v>336</v>
      </c>
      <c r="H151">
        <v>1344</v>
      </c>
      <c r="I151">
        <v>19</v>
      </c>
      <c r="J151">
        <f>[1]Transactions!F151*[1]Transactions!G151</f>
        <v>1344</v>
      </c>
      <c r="K151">
        <f>_xlfn.XLOOKUP([1]Transactions!D151,[1]Inventory!$C$2:$C$501,[1]Inventory!$A$2:$A$501)</f>
        <v>130</v>
      </c>
      <c r="L151">
        <f>_xlfn.XLOOKUP(K151,[1]Inventory!$A$2:$A$501,[1]Inventory!$D$2:$D$501)</f>
        <v>14</v>
      </c>
      <c r="M151">
        <f>_xlfn.XLOOKUP(K151,[1]Inventory!$A$2:$A$501,[1]Inventory!$E$2:$E$501)</f>
        <v>97</v>
      </c>
      <c r="N151" t="str">
        <f>_xlfn.XLOOKUP([1]Transactions!C151,[1]Customers!$A$2:$A$201,[1]Customers!$G$2:$G$201)</f>
        <v>Rajasthan</v>
      </c>
      <c r="O151" t="str">
        <f>_xlfn.XLOOKUP(C151,[1]Customers!$A$2:$A$201,[1]Customers!$H$2:$H$201)</f>
        <v>North</v>
      </c>
      <c r="P151" t="str">
        <f>_xlfn.XLOOKUP(C151,[1]Customers!$A$2:$A$201,[1]Customers!$F$2:$F$201)</f>
        <v>Jaipur</v>
      </c>
      <c r="Q151">
        <f>_xlfn.XLOOKUP(C151,[1]Customers!$A$2:$A$201,[1]Customers!$D$2:$D$201)</f>
        <v>31</v>
      </c>
      <c r="R151" t="str">
        <f>_xlfn.XLOOKUP([1]Transactions!C151,[1]Customers!$A$2:$A$201,[1]Customers!$C$2:$C$201)</f>
        <v>Female</v>
      </c>
      <c r="S151" t="str">
        <f>_xlfn.XLOOKUP(C151,[1]Customers!$A$2:$A$201,[1]Customers!$B$2:$B$201)</f>
        <v>Customer_192</v>
      </c>
      <c r="T151" t="str">
        <f>_xlfn.XLOOKUP(D151,[1]Products!$A$2:$A$101,[1]Products!$C$2:$C$101)</f>
        <v>Grocery</v>
      </c>
      <c r="U151">
        <f>_xlfn.XLOOKUP(D151,[1]Products!$A$2:$A$101,[1]Products!$E$2:$E$101)</f>
        <v>459</v>
      </c>
      <c r="V151">
        <f>[1]Transactions!F151*[1]Transactions!U151</f>
        <v>1836</v>
      </c>
    </row>
    <row r="152" spans="1:22" x14ac:dyDescent="0.3">
      <c r="A152">
        <v>151</v>
      </c>
      <c r="B152">
        <v>17</v>
      </c>
      <c r="C152">
        <v>19</v>
      </c>
      <c r="D152">
        <v>72</v>
      </c>
      <c r="E152">
        <v>21</v>
      </c>
      <c r="F152">
        <v>2</v>
      </c>
      <c r="G152">
        <v>396</v>
      </c>
      <c r="H152">
        <v>792</v>
      </c>
      <c r="I152">
        <v>38</v>
      </c>
      <c r="J152">
        <f>[1]Transactions!F152*[1]Transactions!G152</f>
        <v>792</v>
      </c>
      <c r="K152">
        <f>_xlfn.XLOOKUP([1]Transactions!D152,[1]Inventory!$C$2:$C$501,[1]Inventory!$A$2:$A$501)</f>
        <v>236</v>
      </c>
      <c r="L152">
        <f>_xlfn.XLOOKUP(K152,[1]Inventory!$A$2:$A$501,[1]Inventory!$D$2:$D$501)</f>
        <v>36</v>
      </c>
      <c r="M152">
        <f>_xlfn.XLOOKUP(K152,[1]Inventory!$A$2:$A$501,[1]Inventory!$E$2:$E$501)</f>
        <v>159</v>
      </c>
      <c r="N152" t="str">
        <f>_xlfn.XLOOKUP([1]Transactions!C152,[1]Customers!$A$2:$A$201,[1]Customers!$G$2:$G$201)</f>
        <v>Maharashtra</v>
      </c>
      <c r="O152" t="str">
        <f>_xlfn.XLOOKUP(C152,[1]Customers!$A$2:$A$201,[1]Customers!$H$2:$H$201)</f>
        <v>West</v>
      </c>
      <c r="P152" t="str">
        <f>_xlfn.XLOOKUP(C152,[1]Customers!$A$2:$A$201,[1]Customers!$F$2:$F$201)</f>
        <v>Pune</v>
      </c>
      <c r="Q152">
        <f>_xlfn.XLOOKUP(C152,[1]Customers!$A$2:$A$201,[1]Customers!$D$2:$D$201)</f>
        <v>39</v>
      </c>
      <c r="R152" t="str">
        <f>_xlfn.XLOOKUP([1]Transactions!C152,[1]Customers!$A$2:$A$201,[1]Customers!$C$2:$C$201)</f>
        <v>Female</v>
      </c>
      <c r="S152" t="str">
        <f>_xlfn.XLOOKUP(C152,[1]Customers!$A$2:$A$201,[1]Customers!$B$2:$B$201)</f>
        <v>Customer_19</v>
      </c>
      <c r="T152" t="str">
        <f>_xlfn.XLOOKUP(D152,[1]Products!$A$2:$A$101,[1]Products!$C$2:$C$101)</f>
        <v>Beverages</v>
      </c>
      <c r="U152">
        <f>_xlfn.XLOOKUP(D152,[1]Products!$A$2:$A$101,[1]Products!$E$2:$E$101)</f>
        <v>465</v>
      </c>
      <c r="V152">
        <f>[1]Transactions!F152*[1]Transactions!U152</f>
        <v>930</v>
      </c>
    </row>
    <row r="153" spans="1:22" x14ac:dyDescent="0.3">
      <c r="A153">
        <v>152</v>
      </c>
      <c r="B153">
        <v>116</v>
      </c>
      <c r="C153">
        <v>191</v>
      </c>
      <c r="D153">
        <v>65</v>
      </c>
      <c r="E153">
        <v>6</v>
      </c>
      <c r="F153">
        <v>3</v>
      </c>
      <c r="G153">
        <v>115</v>
      </c>
      <c r="H153">
        <v>345</v>
      </c>
      <c r="I153">
        <v>17</v>
      </c>
      <c r="J153">
        <f>[1]Transactions!F153*[1]Transactions!G153</f>
        <v>345</v>
      </c>
      <c r="K153">
        <f>_xlfn.XLOOKUP([1]Transactions!D153,[1]Inventory!$C$2:$C$501,[1]Inventory!$A$2:$A$501)</f>
        <v>175</v>
      </c>
      <c r="L153">
        <f>_xlfn.XLOOKUP(K153,[1]Inventory!$A$2:$A$501,[1]Inventory!$D$2:$D$501)</f>
        <v>111</v>
      </c>
      <c r="M153">
        <f>_xlfn.XLOOKUP(K153,[1]Inventory!$A$2:$A$501,[1]Inventory!$E$2:$E$501)</f>
        <v>27</v>
      </c>
      <c r="N153" t="str">
        <f>_xlfn.XLOOKUP([1]Transactions!C153,[1]Customers!$A$2:$A$201,[1]Customers!$G$2:$G$201)</f>
        <v>Karnataka</v>
      </c>
      <c r="O153" t="str">
        <f>_xlfn.XLOOKUP(C153,[1]Customers!$A$2:$A$201,[1]Customers!$H$2:$H$201)</f>
        <v>South</v>
      </c>
      <c r="P153" t="str">
        <f>_xlfn.XLOOKUP(C153,[1]Customers!$A$2:$A$201,[1]Customers!$F$2:$F$201)</f>
        <v>Bangalore</v>
      </c>
      <c r="Q153">
        <f>_xlfn.XLOOKUP(C153,[1]Customers!$A$2:$A$201,[1]Customers!$D$2:$D$201)</f>
        <v>18</v>
      </c>
      <c r="R153" t="str">
        <f>_xlfn.XLOOKUP([1]Transactions!C153,[1]Customers!$A$2:$A$201,[1]Customers!$C$2:$C$201)</f>
        <v>Female</v>
      </c>
      <c r="S153" t="str">
        <f>_xlfn.XLOOKUP(C153,[1]Customers!$A$2:$A$201,[1]Customers!$B$2:$B$201)</f>
        <v>Customer_191</v>
      </c>
      <c r="T153" t="str">
        <f>_xlfn.XLOOKUP(D153,[1]Products!$A$2:$A$101,[1]Products!$C$2:$C$101)</f>
        <v>Snacks</v>
      </c>
      <c r="U153">
        <f>_xlfn.XLOOKUP(D153,[1]Products!$A$2:$A$101,[1]Products!$E$2:$E$101)</f>
        <v>309</v>
      </c>
      <c r="V153">
        <f>[1]Transactions!F153*[1]Transactions!U153</f>
        <v>927</v>
      </c>
    </row>
    <row r="154" spans="1:22" x14ac:dyDescent="0.3">
      <c r="A154">
        <v>153</v>
      </c>
      <c r="B154">
        <v>107</v>
      </c>
      <c r="C154">
        <v>126</v>
      </c>
      <c r="D154">
        <v>65</v>
      </c>
      <c r="E154">
        <v>39</v>
      </c>
      <c r="F154">
        <v>5</v>
      </c>
      <c r="G154">
        <v>71</v>
      </c>
      <c r="H154">
        <v>355</v>
      </c>
      <c r="I154">
        <v>18</v>
      </c>
      <c r="J154">
        <f>[1]Transactions!F154*[1]Transactions!G154</f>
        <v>355</v>
      </c>
      <c r="K154">
        <f>_xlfn.XLOOKUP([1]Transactions!D154,[1]Inventory!$C$2:$C$501,[1]Inventory!$A$2:$A$501)</f>
        <v>175</v>
      </c>
      <c r="L154">
        <f>_xlfn.XLOOKUP(K154,[1]Inventory!$A$2:$A$501,[1]Inventory!$D$2:$D$501)</f>
        <v>111</v>
      </c>
      <c r="M154">
        <f>_xlfn.XLOOKUP(K154,[1]Inventory!$A$2:$A$501,[1]Inventory!$E$2:$E$501)</f>
        <v>27</v>
      </c>
      <c r="N154" t="str">
        <f>_xlfn.XLOOKUP([1]Transactions!C154,[1]Customers!$A$2:$A$201,[1]Customers!$G$2:$G$201)</f>
        <v>Tamil Nadu</v>
      </c>
      <c r="O154" t="str">
        <f>_xlfn.XLOOKUP(C154,[1]Customers!$A$2:$A$201,[1]Customers!$H$2:$H$201)</f>
        <v>South</v>
      </c>
      <c r="P154" t="str">
        <f>_xlfn.XLOOKUP(C154,[1]Customers!$A$2:$A$201,[1]Customers!$F$2:$F$201)</f>
        <v>Chennai</v>
      </c>
      <c r="Q154">
        <f>_xlfn.XLOOKUP(C154,[1]Customers!$A$2:$A$201,[1]Customers!$D$2:$D$201)</f>
        <v>52</v>
      </c>
      <c r="R154" t="str">
        <f>_xlfn.XLOOKUP([1]Transactions!C154,[1]Customers!$A$2:$A$201,[1]Customers!$C$2:$C$201)</f>
        <v>Female</v>
      </c>
      <c r="S154" t="str">
        <f>_xlfn.XLOOKUP(C154,[1]Customers!$A$2:$A$201,[1]Customers!$B$2:$B$201)</f>
        <v>Customer_126</v>
      </c>
      <c r="T154" t="str">
        <f>_xlfn.XLOOKUP(D154,[1]Products!$A$2:$A$101,[1]Products!$C$2:$C$101)</f>
        <v>Snacks</v>
      </c>
      <c r="U154">
        <f>_xlfn.XLOOKUP(D154,[1]Products!$A$2:$A$101,[1]Products!$E$2:$E$101)</f>
        <v>309</v>
      </c>
      <c r="V154">
        <f>[1]Transactions!F154*[1]Transactions!U154</f>
        <v>1545</v>
      </c>
    </row>
    <row r="155" spans="1:22" x14ac:dyDescent="0.3">
      <c r="A155">
        <v>154</v>
      </c>
      <c r="B155">
        <v>169</v>
      </c>
      <c r="C155">
        <v>77</v>
      </c>
      <c r="D155">
        <v>96</v>
      </c>
      <c r="E155">
        <v>49</v>
      </c>
      <c r="F155">
        <v>3</v>
      </c>
      <c r="G155">
        <v>129</v>
      </c>
      <c r="H155">
        <v>387</v>
      </c>
      <c r="I155">
        <v>23</v>
      </c>
      <c r="J155">
        <f>[1]Transactions!F155*[1]Transactions!G155</f>
        <v>387</v>
      </c>
      <c r="K155">
        <f>_xlfn.XLOOKUP([1]Transactions!D155,[1]Inventory!$C$2:$C$501,[1]Inventory!$A$2:$A$501)</f>
        <v>25</v>
      </c>
      <c r="L155">
        <f>_xlfn.XLOOKUP(K155,[1]Inventory!$A$2:$A$501,[1]Inventory!$D$2:$D$501)</f>
        <v>17</v>
      </c>
      <c r="M155">
        <f>_xlfn.XLOOKUP(K155,[1]Inventory!$A$2:$A$501,[1]Inventory!$E$2:$E$501)</f>
        <v>75</v>
      </c>
      <c r="N155" t="str">
        <f>_xlfn.XLOOKUP([1]Transactions!C155,[1]Customers!$A$2:$A$201,[1]Customers!$G$2:$G$201)</f>
        <v>Maharashtra</v>
      </c>
      <c r="O155" t="str">
        <f>_xlfn.XLOOKUP(C155,[1]Customers!$A$2:$A$201,[1]Customers!$H$2:$H$201)</f>
        <v>West</v>
      </c>
      <c r="P155" t="str">
        <f>_xlfn.XLOOKUP(C155,[1]Customers!$A$2:$A$201,[1]Customers!$F$2:$F$201)</f>
        <v>Mumbai</v>
      </c>
      <c r="Q155">
        <f>_xlfn.XLOOKUP(C155,[1]Customers!$A$2:$A$201,[1]Customers!$D$2:$D$201)</f>
        <v>25</v>
      </c>
      <c r="R155" t="str">
        <f>_xlfn.XLOOKUP([1]Transactions!C155,[1]Customers!$A$2:$A$201,[1]Customers!$C$2:$C$201)</f>
        <v>Female</v>
      </c>
      <c r="S155" t="str">
        <f>_xlfn.XLOOKUP(C155,[1]Customers!$A$2:$A$201,[1]Customers!$B$2:$B$201)</f>
        <v>Customer_77</v>
      </c>
      <c r="T155" t="str">
        <f>_xlfn.XLOOKUP(D155,[1]Products!$A$2:$A$101,[1]Products!$C$2:$C$101)</f>
        <v>Dairy</v>
      </c>
      <c r="U155">
        <f>_xlfn.XLOOKUP(D155,[1]Products!$A$2:$A$101,[1]Products!$E$2:$E$101)</f>
        <v>150</v>
      </c>
      <c r="V155">
        <f>[1]Transactions!F155*[1]Transactions!U155</f>
        <v>450</v>
      </c>
    </row>
    <row r="156" spans="1:22" x14ac:dyDescent="0.3">
      <c r="A156">
        <v>155</v>
      </c>
      <c r="B156">
        <v>146</v>
      </c>
      <c r="C156">
        <v>174</v>
      </c>
      <c r="D156">
        <v>61</v>
      </c>
      <c r="E156">
        <v>22</v>
      </c>
      <c r="F156">
        <v>4</v>
      </c>
      <c r="G156">
        <v>89</v>
      </c>
      <c r="H156">
        <v>356</v>
      </c>
      <c r="I156">
        <v>32</v>
      </c>
      <c r="J156">
        <f>[1]Transactions!F156*[1]Transactions!G156</f>
        <v>356</v>
      </c>
      <c r="K156">
        <f>_xlfn.XLOOKUP([1]Transactions!D156,[1]Inventory!$C$2:$C$501,[1]Inventory!$A$2:$A$501)</f>
        <v>92</v>
      </c>
      <c r="L156">
        <f>_xlfn.XLOOKUP(K156,[1]Inventory!$A$2:$A$501,[1]Inventory!$D$2:$D$501)</f>
        <v>48</v>
      </c>
      <c r="M156">
        <f>_xlfn.XLOOKUP(K156,[1]Inventory!$A$2:$A$501,[1]Inventory!$E$2:$E$501)</f>
        <v>23</v>
      </c>
      <c r="N156" t="str">
        <f>_xlfn.XLOOKUP([1]Transactions!C156,[1]Customers!$A$2:$A$201,[1]Customers!$G$2:$G$201)</f>
        <v>UP</v>
      </c>
      <c r="O156" t="str">
        <f>_xlfn.XLOOKUP(C156,[1]Customers!$A$2:$A$201,[1]Customers!$H$2:$H$201)</f>
        <v>North</v>
      </c>
      <c r="P156" t="str">
        <f>_xlfn.XLOOKUP(C156,[1]Customers!$A$2:$A$201,[1]Customers!$F$2:$F$201)</f>
        <v>Lucknow</v>
      </c>
      <c r="Q156">
        <f>_xlfn.XLOOKUP(C156,[1]Customers!$A$2:$A$201,[1]Customers!$D$2:$D$201)</f>
        <v>59</v>
      </c>
      <c r="R156" t="str">
        <f>_xlfn.XLOOKUP([1]Transactions!C156,[1]Customers!$A$2:$A$201,[1]Customers!$C$2:$C$201)</f>
        <v>Male</v>
      </c>
      <c r="S156" t="str">
        <f>_xlfn.XLOOKUP(C156,[1]Customers!$A$2:$A$201,[1]Customers!$B$2:$B$201)</f>
        <v>Customer_174</v>
      </c>
      <c r="T156" t="str">
        <f>_xlfn.XLOOKUP(D156,[1]Products!$A$2:$A$101,[1]Products!$C$2:$C$101)</f>
        <v>Beverages</v>
      </c>
      <c r="U156">
        <f>_xlfn.XLOOKUP(D156,[1]Products!$A$2:$A$101,[1]Products!$E$2:$E$101)</f>
        <v>360</v>
      </c>
      <c r="V156">
        <f>[1]Transactions!F156*[1]Transactions!U156</f>
        <v>1440</v>
      </c>
    </row>
    <row r="157" spans="1:22" x14ac:dyDescent="0.3">
      <c r="A157">
        <v>156</v>
      </c>
      <c r="B157">
        <v>75</v>
      </c>
      <c r="C157">
        <v>157</v>
      </c>
      <c r="D157">
        <v>58</v>
      </c>
      <c r="E157">
        <v>9</v>
      </c>
      <c r="F157">
        <v>1</v>
      </c>
      <c r="G157">
        <v>41</v>
      </c>
      <c r="H157">
        <v>41</v>
      </c>
      <c r="I157">
        <v>16</v>
      </c>
      <c r="J157">
        <f>[1]Transactions!F157*[1]Transactions!G157</f>
        <v>41</v>
      </c>
      <c r="K157">
        <f>_xlfn.XLOOKUP([1]Transactions!D157,[1]Inventory!$C$2:$C$501,[1]Inventory!$A$2:$A$501)</f>
        <v>382</v>
      </c>
      <c r="L157">
        <f>_xlfn.XLOOKUP(K157,[1]Inventory!$A$2:$A$501,[1]Inventory!$D$2:$D$501)</f>
        <v>113</v>
      </c>
      <c r="M157">
        <f>_xlfn.XLOOKUP(K157,[1]Inventory!$A$2:$A$501,[1]Inventory!$E$2:$E$501)</f>
        <v>1</v>
      </c>
      <c r="N157" t="str">
        <f>_xlfn.XLOOKUP([1]Transactions!C157,[1]Customers!$A$2:$A$201,[1]Customers!$G$2:$G$201)</f>
        <v>Tamil Nadu</v>
      </c>
      <c r="O157" t="str">
        <f>_xlfn.XLOOKUP(C157,[1]Customers!$A$2:$A$201,[1]Customers!$H$2:$H$201)</f>
        <v>South</v>
      </c>
      <c r="P157" t="str">
        <f>_xlfn.XLOOKUP(C157,[1]Customers!$A$2:$A$201,[1]Customers!$F$2:$F$201)</f>
        <v>Chennai</v>
      </c>
      <c r="Q157">
        <f>_xlfn.XLOOKUP(C157,[1]Customers!$A$2:$A$201,[1]Customers!$D$2:$D$201)</f>
        <v>30</v>
      </c>
      <c r="R157" t="str">
        <f>_xlfn.XLOOKUP([1]Transactions!C157,[1]Customers!$A$2:$A$201,[1]Customers!$C$2:$C$201)</f>
        <v>Female</v>
      </c>
      <c r="S157" t="str">
        <f>_xlfn.XLOOKUP(C157,[1]Customers!$A$2:$A$201,[1]Customers!$B$2:$B$201)</f>
        <v>Customer_157</v>
      </c>
      <c r="T157" t="str">
        <f>_xlfn.XLOOKUP(D157,[1]Products!$A$2:$A$101,[1]Products!$C$2:$C$101)</f>
        <v>Beverages</v>
      </c>
      <c r="U157">
        <f>_xlfn.XLOOKUP(D157,[1]Products!$A$2:$A$101,[1]Products!$E$2:$E$101)</f>
        <v>426</v>
      </c>
      <c r="V157">
        <f>[1]Transactions!F157*[1]Transactions!U157</f>
        <v>426</v>
      </c>
    </row>
    <row r="158" spans="1:22" x14ac:dyDescent="0.3">
      <c r="A158">
        <v>157</v>
      </c>
      <c r="B158">
        <v>118</v>
      </c>
      <c r="C158">
        <v>74</v>
      </c>
      <c r="D158">
        <v>97</v>
      </c>
      <c r="E158">
        <v>38</v>
      </c>
      <c r="F158">
        <v>1</v>
      </c>
      <c r="G158">
        <v>192</v>
      </c>
      <c r="H158">
        <v>192</v>
      </c>
      <c r="I158">
        <v>49</v>
      </c>
      <c r="J158">
        <f>[1]Transactions!F158*[1]Transactions!G158</f>
        <v>192</v>
      </c>
      <c r="K158">
        <f>_xlfn.XLOOKUP([1]Transactions!D158,[1]Inventory!$C$2:$C$501,[1]Inventory!$A$2:$A$501)</f>
        <v>5</v>
      </c>
      <c r="L158">
        <f>_xlfn.XLOOKUP(K158,[1]Inventory!$A$2:$A$501,[1]Inventory!$D$2:$D$501)</f>
        <v>362</v>
      </c>
      <c r="M158">
        <f>_xlfn.XLOOKUP(K158,[1]Inventory!$A$2:$A$501,[1]Inventory!$E$2:$E$501)</f>
        <v>61</v>
      </c>
      <c r="N158" t="str">
        <f>_xlfn.XLOOKUP([1]Transactions!C158,[1]Customers!$A$2:$A$201,[1]Customers!$G$2:$G$201)</f>
        <v>Karnataka</v>
      </c>
      <c r="O158" t="str">
        <f>_xlfn.XLOOKUP(C158,[1]Customers!$A$2:$A$201,[1]Customers!$H$2:$H$201)</f>
        <v>South</v>
      </c>
      <c r="P158" t="str">
        <f>_xlfn.XLOOKUP(C158,[1]Customers!$A$2:$A$201,[1]Customers!$F$2:$F$201)</f>
        <v>Bangalore</v>
      </c>
      <c r="Q158">
        <f>_xlfn.XLOOKUP(C158,[1]Customers!$A$2:$A$201,[1]Customers!$D$2:$D$201)</f>
        <v>22</v>
      </c>
      <c r="R158" t="str">
        <f>_xlfn.XLOOKUP([1]Transactions!C158,[1]Customers!$A$2:$A$201,[1]Customers!$C$2:$C$201)</f>
        <v>Male</v>
      </c>
      <c r="S158" t="str">
        <f>_xlfn.XLOOKUP(C158,[1]Customers!$A$2:$A$201,[1]Customers!$B$2:$B$201)</f>
        <v>Customer_74</v>
      </c>
      <c r="T158" t="str">
        <f>_xlfn.XLOOKUP(D158,[1]Products!$A$2:$A$101,[1]Products!$C$2:$C$101)</f>
        <v>Grocery</v>
      </c>
      <c r="U158">
        <f>_xlfn.XLOOKUP(D158,[1]Products!$A$2:$A$101,[1]Products!$E$2:$E$101)</f>
        <v>419</v>
      </c>
      <c r="V158">
        <f>[1]Transactions!F158*[1]Transactions!U158</f>
        <v>419</v>
      </c>
    </row>
    <row r="159" spans="1:22" x14ac:dyDescent="0.3">
      <c r="A159">
        <v>158</v>
      </c>
      <c r="B159">
        <v>97</v>
      </c>
      <c r="C159">
        <v>28</v>
      </c>
      <c r="D159">
        <v>39</v>
      </c>
      <c r="E159">
        <v>16</v>
      </c>
      <c r="F159">
        <v>3</v>
      </c>
      <c r="G159">
        <v>409</v>
      </c>
      <c r="H159">
        <v>1227</v>
      </c>
      <c r="I159">
        <v>27</v>
      </c>
      <c r="J159">
        <f>[1]Transactions!F159*[1]Transactions!G159</f>
        <v>1227</v>
      </c>
      <c r="K159">
        <f>_xlfn.XLOOKUP([1]Transactions!D159,[1]Inventory!$C$2:$C$501,[1]Inventory!$A$2:$A$501)</f>
        <v>122</v>
      </c>
      <c r="L159">
        <f>_xlfn.XLOOKUP(K159,[1]Inventory!$A$2:$A$501,[1]Inventory!$D$2:$D$501)</f>
        <v>220</v>
      </c>
      <c r="M159">
        <f>_xlfn.XLOOKUP(K159,[1]Inventory!$A$2:$A$501,[1]Inventory!$E$2:$E$501)</f>
        <v>113</v>
      </c>
      <c r="N159" t="str">
        <f>_xlfn.XLOOKUP([1]Transactions!C159,[1]Customers!$A$2:$A$201,[1]Customers!$G$2:$G$201)</f>
        <v>Delhi</v>
      </c>
      <c r="O159" t="str">
        <f>_xlfn.XLOOKUP(C159,[1]Customers!$A$2:$A$201,[1]Customers!$H$2:$H$201)</f>
        <v>North</v>
      </c>
      <c r="P159" t="str">
        <f>_xlfn.XLOOKUP(C159,[1]Customers!$A$2:$A$201,[1]Customers!$F$2:$F$201)</f>
        <v>Delhi</v>
      </c>
      <c r="Q159">
        <f>_xlfn.XLOOKUP(C159,[1]Customers!$A$2:$A$201,[1]Customers!$D$2:$D$201)</f>
        <v>31</v>
      </c>
      <c r="R159" t="str">
        <f>_xlfn.XLOOKUP([1]Transactions!C159,[1]Customers!$A$2:$A$201,[1]Customers!$C$2:$C$201)</f>
        <v>Female</v>
      </c>
      <c r="S159" t="str">
        <f>_xlfn.XLOOKUP(C159,[1]Customers!$A$2:$A$201,[1]Customers!$B$2:$B$201)</f>
        <v>Customer_28</v>
      </c>
      <c r="T159" t="str">
        <f>_xlfn.XLOOKUP(D159,[1]Products!$A$2:$A$101,[1]Products!$C$2:$C$101)</f>
        <v>Grocery</v>
      </c>
      <c r="U159">
        <f>_xlfn.XLOOKUP(D159,[1]Products!$A$2:$A$101,[1]Products!$E$2:$E$101)</f>
        <v>50</v>
      </c>
      <c r="V159">
        <f>[1]Transactions!F159*[1]Transactions!U159</f>
        <v>150</v>
      </c>
    </row>
    <row r="160" spans="1:22" x14ac:dyDescent="0.3">
      <c r="A160">
        <v>159</v>
      </c>
      <c r="B160">
        <v>118</v>
      </c>
      <c r="C160">
        <v>74</v>
      </c>
      <c r="D160">
        <v>72</v>
      </c>
      <c r="E160">
        <v>25</v>
      </c>
      <c r="F160">
        <v>3</v>
      </c>
      <c r="G160">
        <v>135</v>
      </c>
      <c r="H160">
        <v>405</v>
      </c>
      <c r="I160">
        <v>17</v>
      </c>
      <c r="J160">
        <f>[1]Transactions!F160*[1]Transactions!G160</f>
        <v>405</v>
      </c>
      <c r="K160">
        <f>_xlfn.XLOOKUP([1]Transactions!D160,[1]Inventory!$C$2:$C$501,[1]Inventory!$A$2:$A$501)</f>
        <v>236</v>
      </c>
      <c r="L160">
        <f>_xlfn.XLOOKUP(K160,[1]Inventory!$A$2:$A$501,[1]Inventory!$D$2:$D$501)</f>
        <v>36</v>
      </c>
      <c r="M160">
        <f>_xlfn.XLOOKUP(K160,[1]Inventory!$A$2:$A$501,[1]Inventory!$E$2:$E$501)</f>
        <v>159</v>
      </c>
      <c r="N160" t="str">
        <f>_xlfn.XLOOKUP([1]Transactions!C160,[1]Customers!$A$2:$A$201,[1]Customers!$G$2:$G$201)</f>
        <v>Karnataka</v>
      </c>
      <c r="O160" t="str">
        <f>_xlfn.XLOOKUP(C160,[1]Customers!$A$2:$A$201,[1]Customers!$H$2:$H$201)</f>
        <v>South</v>
      </c>
      <c r="P160" t="str">
        <f>_xlfn.XLOOKUP(C160,[1]Customers!$A$2:$A$201,[1]Customers!$F$2:$F$201)</f>
        <v>Bangalore</v>
      </c>
      <c r="Q160">
        <f>_xlfn.XLOOKUP(C160,[1]Customers!$A$2:$A$201,[1]Customers!$D$2:$D$201)</f>
        <v>22</v>
      </c>
      <c r="R160" t="str">
        <f>_xlfn.XLOOKUP([1]Transactions!C160,[1]Customers!$A$2:$A$201,[1]Customers!$C$2:$C$201)</f>
        <v>Male</v>
      </c>
      <c r="S160" t="str">
        <f>_xlfn.XLOOKUP(C160,[1]Customers!$A$2:$A$201,[1]Customers!$B$2:$B$201)</f>
        <v>Customer_74</v>
      </c>
      <c r="T160" t="str">
        <f>_xlfn.XLOOKUP(D160,[1]Products!$A$2:$A$101,[1]Products!$C$2:$C$101)</f>
        <v>Beverages</v>
      </c>
      <c r="U160">
        <f>_xlfn.XLOOKUP(D160,[1]Products!$A$2:$A$101,[1]Products!$E$2:$E$101)</f>
        <v>465</v>
      </c>
      <c r="V160">
        <f>[1]Transactions!F160*[1]Transactions!U160</f>
        <v>1395</v>
      </c>
    </row>
    <row r="161" spans="1:22" x14ac:dyDescent="0.3">
      <c r="A161">
        <v>160</v>
      </c>
      <c r="B161">
        <v>175</v>
      </c>
      <c r="C161">
        <v>32</v>
      </c>
      <c r="D161">
        <v>54</v>
      </c>
      <c r="E161">
        <v>34</v>
      </c>
      <c r="F161">
        <v>2</v>
      </c>
      <c r="G161">
        <v>412</v>
      </c>
      <c r="H161">
        <v>824</v>
      </c>
      <c r="I161">
        <v>42</v>
      </c>
      <c r="J161">
        <f>[1]Transactions!F161*[1]Transactions!G161</f>
        <v>824</v>
      </c>
      <c r="K161">
        <f>_xlfn.XLOOKUP([1]Transactions!D161,[1]Inventory!$C$2:$C$501,[1]Inventory!$A$2:$A$501)</f>
        <v>21</v>
      </c>
      <c r="L161">
        <f>_xlfn.XLOOKUP(K161,[1]Inventory!$A$2:$A$501,[1]Inventory!$D$2:$D$501)</f>
        <v>124</v>
      </c>
      <c r="M161">
        <f>_xlfn.XLOOKUP(K161,[1]Inventory!$A$2:$A$501,[1]Inventory!$E$2:$E$501)</f>
        <v>101</v>
      </c>
      <c r="N161" t="str">
        <f>_xlfn.XLOOKUP([1]Transactions!C161,[1]Customers!$A$2:$A$201,[1]Customers!$G$2:$G$201)</f>
        <v>Gujarat</v>
      </c>
      <c r="O161" t="str">
        <f>_xlfn.XLOOKUP(C161,[1]Customers!$A$2:$A$201,[1]Customers!$H$2:$H$201)</f>
        <v>West</v>
      </c>
      <c r="P161" t="str">
        <f>_xlfn.XLOOKUP(C161,[1]Customers!$A$2:$A$201,[1]Customers!$F$2:$F$201)</f>
        <v>Ahmedabad</v>
      </c>
      <c r="Q161">
        <f>_xlfn.XLOOKUP(C161,[1]Customers!$A$2:$A$201,[1]Customers!$D$2:$D$201)</f>
        <v>46</v>
      </c>
      <c r="R161" t="str">
        <f>_xlfn.XLOOKUP([1]Transactions!C161,[1]Customers!$A$2:$A$201,[1]Customers!$C$2:$C$201)</f>
        <v>Male</v>
      </c>
      <c r="S161" t="str">
        <f>_xlfn.XLOOKUP(C161,[1]Customers!$A$2:$A$201,[1]Customers!$B$2:$B$201)</f>
        <v>Customer_32</v>
      </c>
      <c r="T161" t="str">
        <f>_xlfn.XLOOKUP(D161,[1]Products!$A$2:$A$101,[1]Products!$C$2:$C$101)</f>
        <v>Beverages</v>
      </c>
      <c r="U161">
        <f>_xlfn.XLOOKUP(D161,[1]Products!$A$2:$A$101,[1]Products!$E$2:$E$101)</f>
        <v>426</v>
      </c>
      <c r="V161">
        <f>[1]Transactions!F161*[1]Transactions!U161</f>
        <v>852</v>
      </c>
    </row>
    <row r="162" spans="1:22" x14ac:dyDescent="0.3">
      <c r="A162">
        <v>161</v>
      </c>
      <c r="B162">
        <v>77</v>
      </c>
      <c r="C162">
        <v>50</v>
      </c>
      <c r="D162">
        <v>82</v>
      </c>
      <c r="E162">
        <v>38</v>
      </c>
      <c r="F162">
        <v>5</v>
      </c>
      <c r="G162">
        <v>320</v>
      </c>
      <c r="H162">
        <v>1600</v>
      </c>
      <c r="I162">
        <v>59</v>
      </c>
      <c r="J162">
        <f>[1]Transactions!F162*[1]Transactions!G162</f>
        <v>1600</v>
      </c>
      <c r="K162">
        <f>_xlfn.XLOOKUP([1]Transactions!D162,[1]Inventory!$C$2:$C$501,[1]Inventory!$A$2:$A$501)</f>
        <v>291</v>
      </c>
      <c r="L162">
        <f>_xlfn.XLOOKUP(K162,[1]Inventory!$A$2:$A$501,[1]Inventory!$D$2:$D$501)</f>
        <v>179</v>
      </c>
      <c r="M162">
        <f>_xlfn.XLOOKUP(K162,[1]Inventory!$A$2:$A$501,[1]Inventory!$E$2:$E$501)</f>
        <v>60</v>
      </c>
      <c r="N162" t="str">
        <f>_xlfn.XLOOKUP([1]Transactions!C162,[1]Customers!$A$2:$A$201,[1]Customers!$G$2:$G$201)</f>
        <v>West Bengal</v>
      </c>
      <c r="O162" t="str">
        <f>_xlfn.XLOOKUP(C162,[1]Customers!$A$2:$A$201,[1]Customers!$H$2:$H$201)</f>
        <v>East</v>
      </c>
      <c r="P162" t="str">
        <f>_xlfn.XLOOKUP(C162,[1]Customers!$A$2:$A$201,[1]Customers!$F$2:$F$201)</f>
        <v>Kolkata</v>
      </c>
      <c r="Q162">
        <f>_xlfn.XLOOKUP(C162,[1]Customers!$A$2:$A$201,[1]Customers!$D$2:$D$201)</f>
        <v>40</v>
      </c>
      <c r="R162" t="str">
        <f>_xlfn.XLOOKUP([1]Transactions!C162,[1]Customers!$A$2:$A$201,[1]Customers!$C$2:$C$201)</f>
        <v>Female</v>
      </c>
      <c r="S162" t="str">
        <f>_xlfn.XLOOKUP(C162,[1]Customers!$A$2:$A$201,[1]Customers!$B$2:$B$201)</f>
        <v>Customer_50</v>
      </c>
      <c r="T162" t="str">
        <f>_xlfn.XLOOKUP(D162,[1]Products!$A$2:$A$101,[1]Products!$C$2:$C$101)</f>
        <v>Grocery</v>
      </c>
      <c r="U162">
        <f>_xlfn.XLOOKUP(D162,[1]Products!$A$2:$A$101,[1]Products!$E$2:$E$101)</f>
        <v>358</v>
      </c>
      <c r="V162">
        <f>[1]Transactions!F162*[1]Transactions!U162</f>
        <v>1790</v>
      </c>
    </row>
    <row r="163" spans="1:22" x14ac:dyDescent="0.3">
      <c r="A163">
        <v>162</v>
      </c>
      <c r="B163">
        <v>167</v>
      </c>
      <c r="C163">
        <v>200</v>
      </c>
      <c r="D163">
        <v>23</v>
      </c>
      <c r="E163">
        <v>50</v>
      </c>
      <c r="F163">
        <v>2</v>
      </c>
      <c r="G163">
        <v>431</v>
      </c>
      <c r="H163">
        <v>862</v>
      </c>
      <c r="I163">
        <v>58</v>
      </c>
      <c r="J163">
        <f>[1]Transactions!F163*[1]Transactions!G163</f>
        <v>862</v>
      </c>
      <c r="K163">
        <f>_xlfn.XLOOKUP([1]Transactions!D163,[1]Inventory!$C$2:$C$501,[1]Inventory!$A$2:$A$501)</f>
        <v>127</v>
      </c>
      <c r="L163">
        <f>_xlfn.XLOOKUP(K163,[1]Inventory!$A$2:$A$501,[1]Inventory!$D$2:$D$501)</f>
        <v>144</v>
      </c>
      <c r="M163">
        <f>_xlfn.XLOOKUP(K163,[1]Inventory!$A$2:$A$501,[1]Inventory!$E$2:$E$501)</f>
        <v>95</v>
      </c>
      <c r="N163" t="str">
        <f>_xlfn.XLOOKUP([1]Transactions!C163,[1]Customers!$A$2:$A$201,[1]Customers!$G$2:$G$201)</f>
        <v>Maharashtra</v>
      </c>
      <c r="O163" t="str">
        <f>_xlfn.XLOOKUP(C163,[1]Customers!$A$2:$A$201,[1]Customers!$H$2:$H$201)</f>
        <v>West</v>
      </c>
      <c r="P163" t="str">
        <f>_xlfn.XLOOKUP(C163,[1]Customers!$A$2:$A$201,[1]Customers!$F$2:$F$201)</f>
        <v>Mumbai</v>
      </c>
      <c r="Q163">
        <f>_xlfn.XLOOKUP(C163,[1]Customers!$A$2:$A$201,[1]Customers!$D$2:$D$201)</f>
        <v>57</v>
      </c>
      <c r="R163" t="str">
        <f>_xlfn.XLOOKUP([1]Transactions!C163,[1]Customers!$A$2:$A$201,[1]Customers!$C$2:$C$201)</f>
        <v>Female</v>
      </c>
      <c r="S163" t="str">
        <f>_xlfn.XLOOKUP(C163,[1]Customers!$A$2:$A$201,[1]Customers!$B$2:$B$201)</f>
        <v>Customer_200</v>
      </c>
      <c r="T163" t="str">
        <f>_xlfn.XLOOKUP(D163,[1]Products!$A$2:$A$101,[1]Products!$C$2:$C$101)</f>
        <v>Grocery</v>
      </c>
      <c r="U163">
        <f>_xlfn.XLOOKUP(D163,[1]Products!$A$2:$A$101,[1]Products!$E$2:$E$101)</f>
        <v>370</v>
      </c>
      <c r="V163">
        <f>[1]Transactions!F163*[1]Transactions!U163</f>
        <v>740</v>
      </c>
    </row>
    <row r="164" spans="1:22" x14ac:dyDescent="0.3">
      <c r="A164">
        <v>163</v>
      </c>
      <c r="B164">
        <v>70</v>
      </c>
      <c r="C164">
        <v>191</v>
      </c>
      <c r="D164">
        <v>22</v>
      </c>
      <c r="E164">
        <v>12</v>
      </c>
      <c r="F164">
        <v>4</v>
      </c>
      <c r="G164">
        <v>372</v>
      </c>
      <c r="H164">
        <v>1488</v>
      </c>
      <c r="I164">
        <v>57</v>
      </c>
      <c r="J164">
        <f>[1]Transactions!F164*[1]Transactions!G164</f>
        <v>1488</v>
      </c>
      <c r="K164">
        <f>_xlfn.XLOOKUP([1]Transactions!D164,[1]Inventory!$C$2:$C$501,[1]Inventory!$A$2:$A$501)</f>
        <v>9</v>
      </c>
      <c r="L164">
        <f>_xlfn.XLOOKUP(K164,[1]Inventory!$A$2:$A$501,[1]Inventory!$D$2:$D$501)</f>
        <v>177</v>
      </c>
      <c r="M164">
        <f>_xlfn.XLOOKUP(K164,[1]Inventory!$A$2:$A$501,[1]Inventory!$E$2:$E$501)</f>
        <v>107</v>
      </c>
      <c r="N164" t="str">
        <f>_xlfn.XLOOKUP([1]Transactions!C164,[1]Customers!$A$2:$A$201,[1]Customers!$G$2:$G$201)</f>
        <v>Karnataka</v>
      </c>
      <c r="O164" t="str">
        <f>_xlfn.XLOOKUP(C164,[1]Customers!$A$2:$A$201,[1]Customers!$H$2:$H$201)</f>
        <v>South</v>
      </c>
      <c r="P164" t="str">
        <f>_xlfn.XLOOKUP(C164,[1]Customers!$A$2:$A$201,[1]Customers!$F$2:$F$201)</f>
        <v>Bangalore</v>
      </c>
      <c r="Q164">
        <f>_xlfn.XLOOKUP(C164,[1]Customers!$A$2:$A$201,[1]Customers!$D$2:$D$201)</f>
        <v>18</v>
      </c>
      <c r="R164" t="str">
        <f>_xlfn.XLOOKUP([1]Transactions!C164,[1]Customers!$A$2:$A$201,[1]Customers!$C$2:$C$201)</f>
        <v>Female</v>
      </c>
      <c r="S164" t="str">
        <f>_xlfn.XLOOKUP(C164,[1]Customers!$A$2:$A$201,[1]Customers!$B$2:$B$201)</f>
        <v>Customer_191</v>
      </c>
      <c r="T164" t="str">
        <f>_xlfn.XLOOKUP(D164,[1]Products!$A$2:$A$101,[1]Products!$C$2:$C$101)</f>
        <v>Snacks</v>
      </c>
      <c r="U164">
        <f>_xlfn.XLOOKUP(D164,[1]Products!$A$2:$A$101,[1]Products!$E$2:$E$101)</f>
        <v>482</v>
      </c>
      <c r="V164">
        <f>[1]Transactions!F164*[1]Transactions!U164</f>
        <v>1928</v>
      </c>
    </row>
    <row r="165" spans="1:22" x14ac:dyDescent="0.3">
      <c r="A165">
        <v>164</v>
      </c>
      <c r="B165">
        <v>49</v>
      </c>
      <c r="C165">
        <v>9</v>
      </c>
      <c r="D165">
        <v>24</v>
      </c>
      <c r="E165">
        <v>7</v>
      </c>
      <c r="F165">
        <v>3</v>
      </c>
      <c r="G165">
        <v>343</v>
      </c>
      <c r="H165">
        <v>1029</v>
      </c>
      <c r="I165">
        <v>37</v>
      </c>
      <c r="J165">
        <f>[1]Transactions!F165*[1]Transactions!G165</f>
        <v>1029</v>
      </c>
      <c r="K165">
        <f>_xlfn.XLOOKUP([1]Transactions!D165,[1]Inventory!$C$2:$C$501,[1]Inventory!$A$2:$A$501)</f>
        <v>111</v>
      </c>
      <c r="L165">
        <f>_xlfn.XLOOKUP(K165,[1]Inventory!$A$2:$A$501,[1]Inventory!$D$2:$D$501)</f>
        <v>237</v>
      </c>
      <c r="M165">
        <f>_xlfn.XLOOKUP(K165,[1]Inventory!$A$2:$A$501,[1]Inventory!$E$2:$E$501)</f>
        <v>154</v>
      </c>
      <c r="N165" t="str">
        <f>_xlfn.XLOOKUP([1]Transactions!C165,[1]Customers!$A$2:$A$201,[1]Customers!$G$2:$G$201)</f>
        <v>Telangana</v>
      </c>
      <c r="O165" t="str">
        <f>_xlfn.XLOOKUP(C165,[1]Customers!$A$2:$A$201,[1]Customers!$H$2:$H$201)</f>
        <v>South</v>
      </c>
      <c r="P165" t="str">
        <f>_xlfn.XLOOKUP(C165,[1]Customers!$A$2:$A$201,[1]Customers!$F$2:$F$201)</f>
        <v>Hyderabad</v>
      </c>
      <c r="Q165">
        <f>_xlfn.XLOOKUP(C165,[1]Customers!$A$2:$A$201,[1]Customers!$D$2:$D$201)</f>
        <v>31</v>
      </c>
      <c r="R165" t="str">
        <f>_xlfn.XLOOKUP([1]Transactions!C165,[1]Customers!$A$2:$A$201,[1]Customers!$C$2:$C$201)</f>
        <v>Female</v>
      </c>
      <c r="S165" t="str">
        <f>_xlfn.XLOOKUP(C165,[1]Customers!$A$2:$A$201,[1]Customers!$B$2:$B$201)</f>
        <v>Customer_9</v>
      </c>
      <c r="T165" t="str">
        <f>_xlfn.XLOOKUP(D165,[1]Products!$A$2:$A$101,[1]Products!$C$2:$C$101)</f>
        <v>Personal Care</v>
      </c>
      <c r="U165">
        <f>_xlfn.XLOOKUP(D165,[1]Products!$A$2:$A$101,[1]Products!$E$2:$E$101)</f>
        <v>435</v>
      </c>
      <c r="V165">
        <f>[1]Transactions!F165*[1]Transactions!U165</f>
        <v>1305</v>
      </c>
    </row>
    <row r="166" spans="1:22" x14ac:dyDescent="0.3">
      <c r="A166">
        <v>165</v>
      </c>
      <c r="B166">
        <v>141</v>
      </c>
      <c r="C166">
        <v>134</v>
      </c>
      <c r="D166">
        <v>7</v>
      </c>
      <c r="E166">
        <v>13</v>
      </c>
      <c r="F166">
        <v>3</v>
      </c>
      <c r="G166">
        <v>61</v>
      </c>
      <c r="H166">
        <v>183</v>
      </c>
      <c r="I166">
        <v>53</v>
      </c>
      <c r="J166">
        <f>[1]Transactions!F166*[1]Transactions!G166</f>
        <v>183</v>
      </c>
      <c r="K166">
        <f>_xlfn.XLOOKUP([1]Transactions!D166,[1]Inventory!$C$2:$C$501,[1]Inventory!$A$2:$A$501)</f>
        <v>32</v>
      </c>
      <c r="L166">
        <f>_xlfn.XLOOKUP(K166,[1]Inventory!$A$2:$A$501,[1]Inventory!$D$2:$D$501)</f>
        <v>377</v>
      </c>
      <c r="M166">
        <f>_xlfn.XLOOKUP(K166,[1]Inventory!$A$2:$A$501,[1]Inventory!$E$2:$E$501)</f>
        <v>135</v>
      </c>
      <c r="N166" t="str">
        <f>_xlfn.XLOOKUP([1]Transactions!C166,[1]Customers!$A$2:$A$201,[1]Customers!$G$2:$G$201)</f>
        <v>Maharashtra</v>
      </c>
      <c r="O166" t="str">
        <f>_xlfn.XLOOKUP(C166,[1]Customers!$A$2:$A$201,[1]Customers!$H$2:$H$201)</f>
        <v>West</v>
      </c>
      <c r="P166" t="str">
        <f>_xlfn.XLOOKUP(C166,[1]Customers!$A$2:$A$201,[1]Customers!$F$2:$F$201)</f>
        <v>Mumbai</v>
      </c>
      <c r="Q166">
        <f>_xlfn.XLOOKUP(C166,[1]Customers!$A$2:$A$201,[1]Customers!$D$2:$D$201)</f>
        <v>36</v>
      </c>
      <c r="R166" t="str">
        <f>_xlfn.XLOOKUP([1]Transactions!C166,[1]Customers!$A$2:$A$201,[1]Customers!$C$2:$C$201)</f>
        <v>Female</v>
      </c>
      <c r="S166" t="str">
        <f>_xlfn.XLOOKUP(C166,[1]Customers!$A$2:$A$201,[1]Customers!$B$2:$B$201)</f>
        <v>Customer_134</v>
      </c>
      <c r="T166" t="str">
        <f>_xlfn.XLOOKUP(D166,[1]Products!$A$2:$A$101,[1]Products!$C$2:$C$101)</f>
        <v>Dairy</v>
      </c>
      <c r="U166">
        <f>_xlfn.XLOOKUP(D166,[1]Products!$A$2:$A$101,[1]Products!$E$2:$E$101)</f>
        <v>65</v>
      </c>
      <c r="V166">
        <f>[1]Transactions!F166*[1]Transactions!U166</f>
        <v>195</v>
      </c>
    </row>
    <row r="167" spans="1:22" x14ac:dyDescent="0.3">
      <c r="A167">
        <v>166</v>
      </c>
      <c r="B167">
        <v>130</v>
      </c>
      <c r="C167">
        <v>142</v>
      </c>
      <c r="D167">
        <v>67</v>
      </c>
      <c r="E167">
        <v>3</v>
      </c>
      <c r="F167">
        <v>2</v>
      </c>
      <c r="G167">
        <v>132</v>
      </c>
      <c r="H167">
        <v>264</v>
      </c>
      <c r="I167">
        <v>43</v>
      </c>
      <c r="J167">
        <f>[1]Transactions!F167*[1]Transactions!G167</f>
        <v>264</v>
      </c>
      <c r="K167">
        <f>_xlfn.XLOOKUP([1]Transactions!D167,[1]Inventory!$C$2:$C$501,[1]Inventory!$A$2:$A$501)</f>
        <v>295</v>
      </c>
      <c r="L167">
        <f>_xlfn.XLOOKUP(K167,[1]Inventory!$A$2:$A$501,[1]Inventory!$D$2:$D$501)</f>
        <v>148</v>
      </c>
      <c r="M167">
        <f>_xlfn.XLOOKUP(K167,[1]Inventory!$A$2:$A$501,[1]Inventory!$E$2:$E$501)</f>
        <v>129</v>
      </c>
      <c r="N167" t="str">
        <f>_xlfn.XLOOKUP([1]Transactions!C167,[1]Customers!$A$2:$A$201,[1]Customers!$G$2:$G$201)</f>
        <v>Maharashtra</v>
      </c>
      <c r="O167" t="str">
        <f>_xlfn.XLOOKUP(C167,[1]Customers!$A$2:$A$201,[1]Customers!$H$2:$H$201)</f>
        <v>West</v>
      </c>
      <c r="P167" t="str">
        <f>_xlfn.XLOOKUP(C167,[1]Customers!$A$2:$A$201,[1]Customers!$F$2:$F$201)</f>
        <v>Mumbai</v>
      </c>
      <c r="Q167">
        <f>_xlfn.XLOOKUP(C167,[1]Customers!$A$2:$A$201,[1]Customers!$D$2:$D$201)</f>
        <v>22</v>
      </c>
      <c r="R167" t="str">
        <f>_xlfn.XLOOKUP([1]Transactions!C167,[1]Customers!$A$2:$A$201,[1]Customers!$C$2:$C$201)</f>
        <v>Female</v>
      </c>
      <c r="S167" t="str">
        <f>_xlfn.XLOOKUP(C167,[1]Customers!$A$2:$A$201,[1]Customers!$B$2:$B$201)</f>
        <v>Customer_142</v>
      </c>
      <c r="T167" t="str">
        <f>_xlfn.XLOOKUP(D167,[1]Products!$A$2:$A$101,[1]Products!$C$2:$C$101)</f>
        <v>Snacks</v>
      </c>
      <c r="U167">
        <f>_xlfn.XLOOKUP(D167,[1]Products!$A$2:$A$101,[1]Products!$E$2:$E$101)</f>
        <v>291</v>
      </c>
      <c r="V167">
        <f>[1]Transactions!F167*[1]Transactions!U167</f>
        <v>582</v>
      </c>
    </row>
    <row r="168" spans="1:22" x14ac:dyDescent="0.3">
      <c r="A168">
        <v>167</v>
      </c>
      <c r="B168">
        <v>129</v>
      </c>
      <c r="C168">
        <v>181</v>
      </c>
      <c r="D168">
        <v>23</v>
      </c>
      <c r="E168">
        <v>18</v>
      </c>
      <c r="F168">
        <v>5</v>
      </c>
      <c r="G168">
        <v>137</v>
      </c>
      <c r="H168">
        <v>685</v>
      </c>
      <c r="I168">
        <v>53</v>
      </c>
      <c r="J168">
        <f>[1]Transactions!F168*[1]Transactions!G168</f>
        <v>685</v>
      </c>
      <c r="K168">
        <f>_xlfn.XLOOKUP([1]Transactions!D168,[1]Inventory!$C$2:$C$501,[1]Inventory!$A$2:$A$501)</f>
        <v>127</v>
      </c>
      <c r="L168">
        <f>_xlfn.XLOOKUP(K168,[1]Inventory!$A$2:$A$501,[1]Inventory!$D$2:$D$501)</f>
        <v>144</v>
      </c>
      <c r="M168">
        <f>_xlfn.XLOOKUP(K168,[1]Inventory!$A$2:$A$501,[1]Inventory!$E$2:$E$501)</f>
        <v>95</v>
      </c>
      <c r="N168" t="str">
        <f>_xlfn.XLOOKUP([1]Transactions!C168,[1]Customers!$A$2:$A$201,[1]Customers!$G$2:$G$201)</f>
        <v>Gujarat</v>
      </c>
      <c r="O168" t="str">
        <f>_xlfn.XLOOKUP(C168,[1]Customers!$A$2:$A$201,[1]Customers!$H$2:$H$201)</f>
        <v>West</v>
      </c>
      <c r="P168" t="str">
        <f>_xlfn.XLOOKUP(C168,[1]Customers!$A$2:$A$201,[1]Customers!$F$2:$F$201)</f>
        <v>Ahmedabad</v>
      </c>
      <c r="Q168">
        <f>_xlfn.XLOOKUP(C168,[1]Customers!$A$2:$A$201,[1]Customers!$D$2:$D$201)</f>
        <v>45</v>
      </c>
      <c r="R168" t="str">
        <f>_xlfn.XLOOKUP([1]Transactions!C168,[1]Customers!$A$2:$A$201,[1]Customers!$C$2:$C$201)</f>
        <v>Female</v>
      </c>
      <c r="S168" t="str">
        <f>_xlfn.XLOOKUP(C168,[1]Customers!$A$2:$A$201,[1]Customers!$B$2:$B$201)</f>
        <v>Customer_181</v>
      </c>
      <c r="T168" t="str">
        <f>_xlfn.XLOOKUP(D168,[1]Products!$A$2:$A$101,[1]Products!$C$2:$C$101)</f>
        <v>Grocery</v>
      </c>
      <c r="U168">
        <f>_xlfn.XLOOKUP(D168,[1]Products!$A$2:$A$101,[1]Products!$E$2:$E$101)</f>
        <v>370</v>
      </c>
      <c r="V168">
        <f>[1]Transactions!F168*[1]Transactions!U168</f>
        <v>1850</v>
      </c>
    </row>
    <row r="169" spans="1:22" x14ac:dyDescent="0.3">
      <c r="A169">
        <v>168</v>
      </c>
      <c r="B169">
        <v>11</v>
      </c>
      <c r="C169">
        <v>49</v>
      </c>
      <c r="D169">
        <v>17</v>
      </c>
      <c r="E169">
        <v>2</v>
      </c>
      <c r="F169">
        <v>5</v>
      </c>
      <c r="G169">
        <v>362</v>
      </c>
      <c r="H169">
        <v>1810</v>
      </c>
      <c r="I169">
        <v>27</v>
      </c>
      <c r="J169">
        <f>[1]Transactions!F169*[1]Transactions!G169</f>
        <v>1810</v>
      </c>
      <c r="K169">
        <f>_xlfn.XLOOKUP([1]Transactions!D169,[1]Inventory!$C$2:$C$501,[1]Inventory!$A$2:$A$501)</f>
        <v>1</v>
      </c>
      <c r="L169">
        <f>_xlfn.XLOOKUP(K169,[1]Inventory!$A$2:$A$501,[1]Inventory!$D$2:$D$501)</f>
        <v>179</v>
      </c>
      <c r="M169">
        <f>_xlfn.XLOOKUP(K169,[1]Inventory!$A$2:$A$501,[1]Inventory!$E$2:$E$501)</f>
        <v>124</v>
      </c>
      <c r="N169" t="str">
        <f>_xlfn.XLOOKUP([1]Transactions!C169,[1]Customers!$A$2:$A$201,[1]Customers!$G$2:$G$201)</f>
        <v>UP</v>
      </c>
      <c r="O169" t="str">
        <f>_xlfn.XLOOKUP(C169,[1]Customers!$A$2:$A$201,[1]Customers!$H$2:$H$201)</f>
        <v>North</v>
      </c>
      <c r="P169" t="str">
        <f>_xlfn.XLOOKUP(C169,[1]Customers!$A$2:$A$201,[1]Customers!$F$2:$F$201)</f>
        <v>Lucknow</v>
      </c>
      <c r="Q169">
        <f>_xlfn.XLOOKUP(C169,[1]Customers!$A$2:$A$201,[1]Customers!$D$2:$D$201)</f>
        <v>40</v>
      </c>
      <c r="R169" t="str">
        <f>_xlfn.XLOOKUP([1]Transactions!C169,[1]Customers!$A$2:$A$201,[1]Customers!$C$2:$C$201)</f>
        <v>Male</v>
      </c>
      <c r="S169" t="str">
        <f>_xlfn.XLOOKUP(C169,[1]Customers!$A$2:$A$201,[1]Customers!$B$2:$B$201)</f>
        <v>Customer_49</v>
      </c>
      <c r="T169" t="str">
        <f>_xlfn.XLOOKUP(D169,[1]Products!$A$2:$A$101,[1]Products!$C$2:$C$101)</f>
        <v>Snacks</v>
      </c>
      <c r="U169">
        <f>_xlfn.XLOOKUP(D169,[1]Products!$A$2:$A$101,[1]Products!$E$2:$E$101)</f>
        <v>55</v>
      </c>
      <c r="V169">
        <f>[1]Transactions!F169*[1]Transactions!U169</f>
        <v>275</v>
      </c>
    </row>
    <row r="170" spans="1:22" x14ac:dyDescent="0.3">
      <c r="A170">
        <v>169</v>
      </c>
      <c r="B170">
        <v>85</v>
      </c>
      <c r="C170">
        <v>128</v>
      </c>
      <c r="D170">
        <v>33</v>
      </c>
      <c r="E170">
        <v>9</v>
      </c>
      <c r="F170">
        <v>4</v>
      </c>
      <c r="G170">
        <v>444</v>
      </c>
      <c r="H170">
        <v>1776</v>
      </c>
      <c r="I170">
        <v>60</v>
      </c>
      <c r="J170">
        <f>[1]Transactions!F170*[1]Transactions!G170</f>
        <v>1776</v>
      </c>
      <c r="K170">
        <f>_xlfn.XLOOKUP([1]Transactions!D170,[1]Inventory!$C$2:$C$501,[1]Inventory!$A$2:$A$501)</f>
        <v>77</v>
      </c>
      <c r="L170">
        <f>_xlfn.XLOOKUP(K170,[1]Inventory!$A$2:$A$501,[1]Inventory!$D$2:$D$501)</f>
        <v>5</v>
      </c>
      <c r="M170">
        <f>_xlfn.XLOOKUP(K170,[1]Inventory!$A$2:$A$501,[1]Inventory!$E$2:$E$501)</f>
        <v>43</v>
      </c>
      <c r="N170" t="str">
        <f>_xlfn.XLOOKUP([1]Transactions!C170,[1]Customers!$A$2:$A$201,[1]Customers!$G$2:$G$201)</f>
        <v>Gujarat</v>
      </c>
      <c r="O170" t="str">
        <f>_xlfn.XLOOKUP(C170,[1]Customers!$A$2:$A$201,[1]Customers!$H$2:$H$201)</f>
        <v>West</v>
      </c>
      <c r="P170" t="str">
        <f>_xlfn.XLOOKUP(C170,[1]Customers!$A$2:$A$201,[1]Customers!$F$2:$F$201)</f>
        <v>Ahmedabad</v>
      </c>
      <c r="Q170">
        <f>_xlfn.XLOOKUP(C170,[1]Customers!$A$2:$A$201,[1]Customers!$D$2:$D$201)</f>
        <v>47</v>
      </c>
      <c r="R170" t="str">
        <f>_xlfn.XLOOKUP([1]Transactions!C170,[1]Customers!$A$2:$A$201,[1]Customers!$C$2:$C$201)</f>
        <v>Female</v>
      </c>
      <c r="S170" t="str">
        <f>_xlfn.XLOOKUP(C170,[1]Customers!$A$2:$A$201,[1]Customers!$B$2:$B$201)</f>
        <v>Customer_128</v>
      </c>
      <c r="T170" t="str">
        <f>_xlfn.XLOOKUP(D170,[1]Products!$A$2:$A$101,[1]Products!$C$2:$C$101)</f>
        <v>Beverages</v>
      </c>
      <c r="U170">
        <f>_xlfn.XLOOKUP(D170,[1]Products!$A$2:$A$101,[1]Products!$E$2:$E$101)</f>
        <v>51</v>
      </c>
      <c r="V170">
        <f>[1]Transactions!F170*[1]Transactions!U170</f>
        <v>204</v>
      </c>
    </row>
    <row r="171" spans="1:22" x14ac:dyDescent="0.3">
      <c r="A171">
        <v>170</v>
      </c>
      <c r="B171">
        <v>15</v>
      </c>
      <c r="C171">
        <v>152</v>
      </c>
      <c r="D171">
        <v>35</v>
      </c>
      <c r="E171">
        <v>32</v>
      </c>
      <c r="F171">
        <v>4</v>
      </c>
      <c r="G171">
        <v>191</v>
      </c>
      <c r="H171">
        <v>764</v>
      </c>
      <c r="I171">
        <v>25</v>
      </c>
      <c r="J171">
        <f>[1]Transactions!F171*[1]Transactions!G171</f>
        <v>764</v>
      </c>
      <c r="K171">
        <f>_xlfn.XLOOKUP([1]Transactions!D171,[1]Inventory!$C$2:$C$501,[1]Inventory!$A$2:$A$501)</f>
        <v>115</v>
      </c>
      <c r="L171">
        <f>_xlfn.XLOOKUP(K171,[1]Inventory!$A$2:$A$501,[1]Inventory!$D$2:$D$501)</f>
        <v>33</v>
      </c>
      <c r="M171">
        <f>_xlfn.XLOOKUP(K171,[1]Inventory!$A$2:$A$501,[1]Inventory!$E$2:$E$501)</f>
        <v>66</v>
      </c>
      <c r="N171" t="str">
        <f>_xlfn.XLOOKUP([1]Transactions!C171,[1]Customers!$A$2:$A$201,[1]Customers!$G$2:$G$201)</f>
        <v>Delhi</v>
      </c>
      <c r="O171" t="str">
        <f>_xlfn.XLOOKUP(C171,[1]Customers!$A$2:$A$201,[1]Customers!$H$2:$H$201)</f>
        <v>North</v>
      </c>
      <c r="P171" t="str">
        <f>_xlfn.XLOOKUP(C171,[1]Customers!$A$2:$A$201,[1]Customers!$F$2:$F$201)</f>
        <v>Delhi</v>
      </c>
      <c r="Q171">
        <f>_xlfn.XLOOKUP(C171,[1]Customers!$A$2:$A$201,[1]Customers!$D$2:$D$201)</f>
        <v>28</v>
      </c>
      <c r="R171" t="str">
        <f>_xlfn.XLOOKUP([1]Transactions!C171,[1]Customers!$A$2:$A$201,[1]Customers!$C$2:$C$201)</f>
        <v>Male</v>
      </c>
      <c r="S171" t="str">
        <f>_xlfn.XLOOKUP(C171,[1]Customers!$A$2:$A$201,[1]Customers!$B$2:$B$201)</f>
        <v>Customer_152</v>
      </c>
      <c r="T171" t="str">
        <f>_xlfn.XLOOKUP(D171,[1]Products!$A$2:$A$101,[1]Products!$C$2:$C$101)</f>
        <v>Grocery</v>
      </c>
      <c r="U171">
        <f>_xlfn.XLOOKUP(D171,[1]Products!$A$2:$A$101,[1]Products!$E$2:$E$101)</f>
        <v>346</v>
      </c>
      <c r="V171">
        <f>[1]Transactions!F171*[1]Transactions!U171</f>
        <v>1384</v>
      </c>
    </row>
    <row r="172" spans="1:22" x14ac:dyDescent="0.3">
      <c r="A172">
        <v>171</v>
      </c>
      <c r="B172">
        <v>120</v>
      </c>
      <c r="C172">
        <v>132</v>
      </c>
      <c r="D172">
        <v>52</v>
      </c>
      <c r="E172">
        <v>22</v>
      </c>
      <c r="F172">
        <v>1</v>
      </c>
      <c r="G172">
        <v>71</v>
      </c>
      <c r="H172">
        <v>71</v>
      </c>
      <c r="I172">
        <v>33</v>
      </c>
      <c r="J172">
        <f>[1]Transactions!F172*[1]Transactions!G172</f>
        <v>71</v>
      </c>
      <c r="K172">
        <f>_xlfn.XLOOKUP([1]Transactions!D172,[1]Inventory!$C$2:$C$501,[1]Inventory!$A$2:$A$501)</f>
        <v>2</v>
      </c>
      <c r="L172">
        <f>_xlfn.XLOOKUP(K172,[1]Inventory!$A$2:$A$501,[1]Inventory!$D$2:$D$501)</f>
        <v>420</v>
      </c>
      <c r="M172">
        <f>_xlfn.XLOOKUP(K172,[1]Inventory!$A$2:$A$501,[1]Inventory!$E$2:$E$501)</f>
        <v>29</v>
      </c>
      <c r="N172" t="str">
        <f>_xlfn.XLOOKUP([1]Transactions!C172,[1]Customers!$A$2:$A$201,[1]Customers!$G$2:$G$201)</f>
        <v>Tamil Nadu</v>
      </c>
      <c r="O172" t="str">
        <f>_xlfn.XLOOKUP(C172,[1]Customers!$A$2:$A$201,[1]Customers!$H$2:$H$201)</f>
        <v>South</v>
      </c>
      <c r="P172" t="str">
        <f>_xlfn.XLOOKUP(C172,[1]Customers!$A$2:$A$201,[1]Customers!$F$2:$F$201)</f>
        <v>Chennai</v>
      </c>
      <c r="Q172">
        <f>_xlfn.XLOOKUP(C172,[1]Customers!$A$2:$A$201,[1]Customers!$D$2:$D$201)</f>
        <v>28</v>
      </c>
      <c r="R172" t="str">
        <f>_xlfn.XLOOKUP([1]Transactions!C172,[1]Customers!$A$2:$A$201,[1]Customers!$C$2:$C$201)</f>
        <v>Male</v>
      </c>
      <c r="S172" t="str">
        <f>_xlfn.XLOOKUP(C172,[1]Customers!$A$2:$A$201,[1]Customers!$B$2:$B$201)</f>
        <v>Customer_132</v>
      </c>
      <c r="T172" t="str">
        <f>_xlfn.XLOOKUP(D172,[1]Products!$A$2:$A$101,[1]Products!$C$2:$C$101)</f>
        <v>Dairy</v>
      </c>
      <c r="U172">
        <f>_xlfn.XLOOKUP(D172,[1]Products!$A$2:$A$101,[1]Products!$E$2:$E$101)</f>
        <v>257</v>
      </c>
      <c r="V172">
        <f>[1]Transactions!F172*[1]Transactions!U172</f>
        <v>257</v>
      </c>
    </row>
    <row r="173" spans="1:22" x14ac:dyDescent="0.3">
      <c r="A173">
        <v>172</v>
      </c>
      <c r="B173">
        <v>145</v>
      </c>
      <c r="C173">
        <v>189</v>
      </c>
      <c r="D173">
        <v>87</v>
      </c>
      <c r="E173">
        <v>40</v>
      </c>
      <c r="F173">
        <v>5</v>
      </c>
      <c r="G173">
        <v>210</v>
      </c>
      <c r="H173">
        <v>1050</v>
      </c>
      <c r="I173">
        <v>32</v>
      </c>
      <c r="J173">
        <f>[1]Transactions!F173*[1]Transactions!G173</f>
        <v>1050</v>
      </c>
      <c r="K173">
        <f>_xlfn.XLOOKUP([1]Transactions!D173,[1]Inventory!$C$2:$C$501,[1]Inventory!$A$2:$A$501)</f>
        <v>145</v>
      </c>
      <c r="L173">
        <f>_xlfn.XLOOKUP(K173,[1]Inventory!$A$2:$A$501,[1]Inventory!$D$2:$D$501)</f>
        <v>165</v>
      </c>
      <c r="M173">
        <f>_xlfn.XLOOKUP(K173,[1]Inventory!$A$2:$A$501,[1]Inventory!$E$2:$E$501)</f>
        <v>80</v>
      </c>
      <c r="N173" t="str">
        <f>_xlfn.XLOOKUP([1]Transactions!C173,[1]Customers!$A$2:$A$201,[1]Customers!$G$2:$G$201)</f>
        <v>Delhi</v>
      </c>
      <c r="O173" t="str">
        <f>_xlfn.XLOOKUP(C173,[1]Customers!$A$2:$A$201,[1]Customers!$H$2:$H$201)</f>
        <v>North</v>
      </c>
      <c r="P173" t="str">
        <f>_xlfn.XLOOKUP(C173,[1]Customers!$A$2:$A$201,[1]Customers!$F$2:$F$201)</f>
        <v>Delhi</v>
      </c>
      <c r="Q173">
        <f>_xlfn.XLOOKUP(C173,[1]Customers!$A$2:$A$201,[1]Customers!$D$2:$D$201)</f>
        <v>20</v>
      </c>
      <c r="R173" t="str">
        <f>_xlfn.XLOOKUP([1]Transactions!C173,[1]Customers!$A$2:$A$201,[1]Customers!$C$2:$C$201)</f>
        <v>Female</v>
      </c>
      <c r="S173" t="str">
        <f>_xlfn.XLOOKUP(C173,[1]Customers!$A$2:$A$201,[1]Customers!$B$2:$B$201)</f>
        <v>Customer_189</v>
      </c>
      <c r="T173" t="str">
        <f>_xlfn.XLOOKUP(D173,[1]Products!$A$2:$A$101,[1]Products!$C$2:$C$101)</f>
        <v>Snacks</v>
      </c>
      <c r="U173">
        <f>_xlfn.XLOOKUP(D173,[1]Products!$A$2:$A$101,[1]Products!$E$2:$E$101)</f>
        <v>115</v>
      </c>
      <c r="V173">
        <f>[1]Transactions!F173*[1]Transactions!U173</f>
        <v>575</v>
      </c>
    </row>
    <row r="174" spans="1:22" x14ac:dyDescent="0.3">
      <c r="A174">
        <v>173</v>
      </c>
      <c r="B174">
        <v>136</v>
      </c>
      <c r="C174">
        <v>41</v>
      </c>
      <c r="D174">
        <v>53</v>
      </c>
      <c r="E174">
        <v>44</v>
      </c>
      <c r="F174">
        <v>4</v>
      </c>
      <c r="G174">
        <v>61</v>
      </c>
      <c r="H174">
        <v>244</v>
      </c>
      <c r="I174">
        <v>48</v>
      </c>
      <c r="J174">
        <f>[1]Transactions!F174*[1]Transactions!G174</f>
        <v>244</v>
      </c>
      <c r="K174">
        <f>_xlfn.XLOOKUP([1]Transactions!D174,[1]Inventory!$C$2:$C$501,[1]Inventory!$A$2:$A$501)</f>
        <v>166</v>
      </c>
      <c r="L174">
        <f>_xlfn.XLOOKUP(K174,[1]Inventory!$A$2:$A$501,[1]Inventory!$D$2:$D$501)</f>
        <v>187</v>
      </c>
      <c r="M174">
        <f>_xlfn.XLOOKUP(K174,[1]Inventory!$A$2:$A$501,[1]Inventory!$E$2:$E$501)</f>
        <v>68</v>
      </c>
      <c r="N174" t="str">
        <f>_xlfn.XLOOKUP([1]Transactions!C174,[1]Customers!$A$2:$A$201,[1]Customers!$G$2:$G$201)</f>
        <v>Karnataka</v>
      </c>
      <c r="O174" t="str">
        <f>_xlfn.XLOOKUP(C174,[1]Customers!$A$2:$A$201,[1]Customers!$H$2:$H$201)</f>
        <v>South</v>
      </c>
      <c r="P174" t="str">
        <f>_xlfn.XLOOKUP(C174,[1]Customers!$A$2:$A$201,[1]Customers!$F$2:$F$201)</f>
        <v>Bangalore</v>
      </c>
      <c r="Q174">
        <f>_xlfn.XLOOKUP(C174,[1]Customers!$A$2:$A$201,[1]Customers!$D$2:$D$201)</f>
        <v>57</v>
      </c>
      <c r="R174" t="str">
        <f>_xlfn.XLOOKUP([1]Transactions!C174,[1]Customers!$A$2:$A$201,[1]Customers!$C$2:$C$201)</f>
        <v>Female</v>
      </c>
      <c r="S174" t="str">
        <f>_xlfn.XLOOKUP(C174,[1]Customers!$A$2:$A$201,[1]Customers!$B$2:$B$201)</f>
        <v>Customer_41</v>
      </c>
      <c r="T174" t="str">
        <f>_xlfn.XLOOKUP(D174,[1]Products!$A$2:$A$101,[1]Products!$C$2:$C$101)</f>
        <v>Beverages</v>
      </c>
      <c r="U174">
        <f>_xlfn.XLOOKUP(D174,[1]Products!$A$2:$A$101,[1]Products!$E$2:$E$101)</f>
        <v>59</v>
      </c>
      <c r="V174">
        <f>[1]Transactions!F174*[1]Transactions!U174</f>
        <v>236</v>
      </c>
    </row>
    <row r="175" spans="1:22" x14ac:dyDescent="0.3">
      <c r="A175">
        <v>174</v>
      </c>
      <c r="B175">
        <v>115</v>
      </c>
      <c r="C175">
        <v>55</v>
      </c>
      <c r="D175">
        <v>51</v>
      </c>
      <c r="E175">
        <v>14</v>
      </c>
      <c r="F175">
        <v>4</v>
      </c>
      <c r="G175">
        <v>413</v>
      </c>
      <c r="H175">
        <v>1652</v>
      </c>
      <c r="I175">
        <v>37</v>
      </c>
      <c r="J175">
        <f>[1]Transactions!F175*[1]Transactions!G175</f>
        <v>1652</v>
      </c>
      <c r="K175">
        <f>_xlfn.XLOOKUP([1]Transactions!D175,[1]Inventory!$C$2:$C$501,[1]Inventory!$A$2:$A$501)</f>
        <v>55</v>
      </c>
      <c r="L175">
        <f>_xlfn.XLOOKUP(K175,[1]Inventory!$A$2:$A$501,[1]Inventory!$D$2:$D$501)</f>
        <v>336</v>
      </c>
      <c r="M175">
        <f>_xlfn.XLOOKUP(K175,[1]Inventory!$A$2:$A$501,[1]Inventory!$E$2:$E$501)</f>
        <v>49</v>
      </c>
      <c r="N175" t="str">
        <f>_xlfn.XLOOKUP([1]Transactions!C175,[1]Customers!$A$2:$A$201,[1]Customers!$G$2:$G$201)</f>
        <v>Tamil Nadu</v>
      </c>
      <c r="O175" t="str">
        <f>_xlfn.XLOOKUP(C175,[1]Customers!$A$2:$A$201,[1]Customers!$H$2:$H$201)</f>
        <v>South</v>
      </c>
      <c r="P175" t="str">
        <f>_xlfn.XLOOKUP(C175,[1]Customers!$A$2:$A$201,[1]Customers!$F$2:$F$201)</f>
        <v>Chennai</v>
      </c>
      <c r="Q175">
        <f>_xlfn.XLOOKUP(C175,[1]Customers!$A$2:$A$201,[1]Customers!$D$2:$D$201)</f>
        <v>24</v>
      </c>
      <c r="R175" t="str">
        <f>_xlfn.XLOOKUP([1]Transactions!C175,[1]Customers!$A$2:$A$201,[1]Customers!$C$2:$C$201)</f>
        <v>Female</v>
      </c>
      <c r="S175" t="str">
        <f>_xlfn.XLOOKUP(C175,[1]Customers!$A$2:$A$201,[1]Customers!$B$2:$B$201)</f>
        <v>Customer_55</v>
      </c>
      <c r="T175" t="str">
        <f>_xlfn.XLOOKUP(D175,[1]Products!$A$2:$A$101,[1]Products!$C$2:$C$101)</f>
        <v>Beverages</v>
      </c>
      <c r="U175">
        <f>_xlfn.XLOOKUP(D175,[1]Products!$A$2:$A$101,[1]Products!$E$2:$E$101)</f>
        <v>27</v>
      </c>
      <c r="V175">
        <f>[1]Transactions!F175*[1]Transactions!U175</f>
        <v>108</v>
      </c>
    </row>
    <row r="176" spans="1:22" x14ac:dyDescent="0.3">
      <c r="A176">
        <v>175</v>
      </c>
      <c r="B176">
        <v>127</v>
      </c>
      <c r="C176">
        <v>153</v>
      </c>
      <c r="D176">
        <v>66</v>
      </c>
      <c r="E176">
        <v>32</v>
      </c>
      <c r="F176">
        <v>4</v>
      </c>
      <c r="G176">
        <v>365</v>
      </c>
      <c r="H176">
        <v>1460</v>
      </c>
      <c r="I176">
        <v>24</v>
      </c>
      <c r="J176">
        <f>[1]Transactions!F176*[1]Transactions!G176</f>
        <v>1460</v>
      </c>
      <c r="K176">
        <f>_xlfn.XLOOKUP([1]Transactions!D176,[1]Inventory!$C$2:$C$501,[1]Inventory!$A$2:$A$501)</f>
        <v>76</v>
      </c>
      <c r="L176">
        <f>_xlfn.XLOOKUP(K176,[1]Inventory!$A$2:$A$501,[1]Inventory!$D$2:$D$501)</f>
        <v>210</v>
      </c>
      <c r="M176">
        <f>_xlfn.XLOOKUP(K176,[1]Inventory!$A$2:$A$501,[1]Inventory!$E$2:$E$501)</f>
        <v>178</v>
      </c>
      <c r="N176" t="str">
        <f>_xlfn.XLOOKUP([1]Transactions!C176,[1]Customers!$A$2:$A$201,[1]Customers!$G$2:$G$201)</f>
        <v>Maharashtra</v>
      </c>
      <c r="O176" t="str">
        <f>_xlfn.XLOOKUP(C176,[1]Customers!$A$2:$A$201,[1]Customers!$H$2:$H$201)</f>
        <v>West</v>
      </c>
      <c r="P176" t="str">
        <f>_xlfn.XLOOKUP(C176,[1]Customers!$A$2:$A$201,[1]Customers!$F$2:$F$201)</f>
        <v>Pune</v>
      </c>
      <c r="Q176">
        <f>_xlfn.XLOOKUP(C176,[1]Customers!$A$2:$A$201,[1]Customers!$D$2:$D$201)</f>
        <v>44</v>
      </c>
      <c r="R176" t="str">
        <f>_xlfn.XLOOKUP([1]Transactions!C176,[1]Customers!$A$2:$A$201,[1]Customers!$C$2:$C$201)</f>
        <v>Female</v>
      </c>
      <c r="S176" t="str">
        <f>_xlfn.XLOOKUP(C176,[1]Customers!$A$2:$A$201,[1]Customers!$B$2:$B$201)</f>
        <v>Customer_153</v>
      </c>
      <c r="T176" t="str">
        <f>_xlfn.XLOOKUP(D176,[1]Products!$A$2:$A$101,[1]Products!$C$2:$C$101)</f>
        <v>Beverages</v>
      </c>
      <c r="U176">
        <f>_xlfn.XLOOKUP(D176,[1]Products!$A$2:$A$101,[1]Products!$E$2:$E$101)</f>
        <v>452</v>
      </c>
      <c r="V176">
        <f>[1]Transactions!F176*[1]Transactions!U176</f>
        <v>1808</v>
      </c>
    </row>
    <row r="177" spans="1:22" x14ac:dyDescent="0.3">
      <c r="A177">
        <v>176</v>
      </c>
      <c r="B177">
        <v>129</v>
      </c>
      <c r="C177">
        <v>130</v>
      </c>
      <c r="D177">
        <v>5</v>
      </c>
      <c r="E177">
        <v>11</v>
      </c>
      <c r="F177">
        <v>5</v>
      </c>
      <c r="G177">
        <v>201</v>
      </c>
      <c r="H177">
        <v>1005</v>
      </c>
      <c r="I177">
        <v>34</v>
      </c>
      <c r="J177">
        <f>[1]Transactions!F177*[1]Transactions!G177</f>
        <v>1005</v>
      </c>
      <c r="K177">
        <f>_xlfn.XLOOKUP([1]Transactions!D177,[1]Inventory!$C$2:$C$501,[1]Inventory!$A$2:$A$501)</f>
        <v>71</v>
      </c>
      <c r="L177">
        <f>_xlfn.XLOOKUP(K177,[1]Inventory!$A$2:$A$501,[1]Inventory!$D$2:$D$501)</f>
        <v>288</v>
      </c>
      <c r="M177">
        <f>_xlfn.XLOOKUP(K177,[1]Inventory!$A$2:$A$501,[1]Inventory!$E$2:$E$501)</f>
        <v>130</v>
      </c>
      <c r="N177" t="str">
        <f>_xlfn.XLOOKUP([1]Transactions!C177,[1]Customers!$A$2:$A$201,[1]Customers!$G$2:$G$201)</f>
        <v>Telangana</v>
      </c>
      <c r="O177" t="str">
        <f>_xlfn.XLOOKUP(C177,[1]Customers!$A$2:$A$201,[1]Customers!$H$2:$H$201)</f>
        <v>South</v>
      </c>
      <c r="P177" t="str">
        <f>_xlfn.XLOOKUP(C177,[1]Customers!$A$2:$A$201,[1]Customers!$F$2:$F$201)</f>
        <v>Hyderabad</v>
      </c>
      <c r="Q177">
        <f>_xlfn.XLOOKUP(C177,[1]Customers!$A$2:$A$201,[1]Customers!$D$2:$D$201)</f>
        <v>53</v>
      </c>
      <c r="R177" t="str">
        <f>_xlfn.XLOOKUP([1]Transactions!C177,[1]Customers!$A$2:$A$201,[1]Customers!$C$2:$C$201)</f>
        <v>Female</v>
      </c>
      <c r="S177" t="str">
        <f>_xlfn.XLOOKUP(C177,[1]Customers!$A$2:$A$201,[1]Customers!$B$2:$B$201)</f>
        <v>Customer_130</v>
      </c>
      <c r="T177" t="str">
        <f>_xlfn.XLOOKUP(D177,[1]Products!$A$2:$A$101,[1]Products!$C$2:$C$101)</f>
        <v>Grocery</v>
      </c>
      <c r="U177">
        <f>_xlfn.XLOOKUP(D177,[1]Products!$A$2:$A$101,[1]Products!$E$2:$E$101)</f>
        <v>127</v>
      </c>
      <c r="V177">
        <f>[1]Transactions!F177*[1]Transactions!U177</f>
        <v>635</v>
      </c>
    </row>
    <row r="178" spans="1:22" x14ac:dyDescent="0.3">
      <c r="A178">
        <v>177</v>
      </c>
      <c r="B178">
        <v>74</v>
      </c>
      <c r="C178">
        <v>57</v>
      </c>
      <c r="D178">
        <v>50</v>
      </c>
      <c r="E178">
        <v>22</v>
      </c>
      <c r="F178">
        <v>2</v>
      </c>
      <c r="G178">
        <v>460</v>
      </c>
      <c r="H178">
        <v>920</v>
      </c>
      <c r="I178">
        <v>34</v>
      </c>
      <c r="J178">
        <f>[1]Transactions!F178*[1]Transactions!G178</f>
        <v>920</v>
      </c>
      <c r="K178">
        <f>_xlfn.XLOOKUP([1]Transactions!D178,[1]Inventory!$C$2:$C$501,[1]Inventory!$A$2:$A$501)</f>
        <v>50</v>
      </c>
      <c r="L178">
        <f>_xlfn.XLOOKUP(K178,[1]Inventory!$A$2:$A$501,[1]Inventory!$D$2:$D$501)</f>
        <v>220</v>
      </c>
      <c r="M178">
        <f>_xlfn.XLOOKUP(K178,[1]Inventory!$A$2:$A$501,[1]Inventory!$E$2:$E$501)</f>
        <v>144</v>
      </c>
      <c r="N178" t="str">
        <f>_xlfn.XLOOKUP([1]Transactions!C178,[1]Customers!$A$2:$A$201,[1]Customers!$G$2:$G$201)</f>
        <v>Telangana</v>
      </c>
      <c r="O178" t="str">
        <f>_xlfn.XLOOKUP(C178,[1]Customers!$A$2:$A$201,[1]Customers!$H$2:$H$201)</f>
        <v>South</v>
      </c>
      <c r="P178" t="str">
        <f>_xlfn.XLOOKUP(C178,[1]Customers!$A$2:$A$201,[1]Customers!$F$2:$F$201)</f>
        <v>Hyderabad</v>
      </c>
      <c r="Q178">
        <f>_xlfn.XLOOKUP(C178,[1]Customers!$A$2:$A$201,[1]Customers!$D$2:$D$201)</f>
        <v>24</v>
      </c>
      <c r="R178" t="str">
        <f>_xlfn.XLOOKUP([1]Transactions!C178,[1]Customers!$A$2:$A$201,[1]Customers!$C$2:$C$201)</f>
        <v>Male</v>
      </c>
      <c r="S178" t="str">
        <f>_xlfn.XLOOKUP(C178,[1]Customers!$A$2:$A$201,[1]Customers!$B$2:$B$201)</f>
        <v>Customer_57</v>
      </c>
      <c r="T178" t="str">
        <f>_xlfn.XLOOKUP(D178,[1]Products!$A$2:$A$101,[1]Products!$C$2:$C$101)</f>
        <v>Personal Care</v>
      </c>
      <c r="U178">
        <f>_xlfn.XLOOKUP(D178,[1]Products!$A$2:$A$101,[1]Products!$E$2:$E$101)</f>
        <v>407</v>
      </c>
      <c r="V178">
        <f>[1]Transactions!F178*[1]Transactions!U178</f>
        <v>814</v>
      </c>
    </row>
    <row r="179" spans="1:22" x14ac:dyDescent="0.3">
      <c r="A179">
        <v>178</v>
      </c>
      <c r="B179">
        <v>20</v>
      </c>
      <c r="C179">
        <v>94</v>
      </c>
      <c r="D179">
        <v>48</v>
      </c>
      <c r="E179">
        <v>40</v>
      </c>
      <c r="F179">
        <v>1</v>
      </c>
      <c r="G179">
        <v>187</v>
      </c>
      <c r="H179">
        <v>187</v>
      </c>
      <c r="I179">
        <v>45</v>
      </c>
      <c r="J179">
        <f>[1]Transactions!F179*[1]Transactions!G179</f>
        <v>187</v>
      </c>
      <c r="K179">
        <f>_xlfn.XLOOKUP([1]Transactions!D179,[1]Inventory!$C$2:$C$501,[1]Inventory!$A$2:$A$501)</f>
        <v>86</v>
      </c>
      <c r="L179">
        <f>_xlfn.XLOOKUP(K179,[1]Inventory!$A$2:$A$501,[1]Inventory!$D$2:$D$501)</f>
        <v>310</v>
      </c>
      <c r="M179">
        <f>_xlfn.XLOOKUP(K179,[1]Inventory!$A$2:$A$501,[1]Inventory!$E$2:$E$501)</f>
        <v>76</v>
      </c>
      <c r="N179" t="str">
        <f>_xlfn.XLOOKUP([1]Transactions!C179,[1]Customers!$A$2:$A$201,[1]Customers!$G$2:$G$201)</f>
        <v>UP</v>
      </c>
      <c r="O179" t="str">
        <f>_xlfn.XLOOKUP(C179,[1]Customers!$A$2:$A$201,[1]Customers!$H$2:$H$201)</f>
        <v>North</v>
      </c>
      <c r="P179" t="str">
        <f>_xlfn.XLOOKUP(C179,[1]Customers!$A$2:$A$201,[1]Customers!$F$2:$F$201)</f>
        <v>Lucknow</v>
      </c>
      <c r="Q179">
        <f>_xlfn.XLOOKUP(C179,[1]Customers!$A$2:$A$201,[1]Customers!$D$2:$D$201)</f>
        <v>45</v>
      </c>
      <c r="R179" t="str">
        <f>_xlfn.XLOOKUP([1]Transactions!C179,[1]Customers!$A$2:$A$201,[1]Customers!$C$2:$C$201)</f>
        <v>Female</v>
      </c>
      <c r="S179" t="str">
        <f>_xlfn.XLOOKUP(C179,[1]Customers!$A$2:$A$201,[1]Customers!$B$2:$B$201)</f>
        <v>Customer_94</v>
      </c>
      <c r="T179" t="str">
        <f>_xlfn.XLOOKUP(D179,[1]Products!$A$2:$A$101,[1]Products!$C$2:$C$101)</f>
        <v>Snacks</v>
      </c>
      <c r="U179">
        <f>_xlfn.XLOOKUP(D179,[1]Products!$A$2:$A$101,[1]Products!$E$2:$E$101)</f>
        <v>315</v>
      </c>
      <c r="V179">
        <f>[1]Transactions!F179*[1]Transactions!U179</f>
        <v>315</v>
      </c>
    </row>
    <row r="180" spans="1:22" x14ac:dyDescent="0.3">
      <c r="A180">
        <v>179</v>
      </c>
      <c r="B180">
        <v>145</v>
      </c>
      <c r="C180">
        <v>40</v>
      </c>
      <c r="D180">
        <v>64</v>
      </c>
      <c r="E180">
        <v>31</v>
      </c>
      <c r="F180">
        <v>2</v>
      </c>
      <c r="G180">
        <v>485</v>
      </c>
      <c r="H180">
        <v>970</v>
      </c>
      <c r="I180">
        <v>51</v>
      </c>
      <c r="J180">
        <f>[1]Transactions!F180*[1]Transactions!G180</f>
        <v>970</v>
      </c>
      <c r="K180">
        <f>_xlfn.XLOOKUP([1]Transactions!D180,[1]Inventory!$C$2:$C$501,[1]Inventory!$A$2:$A$501)</f>
        <v>66</v>
      </c>
      <c r="L180">
        <f>_xlfn.XLOOKUP(K180,[1]Inventory!$A$2:$A$501,[1]Inventory!$D$2:$D$501)</f>
        <v>460</v>
      </c>
      <c r="M180">
        <f>_xlfn.XLOOKUP(K180,[1]Inventory!$A$2:$A$501,[1]Inventory!$E$2:$E$501)</f>
        <v>179</v>
      </c>
      <c r="N180" t="str">
        <f>_xlfn.XLOOKUP([1]Transactions!C180,[1]Customers!$A$2:$A$201,[1]Customers!$G$2:$G$201)</f>
        <v>Maharashtra</v>
      </c>
      <c r="O180" t="str">
        <f>_xlfn.XLOOKUP(C180,[1]Customers!$A$2:$A$201,[1]Customers!$H$2:$H$201)</f>
        <v>West</v>
      </c>
      <c r="P180" t="str">
        <f>_xlfn.XLOOKUP(C180,[1]Customers!$A$2:$A$201,[1]Customers!$F$2:$F$201)</f>
        <v>Mumbai</v>
      </c>
      <c r="Q180">
        <f>_xlfn.XLOOKUP(C180,[1]Customers!$A$2:$A$201,[1]Customers!$D$2:$D$201)</f>
        <v>51</v>
      </c>
      <c r="R180" t="str">
        <f>_xlfn.XLOOKUP([1]Transactions!C180,[1]Customers!$A$2:$A$201,[1]Customers!$C$2:$C$201)</f>
        <v>Male</v>
      </c>
      <c r="S180" t="str">
        <f>_xlfn.XLOOKUP(C180,[1]Customers!$A$2:$A$201,[1]Customers!$B$2:$B$201)</f>
        <v>Customer_40</v>
      </c>
      <c r="T180" t="str">
        <f>_xlfn.XLOOKUP(D180,[1]Products!$A$2:$A$101,[1]Products!$C$2:$C$101)</f>
        <v>Snacks</v>
      </c>
      <c r="U180">
        <f>_xlfn.XLOOKUP(D180,[1]Products!$A$2:$A$101,[1]Products!$E$2:$E$101)</f>
        <v>461</v>
      </c>
      <c r="V180">
        <f>[1]Transactions!F180*[1]Transactions!U180</f>
        <v>922</v>
      </c>
    </row>
    <row r="181" spans="1:22" x14ac:dyDescent="0.3">
      <c r="A181">
        <v>180</v>
      </c>
      <c r="B181">
        <v>26</v>
      </c>
      <c r="C181">
        <v>149</v>
      </c>
      <c r="D181">
        <v>33</v>
      </c>
      <c r="E181">
        <v>12</v>
      </c>
      <c r="F181">
        <v>5</v>
      </c>
      <c r="G181">
        <v>331</v>
      </c>
      <c r="H181">
        <v>1655</v>
      </c>
      <c r="I181">
        <v>24</v>
      </c>
      <c r="J181">
        <f>[1]Transactions!F181*[1]Transactions!G181</f>
        <v>1655</v>
      </c>
      <c r="K181">
        <f>_xlfn.XLOOKUP([1]Transactions!D181,[1]Inventory!$C$2:$C$501,[1]Inventory!$A$2:$A$501)</f>
        <v>77</v>
      </c>
      <c r="L181">
        <f>_xlfn.XLOOKUP(K181,[1]Inventory!$A$2:$A$501,[1]Inventory!$D$2:$D$501)</f>
        <v>5</v>
      </c>
      <c r="M181">
        <f>_xlfn.XLOOKUP(K181,[1]Inventory!$A$2:$A$501,[1]Inventory!$E$2:$E$501)</f>
        <v>43</v>
      </c>
      <c r="N181" t="str">
        <f>_xlfn.XLOOKUP([1]Transactions!C181,[1]Customers!$A$2:$A$201,[1]Customers!$G$2:$G$201)</f>
        <v>Maharashtra</v>
      </c>
      <c r="O181" t="str">
        <f>_xlfn.XLOOKUP(C181,[1]Customers!$A$2:$A$201,[1]Customers!$H$2:$H$201)</f>
        <v>West</v>
      </c>
      <c r="P181" t="str">
        <f>_xlfn.XLOOKUP(C181,[1]Customers!$A$2:$A$201,[1]Customers!$F$2:$F$201)</f>
        <v>Mumbai</v>
      </c>
      <c r="Q181">
        <f>_xlfn.XLOOKUP(C181,[1]Customers!$A$2:$A$201,[1]Customers!$D$2:$D$201)</f>
        <v>52</v>
      </c>
      <c r="R181" t="str">
        <f>_xlfn.XLOOKUP([1]Transactions!C181,[1]Customers!$A$2:$A$201,[1]Customers!$C$2:$C$201)</f>
        <v>Female</v>
      </c>
      <c r="S181" t="str">
        <f>_xlfn.XLOOKUP(C181,[1]Customers!$A$2:$A$201,[1]Customers!$B$2:$B$201)</f>
        <v>Customer_149</v>
      </c>
      <c r="T181" t="str">
        <f>_xlfn.XLOOKUP(D181,[1]Products!$A$2:$A$101,[1]Products!$C$2:$C$101)</f>
        <v>Beverages</v>
      </c>
      <c r="U181">
        <f>_xlfn.XLOOKUP(D181,[1]Products!$A$2:$A$101,[1]Products!$E$2:$E$101)</f>
        <v>51</v>
      </c>
      <c r="V181">
        <f>[1]Transactions!F181*[1]Transactions!U181</f>
        <v>255</v>
      </c>
    </row>
    <row r="182" spans="1:22" x14ac:dyDescent="0.3">
      <c r="A182">
        <v>181</v>
      </c>
      <c r="B182">
        <v>51</v>
      </c>
      <c r="C182">
        <v>47</v>
      </c>
      <c r="D182">
        <v>59</v>
      </c>
      <c r="E182">
        <v>42</v>
      </c>
      <c r="F182">
        <v>4</v>
      </c>
      <c r="G182">
        <v>341</v>
      </c>
      <c r="H182">
        <v>1364</v>
      </c>
      <c r="I182">
        <v>30</v>
      </c>
      <c r="J182">
        <f>[1]Transactions!F182*[1]Transactions!G182</f>
        <v>1364</v>
      </c>
      <c r="K182">
        <f>_xlfn.XLOOKUP([1]Transactions!D182,[1]Inventory!$C$2:$C$501,[1]Inventory!$A$2:$A$501)</f>
        <v>148</v>
      </c>
      <c r="L182">
        <f>_xlfn.XLOOKUP(K182,[1]Inventory!$A$2:$A$501,[1]Inventory!$D$2:$D$501)</f>
        <v>410</v>
      </c>
      <c r="M182">
        <f>_xlfn.XLOOKUP(K182,[1]Inventory!$A$2:$A$501,[1]Inventory!$E$2:$E$501)</f>
        <v>25</v>
      </c>
      <c r="N182" t="str">
        <f>_xlfn.XLOOKUP([1]Transactions!C182,[1]Customers!$A$2:$A$201,[1]Customers!$G$2:$G$201)</f>
        <v>West Bengal</v>
      </c>
      <c r="O182" t="str">
        <f>_xlfn.XLOOKUP(C182,[1]Customers!$A$2:$A$201,[1]Customers!$H$2:$H$201)</f>
        <v>East</v>
      </c>
      <c r="P182" t="str">
        <f>_xlfn.XLOOKUP(C182,[1]Customers!$A$2:$A$201,[1]Customers!$F$2:$F$201)</f>
        <v>Kolkata</v>
      </c>
      <c r="Q182">
        <f>_xlfn.XLOOKUP(C182,[1]Customers!$A$2:$A$201,[1]Customers!$D$2:$D$201)</f>
        <v>33</v>
      </c>
      <c r="R182" t="str">
        <f>_xlfn.XLOOKUP([1]Transactions!C182,[1]Customers!$A$2:$A$201,[1]Customers!$C$2:$C$201)</f>
        <v>Male</v>
      </c>
      <c r="S182" t="str">
        <f>_xlfn.XLOOKUP(C182,[1]Customers!$A$2:$A$201,[1]Customers!$B$2:$B$201)</f>
        <v>Customer_47</v>
      </c>
      <c r="T182" t="str">
        <f>_xlfn.XLOOKUP(D182,[1]Products!$A$2:$A$101,[1]Products!$C$2:$C$101)</f>
        <v>Dairy</v>
      </c>
      <c r="U182">
        <f>_xlfn.XLOOKUP(D182,[1]Products!$A$2:$A$101,[1]Products!$E$2:$E$101)</f>
        <v>183</v>
      </c>
      <c r="V182">
        <f>[1]Transactions!F182*[1]Transactions!U182</f>
        <v>732</v>
      </c>
    </row>
    <row r="183" spans="1:22" x14ac:dyDescent="0.3">
      <c r="A183">
        <v>182</v>
      </c>
      <c r="B183">
        <v>65</v>
      </c>
      <c r="C183">
        <v>19</v>
      </c>
      <c r="D183">
        <v>23</v>
      </c>
      <c r="E183">
        <v>18</v>
      </c>
      <c r="F183">
        <v>5</v>
      </c>
      <c r="G183">
        <v>369</v>
      </c>
      <c r="H183">
        <v>1845</v>
      </c>
      <c r="I183">
        <v>11</v>
      </c>
      <c r="J183">
        <f>[1]Transactions!F183*[1]Transactions!G183</f>
        <v>1845</v>
      </c>
      <c r="K183">
        <f>_xlfn.XLOOKUP([1]Transactions!D183,[1]Inventory!$C$2:$C$501,[1]Inventory!$A$2:$A$501)</f>
        <v>127</v>
      </c>
      <c r="L183">
        <f>_xlfn.XLOOKUP(K183,[1]Inventory!$A$2:$A$501,[1]Inventory!$D$2:$D$501)</f>
        <v>144</v>
      </c>
      <c r="M183">
        <f>_xlfn.XLOOKUP(K183,[1]Inventory!$A$2:$A$501,[1]Inventory!$E$2:$E$501)</f>
        <v>95</v>
      </c>
      <c r="N183" t="str">
        <f>_xlfn.XLOOKUP([1]Transactions!C183,[1]Customers!$A$2:$A$201,[1]Customers!$G$2:$G$201)</f>
        <v>Maharashtra</v>
      </c>
      <c r="O183" t="str">
        <f>_xlfn.XLOOKUP(C183,[1]Customers!$A$2:$A$201,[1]Customers!$H$2:$H$201)</f>
        <v>West</v>
      </c>
      <c r="P183" t="str">
        <f>_xlfn.XLOOKUP(C183,[1]Customers!$A$2:$A$201,[1]Customers!$F$2:$F$201)</f>
        <v>Pune</v>
      </c>
      <c r="Q183">
        <f>_xlfn.XLOOKUP(C183,[1]Customers!$A$2:$A$201,[1]Customers!$D$2:$D$201)</f>
        <v>39</v>
      </c>
      <c r="R183" t="str">
        <f>_xlfn.XLOOKUP([1]Transactions!C183,[1]Customers!$A$2:$A$201,[1]Customers!$C$2:$C$201)</f>
        <v>Female</v>
      </c>
      <c r="S183" t="str">
        <f>_xlfn.XLOOKUP(C183,[1]Customers!$A$2:$A$201,[1]Customers!$B$2:$B$201)</f>
        <v>Customer_19</v>
      </c>
      <c r="T183" t="str">
        <f>_xlfn.XLOOKUP(D183,[1]Products!$A$2:$A$101,[1]Products!$C$2:$C$101)</f>
        <v>Grocery</v>
      </c>
      <c r="U183">
        <f>_xlfn.XLOOKUP(D183,[1]Products!$A$2:$A$101,[1]Products!$E$2:$E$101)</f>
        <v>370</v>
      </c>
      <c r="V183">
        <f>[1]Transactions!F183*[1]Transactions!U183</f>
        <v>1850</v>
      </c>
    </row>
    <row r="184" spans="1:22" x14ac:dyDescent="0.3">
      <c r="A184">
        <v>183</v>
      </c>
      <c r="B184">
        <v>91</v>
      </c>
      <c r="C184">
        <v>62</v>
      </c>
      <c r="D184">
        <v>58</v>
      </c>
      <c r="E184">
        <v>46</v>
      </c>
      <c r="F184">
        <v>4</v>
      </c>
      <c r="G184">
        <v>204</v>
      </c>
      <c r="H184">
        <v>816</v>
      </c>
      <c r="I184">
        <v>33</v>
      </c>
      <c r="J184">
        <f>[1]Transactions!F184*[1]Transactions!G184</f>
        <v>816</v>
      </c>
      <c r="K184">
        <f>_xlfn.XLOOKUP([1]Transactions!D184,[1]Inventory!$C$2:$C$501,[1]Inventory!$A$2:$A$501)</f>
        <v>382</v>
      </c>
      <c r="L184">
        <f>_xlfn.XLOOKUP(K184,[1]Inventory!$A$2:$A$501,[1]Inventory!$D$2:$D$501)</f>
        <v>113</v>
      </c>
      <c r="M184">
        <f>_xlfn.XLOOKUP(K184,[1]Inventory!$A$2:$A$501,[1]Inventory!$E$2:$E$501)</f>
        <v>1</v>
      </c>
      <c r="N184" t="str">
        <f>_xlfn.XLOOKUP([1]Transactions!C184,[1]Customers!$A$2:$A$201,[1]Customers!$G$2:$G$201)</f>
        <v>Telangana</v>
      </c>
      <c r="O184" t="str">
        <f>_xlfn.XLOOKUP(C184,[1]Customers!$A$2:$A$201,[1]Customers!$H$2:$H$201)</f>
        <v>South</v>
      </c>
      <c r="P184" t="str">
        <f>_xlfn.XLOOKUP(C184,[1]Customers!$A$2:$A$201,[1]Customers!$F$2:$F$201)</f>
        <v>Hyderabad</v>
      </c>
      <c r="Q184">
        <f>_xlfn.XLOOKUP(C184,[1]Customers!$A$2:$A$201,[1]Customers!$D$2:$D$201)</f>
        <v>30</v>
      </c>
      <c r="R184" t="str">
        <f>_xlfn.XLOOKUP([1]Transactions!C184,[1]Customers!$A$2:$A$201,[1]Customers!$C$2:$C$201)</f>
        <v>Male</v>
      </c>
      <c r="S184" t="str">
        <f>_xlfn.XLOOKUP(C184,[1]Customers!$A$2:$A$201,[1]Customers!$B$2:$B$201)</f>
        <v>Customer_62</v>
      </c>
      <c r="T184" t="str">
        <f>_xlfn.XLOOKUP(D184,[1]Products!$A$2:$A$101,[1]Products!$C$2:$C$101)</f>
        <v>Beverages</v>
      </c>
      <c r="U184">
        <f>_xlfn.XLOOKUP(D184,[1]Products!$A$2:$A$101,[1]Products!$E$2:$E$101)</f>
        <v>426</v>
      </c>
      <c r="V184">
        <f>[1]Transactions!F184*[1]Transactions!U184</f>
        <v>1704</v>
      </c>
    </row>
    <row r="185" spans="1:22" x14ac:dyDescent="0.3">
      <c r="A185">
        <v>184</v>
      </c>
      <c r="B185">
        <v>136</v>
      </c>
      <c r="C185">
        <v>88</v>
      </c>
      <c r="D185">
        <v>41</v>
      </c>
      <c r="E185">
        <v>50</v>
      </c>
      <c r="F185">
        <v>1</v>
      </c>
      <c r="G185">
        <v>473</v>
      </c>
      <c r="H185">
        <v>473</v>
      </c>
      <c r="I185">
        <v>25</v>
      </c>
      <c r="J185">
        <f>[1]Transactions!F185*[1]Transactions!G185</f>
        <v>473</v>
      </c>
      <c r="K185">
        <f>_xlfn.XLOOKUP([1]Transactions!D185,[1]Inventory!$C$2:$C$501,[1]Inventory!$A$2:$A$501)</f>
        <v>19</v>
      </c>
      <c r="L185">
        <f>_xlfn.XLOOKUP(K185,[1]Inventory!$A$2:$A$501,[1]Inventory!$D$2:$D$501)</f>
        <v>60</v>
      </c>
      <c r="M185">
        <f>_xlfn.XLOOKUP(K185,[1]Inventory!$A$2:$A$501,[1]Inventory!$E$2:$E$501)</f>
        <v>140</v>
      </c>
      <c r="N185" t="str">
        <f>_xlfn.XLOOKUP([1]Transactions!C185,[1]Customers!$A$2:$A$201,[1]Customers!$G$2:$G$201)</f>
        <v>West Bengal</v>
      </c>
      <c r="O185" t="str">
        <f>_xlfn.XLOOKUP(C185,[1]Customers!$A$2:$A$201,[1]Customers!$H$2:$H$201)</f>
        <v>East</v>
      </c>
      <c r="P185" t="str">
        <f>_xlfn.XLOOKUP(C185,[1]Customers!$A$2:$A$201,[1]Customers!$F$2:$F$201)</f>
        <v>Kolkata</v>
      </c>
      <c r="Q185">
        <f>_xlfn.XLOOKUP(C185,[1]Customers!$A$2:$A$201,[1]Customers!$D$2:$D$201)</f>
        <v>36</v>
      </c>
      <c r="R185" t="str">
        <f>_xlfn.XLOOKUP([1]Transactions!C185,[1]Customers!$A$2:$A$201,[1]Customers!$C$2:$C$201)</f>
        <v>Female</v>
      </c>
      <c r="S185" t="str">
        <f>_xlfn.XLOOKUP(C185,[1]Customers!$A$2:$A$201,[1]Customers!$B$2:$B$201)</f>
        <v>Customer_88</v>
      </c>
      <c r="T185" t="str">
        <f>_xlfn.XLOOKUP(D185,[1]Products!$A$2:$A$101,[1]Products!$C$2:$C$101)</f>
        <v>Snacks</v>
      </c>
      <c r="U185">
        <f>_xlfn.XLOOKUP(D185,[1]Products!$A$2:$A$101,[1]Products!$E$2:$E$101)</f>
        <v>459</v>
      </c>
      <c r="V185">
        <f>[1]Transactions!F185*[1]Transactions!U185</f>
        <v>459</v>
      </c>
    </row>
    <row r="186" spans="1:22" x14ac:dyDescent="0.3">
      <c r="A186">
        <v>185</v>
      </c>
      <c r="B186">
        <v>16</v>
      </c>
      <c r="C186">
        <v>160</v>
      </c>
      <c r="D186">
        <v>22</v>
      </c>
      <c r="E186">
        <v>29</v>
      </c>
      <c r="F186">
        <v>3</v>
      </c>
      <c r="G186">
        <v>286</v>
      </c>
      <c r="H186">
        <v>858</v>
      </c>
      <c r="I186">
        <v>29</v>
      </c>
      <c r="J186">
        <f>[1]Transactions!F186*[1]Transactions!G186</f>
        <v>858</v>
      </c>
      <c r="K186">
        <f>_xlfn.XLOOKUP([1]Transactions!D186,[1]Inventory!$C$2:$C$501,[1]Inventory!$A$2:$A$501)</f>
        <v>9</v>
      </c>
      <c r="L186">
        <f>_xlfn.XLOOKUP(K186,[1]Inventory!$A$2:$A$501,[1]Inventory!$D$2:$D$501)</f>
        <v>177</v>
      </c>
      <c r="M186">
        <f>_xlfn.XLOOKUP(K186,[1]Inventory!$A$2:$A$501,[1]Inventory!$E$2:$E$501)</f>
        <v>107</v>
      </c>
      <c r="N186" t="str">
        <f>_xlfn.XLOOKUP([1]Transactions!C186,[1]Customers!$A$2:$A$201,[1]Customers!$G$2:$G$201)</f>
        <v>Gujarat</v>
      </c>
      <c r="O186" t="str">
        <f>_xlfn.XLOOKUP(C186,[1]Customers!$A$2:$A$201,[1]Customers!$H$2:$H$201)</f>
        <v>West</v>
      </c>
      <c r="P186" t="str">
        <f>_xlfn.XLOOKUP(C186,[1]Customers!$A$2:$A$201,[1]Customers!$F$2:$F$201)</f>
        <v>Ahmedabad</v>
      </c>
      <c r="Q186">
        <f>_xlfn.XLOOKUP(C186,[1]Customers!$A$2:$A$201,[1]Customers!$D$2:$D$201)</f>
        <v>25</v>
      </c>
      <c r="R186" t="str">
        <f>_xlfn.XLOOKUP([1]Transactions!C186,[1]Customers!$A$2:$A$201,[1]Customers!$C$2:$C$201)</f>
        <v>Female</v>
      </c>
      <c r="S186" t="str">
        <f>_xlfn.XLOOKUP(C186,[1]Customers!$A$2:$A$201,[1]Customers!$B$2:$B$201)</f>
        <v>Customer_160</v>
      </c>
      <c r="T186" t="str">
        <f>_xlfn.XLOOKUP(D186,[1]Products!$A$2:$A$101,[1]Products!$C$2:$C$101)</f>
        <v>Snacks</v>
      </c>
      <c r="U186">
        <f>_xlfn.XLOOKUP(D186,[1]Products!$A$2:$A$101,[1]Products!$E$2:$E$101)</f>
        <v>482</v>
      </c>
      <c r="V186">
        <f>[1]Transactions!F186*[1]Transactions!U186</f>
        <v>1446</v>
      </c>
    </row>
    <row r="187" spans="1:22" x14ac:dyDescent="0.3">
      <c r="A187">
        <v>186</v>
      </c>
      <c r="B187">
        <v>159</v>
      </c>
      <c r="C187">
        <v>193</v>
      </c>
      <c r="D187">
        <v>93</v>
      </c>
      <c r="E187">
        <v>4</v>
      </c>
      <c r="F187">
        <v>1</v>
      </c>
      <c r="G187">
        <v>408</v>
      </c>
      <c r="H187">
        <v>408</v>
      </c>
      <c r="I187">
        <v>50</v>
      </c>
      <c r="J187">
        <f>[1]Transactions!F187*[1]Transactions!G187</f>
        <v>408</v>
      </c>
      <c r="K187">
        <f>_xlfn.XLOOKUP([1]Transactions!D187,[1]Inventory!$C$2:$C$501,[1]Inventory!$A$2:$A$501)</f>
        <v>35</v>
      </c>
      <c r="L187">
        <f>_xlfn.XLOOKUP(K187,[1]Inventory!$A$2:$A$501,[1]Inventory!$D$2:$D$501)</f>
        <v>402</v>
      </c>
      <c r="M187">
        <f>_xlfn.XLOOKUP(K187,[1]Inventory!$A$2:$A$501,[1]Inventory!$E$2:$E$501)</f>
        <v>94</v>
      </c>
      <c r="N187" t="str">
        <f>_xlfn.XLOOKUP([1]Transactions!C187,[1]Customers!$A$2:$A$201,[1]Customers!$G$2:$G$201)</f>
        <v>Telangana</v>
      </c>
      <c r="O187" t="str">
        <f>_xlfn.XLOOKUP(C187,[1]Customers!$A$2:$A$201,[1]Customers!$H$2:$H$201)</f>
        <v>South</v>
      </c>
      <c r="P187" t="str">
        <f>_xlfn.XLOOKUP(C187,[1]Customers!$A$2:$A$201,[1]Customers!$F$2:$F$201)</f>
        <v>Hyderabad</v>
      </c>
      <c r="Q187">
        <f>_xlfn.XLOOKUP(C187,[1]Customers!$A$2:$A$201,[1]Customers!$D$2:$D$201)</f>
        <v>49</v>
      </c>
      <c r="R187" t="str">
        <f>_xlfn.XLOOKUP([1]Transactions!C187,[1]Customers!$A$2:$A$201,[1]Customers!$C$2:$C$201)</f>
        <v>Female</v>
      </c>
      <c r="S187" t="str">
        <f>_xlfn.XLOOKUP(C187,[1]Customers!$A$2:$A$201,[1]Customers!$B$2:$B$201)</f>
        <v>Customer_193</v>
      </c>
      <c r="T187" t="str">
        <f>_xlfn.XLOOKUP(D187,[1]Products!$A$2:$A$101,[1]Products!$C$2:$C$101)</f>
        <v>Beverages</v>
      </c>
      <c r="U187">
        <f>_xlfn.XLOOKUP(D187,[1]Products!$A$2:$A$101,[1]Products!$E$2:$E$101)</f>
        <v>423</v>
      </c>
      <c r="V187">
        <f>[1]Transactions!F187*[1]Transactions!U187</f>
        <v>423</v>
      </c>
    </row>
    <row r="188" spans="1:22" x14ac:dyDescent="0.3">
      <c r="A188">
        <v>187</v>
      </c>
      <c r="B188">
        <v>91</v>
      </c>
      <c r="C188">
        <v>33</v>
      </c>
      <c r="D188">
        <v>60</v>
      </c>
      <c r="E188">
        <v>28</v>
      </c>
      <c r="F188">
        <v>2</v>
      </c>
      <c r="G188">
        <v>473</v>
      </c>
      <c r="H188">
        <v>946</v>
      </c>
      <c r="I188">
        <v>53</v>
      </c>
      <c r="J188">
        <f>[1]Transactions!F188*[1]Transactions!G188</f>
        <v>946</v>
      </c>
      <c r="K188">
        <f>_xlfn.XLOOKUP([1]Transactions!D188,[1]Inventory!$C$2:$C$501,[1]Inventory!$A$2:$A$501)</f>
        <v>40</v>
      </c>
      <c r="L188">
        <f>_xlfn.XLOOKUP(K188,[1]Inventory!$A$2:$A$501,[1]Inventory!$D$2:$D$501)</f>
        <v>401</v>
      </c>
      <c r="M188">
        <f>_xlfn.XLOOKUP(K188,[1]Inventory!$A$2:$A$501,[1]Inventory!$E$2:$E$501)</f>
        <v>4</v>
      </c>
      <c r="N188" t="str">
        <f>_xlfn.XLOOKUP([1]Transactions!C188,[1]Customers!$A$2:$A$201,[1]Customers!$G$2:$G$201)</f>
        <v>West Bengal</v>
      </c>
      <c r="O188" t="str">
        <f>_xlfn.XLOOKUP(C188,[1]Customers!$A$2:$A$201,[1]Customers!$H$2:$H$201)</f>
        <v>East</v>
      </c>
      <c r="P188" t="str">
        <f>_xlfn.XLOOKUP(C188,[1]Customers!$A$2:$A$201,[1]Customers!$F$2:$F$201)</f>
        <v>Kolkata</v>
      </c>
      <c r="Q188">
        <f>_xlfn.XLOOKUP(C188,[1]Customers!$A$2:$A$201,[1]Customers!$D$2:$D$201)</f>
        <v>20</v>
      </c>
      <c r="R188" t="str">
        <f>_xlfn.XLOOKUP([1]Transactions!C188,[1]Customers!$A$2:$A$201,[1]Customers!$C$2:$C$201)</f>
        <v>Female</v>
      </c>
      <c r="S188" t="str">
        <f>_xlfn.XLOOKUP(C188,[1]Customers!$A$2:$A$201,[1]Customers!$B$2:$B$201)</f>
        <v>Customer_33</v>
      </c>
      <c r="T188" t="str">
        <f>_xlfn.XLOOKUP(D188,[1]Products!$A$2:$A$101,[1]Products!$C$2:$C$101)</f>
        <v>Dairy</v>
      </c>
      <c r="U188">
        <f>_xlfn.XLOOKUP(D188,[1]Products!$A$2:$A$101,[1]Products!$E$2:$E$101)</f>
        <v>435</v>
      </c>
      <c r="V188">
        <f>[1]Transactions!F188*[1]Transactions!U188</f>
        <v>870</v>
      </c>
    </row>
    <row r="189" spans="1:22" x14ac:dyDescent="0.3">
      <c r="A189">
        <v>188</v>
      </c>
      <c r="B189">
        <v>102</v>
      </c>
      <c r="C189">
        <v>132</v>
      </c>
      <c r="D189">
        <v>72</v>
      </c>
      <c r="E189">
        <v>42</v>
      </c>
      <c r="F189">
        <v>2</v>
      </c>
      <c r="G189">
        <v>379</v>
      </c>
      <c r="H189">
        <v>758</v>
      </c>
      <c r="I189">
        <v>56</v>
      </c>
      <c r="J189">
        <f>[1]Transactions!F189*[1]Transactions!G189</f>
        <v>758</v>
      </c>
      <c r="K189">
        <f>_xlfn.XLOOKUP([1]Transactions!D189,[1]Inventory!$C$2:$C$501,[1]Inventory!$A$2:$A$501)</f>
        <v>236</v>
      </c>
      <c r="L189">
        <f>_xlfn.XLOOKUP(K189,[1]Inventory!$A$2:$A$501,[1]Inventory!$D$2:$D$501)</f>
        <v>36</v>
      </c>
      <c r="M189">
        <f>_xlfn.XLOOKUP(K189,[1]Inventory!$A$2:$A$501,[1]Inventory!$E$2:$E$501)</f>
        <v>159</v>
      </c>
      <c r="N189" t="str">
        <f>_xlfn.XLOOKUP([1]Transactions!C189,[1]Customers!$A$2:$A$201,[1]Customers!$G$2:$G$201)</f>
        <v>Tamil Nadu</v>
      </c>
      <c r="O189" t="str">
        <f>_xlfn.XLOOKUP(C189,[1]Customers!$A$2:$A$201,[1]Customers!$H$2:$H$201)</f>
        <v>South</v>
      </c>
      <c r="P189" t="str">
        <f>_xlfn.XLOOKUP(C189,[1]Customers!$A$2:$A$201,[1]Customers!$F$2:$F$201)</f>
        <v>Chennai</v>
      </c>
      <c r="Q189">
        <f>_xlfn.XLOOKUP(C189,[1]Customers!$A$2:$A$201,[1]Customers!$D$2:$D$201)</f>
        <v>28</v>
      </c>
      <c r="R189" t="str">
        <f>_xlfn.XLOOKUP([1]Transactions!C189,[1]Customers!$A$2:$A$201,[1]Customers!$C$2:$C$201)</f>
        <v>Male</v>
      </c>
      <c r="S189" t="str">
        <f>_xlfn.XLOOKUP(C189,[1]Customers!$A$2:$A$201,[1]Customers!$B$2:$B$201)</f>
        <v>Customer_132</v>
      </c>
      <c r="T189" t="str">
        <f>_xlfn.XLOOKUP(D189,[1]Products!$A$2:$A$101,[1]Products!$C$2:$C$101)</f>
        <v>Beverages</v>
      </c>
      <c r="U189">
        <f>_xlfn.XLOOKUP(D189,[1]Products!$A$2:$A$101,[1]Products!$E$2:$E$101)</f>
        <v>465</v>
      </c>
      <c r="V189">
        <f>[1]Transactions!F189*[1]Transactions!U189</f>
        <v>930</v>
      </c>
    </row>
    <row r="190" spans="1:22" x14ac:dyDescent="0.3">
      <c r="A190">
        <v>189</v>
      </c>
      <c r="B190">
        <v>81</v>
      </c>
      <c r="C190">
        <v>161</v>
      </c>
      <c r="D190">
        <v>3</v>
      </c>
      <c r="E190">
        <v>21</v>
      </c>
      <c r="F190">
        <v>4</v>
      </c>
      <c r="G190">
        <v>66</v>
      </c>
      <c r="H190">
        <v>264</v>
      </c>
      <c r="I190">
        <v>58</v>
      </c>
      <c r="J190">
        <f>[1]Transactions!F190*[1]Transactions!G190</f>
        <v>264</v>
      </c>
      <c r="K190">
        <f>_xlfn.XLOOKUP([1]Transactions!D190,[1]Inventory!$C$2:$C$501,[1]Inventory!$A$2:$A$501)</f>
        <v>147</v>
      </c>
      <c r="L190">
        <f>_xlfn.XLOOKUP(K190,[1]Inventory!$A$2:$A$501,[1]Inventory!$D$2:$D$501)</f>
        <v>137</v>
      </c>
      <c r="M190">
        <f>_xlfn.XLOOKUP(K190,[1]Inventory!$A$2:$A$501,[1]Inventory!$E$2:$E$501)</f>
        <v>160</v>
      </c>
      <c r="N190" t="str">
        <f>_xlfn.XLOOKUP([1]Transactions!C190,[1]Customers!$A$2:$A$201,[1]Customers!$G$2:$G$201)</f>
        <v>Telangana</v>
      </c>
      <c r="O190" t="str">
        <f>_xlfn.XLOOKUP(C190,[1]Customers!$A$2:$A$201,[1]Customers!$H$2:$H$201)</f>
        <v>South</v>
      </c>
      <c r="P190" t="str">
        <f>_xlfn.XLOOKUP(C190,[1]Customers!$A$2:$A$201,[1]Customers!$F$2:$F$201)</f>
        <v>Hyderabad</v>
      </c>
      <c r="Q190">
        <f>_xlfn.XLOOKUP(C190,[1]Customers!$A$2:$A$201,[1]Customers!$D$2:$D$201)</f>
        <v>37</v>
      </c>
      <c r="R190" t="str">
        <f>_xlfn.XLOOKUP([1]Transactions!C190,[1]Customers!$A$2:$A$201,[1]Customers!$C$2:$C$201)</f>
        <v>Male</v>
      </c>
      <c r="S190" t="str">
        <f>_xlfn.XLOOKUP(C190,[1]Customers!$A$2:$A$201,[1]Customers!$B$2:$B$201)</f>
        <v>Customer_161</v>
      </c>
      <c r="T190" t="str">
        <f>_xlfn.XLOOKUP(D190,[1]Products!$A$2:$A$101,[1]Products!$C$2:$C$101)</f>
        <v>Dairy</v>
      </c>
      <c r="U190">
        <f>_xlfn.XLOOKUP(D190,[1]Products!$A$2:$A$101,[1]Products!$E$2:$E$101)</f>
        <v>357</v>
      </c>
      <c r="V190">
        <f>[1]Transactions!F190*[1]Transactions!U190</f>
        <v>1428</v>
      </c>
    </row>
    <row r="191" spans="1:22" x14ac:dyDescent="0.3">
      <c r="A191">
        <v>190</v>
      </c>
      <c r="B191">
        <v>4</v>
      </c>
      <c r="C191">
        <v>9</v>
      </c>
      <c r="D191">
        <v>78</v>
      </c>
      <c r="E191">
        <v>40</v>
      </c>
      <c r="F191">
        <v>4</v>
      </c>
      <c r="G191">
        <v>233</v>
      </c>
      <c r="H191">
        <v>932</v>
      </c>
      <c r="I191">
        <v>45</v>
      </c>
      <c r="J191">
        <f>[1]Transactions!F191*[1]Transactions!G191</f>
        <v>932</v>
      </c>
      <c r="K191">
        <f>_xlfn.XLOOKUP([1]Transactions!D191,[1]Inventory!$C$2:$C$501,[1]Inventory!$A$2:$A$501)</f>
        <v>41</v>
      </c>
      <c r="L191">
        <f>_xlfn.XLOOKUP(K191,[1]Inventory!$A$2:$A$501,[1]Inventory!$D$2:$D$501)</f>
        <v>262</v>
      </c>
      <c r="M191">
        <f>_xlfn.XLOOKUP(K191,[1]Inventory!$A$2:$A$501,[1]Inventory!$E$2:$E$501)</f>
        <v>25</v>
      </c>
      <c r="N191" t="str">
        <f>_xlfn.XLOOKUP([1]Transactions!C191,[1]Customers!$A$2:$A$201,[1]Customers!$G$2:$G$201)</f>
        <v>Telangana</v>
      </c>
      <c r="O191" t="str">
        <f>_xlfn.XLOOKUP(C191,[1]Customers!$A$2:$A$201,[1]Customers!$H$2:$H$201)</f>
        <v>South</v>
      </c>
      <c r="P191" t="str">
        <f>_xlfn.XLOOKUP(C191,[1]Customers!$A$2:$A$201,[1]Customers!$F$2:$F$201)</f>
        <v>Hyderabad</v>
      </c>
      <c r="Q191">
        <f>_xlfn.XLOOKUP(C191,[1]Customers!$A$2:$A$201,[1]Customers!$D$2:$D$201)</f>
        <v>31</v>
      </c>
      <c r="R191" t="str">
        <f>_xlfn.XLOOKUP([1]Transactions!C191,[1]Customers!$A$2:$A$201,[1]Customers!$C$2:$C$201)</f>
        <v>Female</v>
      </c>
      <c r="S191" t="str">
        <f>_xlfn.XLOOKUP(C191,[1]Customers!$A$2:$A$201,[1]Customers!$B$2:$B$201)</f>
        <v>Customer_9</v>
      </c>
      <c r="T191" t="str">
        <f>_xlfn.XLOOKUP(D191,[1]Products!$A$2:$A$101,[1]Products!$C$2:$C$101)</f>
        <v>Grocery</v>
      </c>
      <c r="U191">
        <f>_xlfn.XLOOKUP(D191,[1]Products!$A$2:$A$101,[1]Products!$E$2:$E$101)</f>
        <v>88</v>
      </c>
      <c r="V191">
        <f>[1]Transactions!F191*[1]Transactions!U191</f>
        <v>352</v>
      </c>
    </row>
    <row r="192" spans="1:22" x14ac:dyDescent="0.3">
      <c r="A192">
        <v>191</v>
      </c>
      <c r="B192">
        <v>117</v>
      </c>
      <c r="C192">
        <v>91</v>
      </c>
      <c r="D192">
        <v>9</v>
      </c>
      <c r="E192">
        <v>8</v>
      </c>
      <c r="F192">
        <v>4</v>
      </c>
      <c r="G192">
        <v>483</v>
      </c>
      <c r="H192">
        <v>1932</v>
      </c>
      <c r="I192">
        <v>58</v>
      </c>
      <c r="J192">
        <f>[1]Transactions!F192*[1]Transactions!G192</f>
        <v>1932</v>
      </c>
      <c r="K192">
        <f>_xlfn.XLOOKUP([1]Transactions!D192,[1]Inventory!$C$2:$C$501,[1]Inventory!$A$2:$A$501)</f>
        <v>185</v>
      </c>
      <c r="L192">
        <f>_xlfn.XLOOKUP(K192,[1]Inventory!$A$2:$A$501,[1]Inventory!$D$2:$D$501)</f>
        <v>464</v>
      </c>
      <c r="M192">
        <f>_xlfn.XLOOKUP(K192,[1]Inventory!$A$2:$A$501,[1]Inventory!$E$2:$E$501)</f>
        <v>34</v>
      </c>
      <c r="N192" t="str">
        <f>_xlfn.XLOOKUP([1]Transactions!C192,[1]Customers!$A$2:$A$201,[1]Customers!$G$2:$G$201)</f>
        <v>Maharashtra</v>
      </c>
      <c r="O192" t="str">
        <f>_xlfn.XLOOKUP(C192,[1]Customers!$A$2:$A$201,[1]Customers!$H$2:$H$201)</f>
        <v>West</v>
      </c>
      <c r="P192" t="str">
        <f>_xlfn.XLOOKUP(C192,[1]Customers!$A$2:$A$201,[1]Customers!$F$2:$F$201)</f>
        <v>Mumbai</v>
      </c>
      <c r="Q192">
        <f>_xlfn.XLOOKUP(C192,[1]Customers!$A$2:$A$201,[1]Customers!$D$2:$D$201)</f>
        <v>60</v>
      </c>
      <c r="R192" t="str">
        <f>_xlfn.XLOOKUP([1]Transactions!C192,[1]Customers!$A$2:$A$201,[1]Customers!$C$2:$C$201)</f>
        <v>Male</v>
      </c>
      <c r="S192" t="str">
        <f>_xlfn.XLOOKUP(C192,[1]Customers!$A$2:$A$201,[1]Customers!$B$2:$B$201)</f>
        <v>Customer_91</v>
      </c>
      <c r="T192" t="str">
        <f>_xlfn.XLOOKUP(D192,[1]Products!$A$2:$A$101,[1]Products!$C$2:$C$101)</f>
        <v>Personal Care</v>
      </c>
      <c r="U192">
        <f>_xlfn.XLOOKUP(D192,[1]Products!$A$2:$A$101,[1]Products!$E$2:$E$101)</f>
        <v>121</v>
      </c>
      <c r="V192">
        <f>[1]Transactions!F192*[1]Transactions!U192</f>
        <v>484</v>
      </c>
    </row>
    <row r="193" spans="1:22" x14ac:dyDescent="0.3">
      <c r="A193">
        <v>192</v>
      </c>
      <c r="B193">
        <v>106</v>
      </c>
      <c r="C193">
        <v>178</v>
      </c>
      <c r="D193">
        <v>50</v>
      </c>
      <c r="E193">
        <v>19</v>
      </c>
      <c r="F193">
        <v>4</v>
      </c>
      <c r="G193">
        <v>278</v>
      </c>
      <c r="H193">
        <v>1112</v>
      </c>
      <c r="I193">
        <v>58</v>
      </c>
      <c r="J193">
        <f>[1]Transactions!F193*[1]Transactions!G193</f>
        <v>1112</v>
      </c>
      <c r="K193">
        <f>_xlfn.XLOOKUP([1]Transactions!D193,[1]Inventory!$C$2:$C$501,[1]Inventory!$A$2:$A$501)</f>
        <v>50</v>
      </c>
      <c r="L193">
        <f>_xlfn.XLOOKUP(K193,[1]Inventory!$A$2:$A$501,[1]Inventory!$D$2:$D$501)</f>
        <v>220</v>
      </c>
      <c r="M193">
        <f>_xlfn.XLOOKUP(K193,[1]Inventory!$A$2:$A$501,[1]Inventory!$E$2:$E$501)</f>
        <v>144</v>
      </c>
      <c r="N193" t="str">
        <f>_xlfn.XLOOKUP([1]Transactions!C193,[1]Customers!$A$2:$A$201,[1]Customers!$G$2:$G$201)</f>
        <v>West Bengal</v>
      </c>
      <c r="O193" t="str">
        <f>_xlfn.XLOOKUP(C193,[1]Customers!$A$2:$A$201,[1]Customers!$H$2:$H$201)</f>
        <v>East</v>
      </c>
      <c r="P193" t="str">
        <f>_xlfn.XLOOKUP(C193,[1]Customers!$A$2:$A$201,[1]Customers!$F$2:$F$201)</f>
        <v>Kolkata</v>
      </c>
      <c r="Q193">
        <f>_xlfn.XLOOKUP(C193,[1]Customers!$A$2:$A$201,[1]Customers!$D$2:$D$201)</f>
        <v>27</v>
      </c>
      <c r="R193" t="str">
        <f>_xlfn.XLOOKUP([1]Transactions!C193,[1]Customers!$A$2:$A$201,[1]Customers!$C$2:$C$201)</f>
        <v>Female</v>
      </c>
      <c r="S193" t="str">
        <f>_xlfn.XLOOKUP(C193,[1]Customers!$A$2:$A$201,[1]Customers!$B$2:$B$201)</f>
        <v>Customer_178</v>
      </c>
      <c r="T193" t="str">
        <f>_xlfn.XLOOKUP(D193,[1]Products!$A$2:$A$101,[1]Products!$C$2:$C$101)</f>
        <v>Personal Care</v>
      </c>
      <c r="U193">
        <f>_xlfn.XLOOKUP(D193,[1]Products!$A$2:$A$101,[1]Products!$E$2:$E$101)</f>
        <v>407</v>
      </c>
      <c r="V193">
        <f>[1]Transactions!F193*[1]Transactions!U193</f>
        <v>1628</v>
      </c>
    </row>
    <row r="194" spans="1:22" x14ac:dyDescent="0.3">
      <c r="A194">
        <v>193</v>
      </c>
      <c r="B194">
        <v>140</v>
      </c>
      <c r="C194">
        <v>115</v>
      </c>
      <c r="D194">
        <v>11</v>
      </c>
      <c r="E194">
        <v>38</v>
      </c>
      <c r="F194">
        <v>5</v>
      </c>
      <c r="G194">
        <v>474</v>
      </c>
      <c r="H194">
        <v>2370</v>
      </c>
      <c r="I194">
        <v>42</v>
      </c>
      <c r="J194">
        <f>[1]Transactions!F194*[1]Transactions!G194</f>
        <v>2370</v>
      </c>
      <c r="K194">
        <f>_xlfn.XLOOKUP([1]Transactions!D194,[1]Inventory!$C$2:$C$501,[1]Inventory!$A$2:$A$501)</f>
        <v>228</v>
      </c>
      <c r="L194">
        <f>_xlfn.XLOOKUP(K194,[1]Inventory!$A$2:$A$501,[1]Inventory!$D$2:$D$501)</f>
        <v>14</v>
      </c>
      <c r="M194">
        <f>_xlfn.XLOOKUP(K194,[1]Inventory!$A$2:$A$501,[1]Inventory!$E$2:$E$501)</f>
        <v>138</v>
      </c>
      <c r="N194" t="str">
        <f>_xlfn.XLOOKUP([1]Transactions!C194,[1]Customers!$A$2:$A$201,[1]Customers!$G$2:$G$201)</f>
        <v>UP</v>
      </c>
      <c r="O194" t="str">
        <f>_xlfn.XLOOKUP(C194,[1]Customers!$A$2:$A$201,[1]Customers!$H$2:$H$201)</f>
        <v>North</v>
      </c>
      <c r="P194" t="str">
        <f>_xlfn.XLOOKUP(C194,[1]Customers!$A$2:$A$201,[1]Customers!$F$2:$F$201)</f>
        <v>Lucknow</v>
      </c>
      <c r="Q194">
        <f>_xlfn.XLOOKUP(C194,[1]Customers!$A$2:$A$201,[1]Customers!$D$2:$D$201)</f>
        <v>47</v>
      </c>
      <c r="R194" t="str">
        <f>_xlfn.XLOOKUP([1]Transactions!C194,[1]Customers!$A$2:$A$201,[1]Customers!$C$2:$C$201)</f>
        <v>Female</v>
      </c>
      <c r="S194" t="str">
        <f>_xlfn.XLOOKUP(C194,[1]Customers!$A$2:$A$201,[1]Customers!$B$2:$B$201)</f>
        <v>Customer_115</v>
      </c>
      <c r="T194" t="str">
        <f>_xlfn.XLOOKUP(D194,[1]Products!$A$2:$A$101,[1]Products!$C$2:$C$101)</f>
        <v>Beverages</v>
      </c>
      <c r="U194">
        <f>_xlfn.XLOOKUP(D194,[1]Products!$A$2:$A$101,[1]Products!$E$2:$E$101)</f>
        <v>373</v>
      </c>
      <c r="V194">
        <f>[1]Transactions!F194*[1]Transactions!U194</f>
        <v>1865</v>
      </c>
    </row>
    <row r="195" spans="1:22" x14ac:dyDescent="0.3">
      <c r="A195">
        <v>194</v>
      </c>
      <c r="B195">
        <v>160</v>
      </c>
      <c r="C195">
        <v>180</v>
      </c>
      <c r="D195">
        <v>46</v>
      </c>
      <c r="E195">
        <v>33</v>
      </c>
      <c r="F195">
        <v>5</v>
      </c>
      <c r="G195">
        <v>324</v>
      </c>
      <c r="H195">
        <v>1620</v>
      </c>
      <c r="I195">
        <v>46</v>
      </c>
      <c r="J195">
        <f>[1]Transactions!F195*[1]Transactions!G195</f>
        <v>1620</v>
      </c>
      <c r="K195">
        <f>_xlfn.XLOOKUP([1]Transactions!D195,[1]Inventory!$C$2:$C$501,[1]Inventory!$A$2:$A$501)</f>
        <v>218</v>
      </c>
      <c r="L195">
        <f>_xlfn.XLOOKUP(K195,[1]Inventory!$A$2:$A$501,[1]Inventory!$D$2:$D$501)</f>
        <v>426</v>
      </c>
      <c r="M195">
        <f>_xlfn.XLOOKUP(K195,[1]Inventory!$A$2:$A$501,[1]Inventory!$E$2:$E$501)</f>
        <v>14</v>
      </c>
      <c r="N195" t="str">
        <f>_xlfn.XLOOKUP([1]Transactions!C195,[1]Customers!$A$2:$A$201,[1]Customers!$G$2:$G$201)</f>
        <v>Delhi</v>
      </c>
      <c r="O195" t="str">
        <f>_xlfn.XLOOKUP(C195,[1]Customers!$A$2:$A$201,[1]Customers!$H$2:$H$201)</f>
        <v>North</v>
      </c>
      <c r="P195" t="str">
        <f>_xlfn.XLOOKUP(C195,[1]Customers!$A$2:$A$201,[1]Customers!$F$2:$F$201)</f>
        <v>Delhi</v>
      </c>
      <c r="Q195">
        <f>_xlfn.XLOOKUP(C195,[1]Customers!$A$2:$A$201,[1]Customers!$D$2:$D$201)</f>
        <v>30</v>
      </c>
      <c r="R195" t="str">
        <f>_xlfn.XLOOKUP([1]Transactions!C195,[1]Customers!$A$2:$A$201,[1]Customers!$C$2:$C$201)</f>
        <v>Female</v>
      </c>
      <c r="S195" t="str">
        <f>_xlfn.XLOOKUP(C195,[1]Customers!$A$2:$A$201,[1]Customers!$B$2:$B$201)</f>
        <v>Customer_180</v>
      </c>
      <c r="T195" t="str">
        <f>_xlfn.XLOOKUP(D195,[1]Products!$A$2:$A$101,[1]Products!$C$2:$C$101)</f>
        <v>Personal Care</v>
      </c>
      <c r="U195">
        <f>_xlfn.XLOOKUP(D195,[1]Products!$A$2:$A$101,[1]Products!$E$2:$E$101)</f>
        <v>56</v>
      </c>
      <c r="V195">
        <f>[1]Transactions!F195*[1]Transactions!U195</f>
        <v>280</v>
      </c>
    </row>
    <row r="196" spans="1:22" x14ac:dyDescent="0.3">
      <c r="A196">
        <v>195</v>
      </c>
      <c r="B196">
        <v>92</v>
      </c>
      <c r="C196">
        <v>61</v>
      </c>
      <c r="D196">
        <v>55</v>
      </c>
      <c r="E196">
        <v>18</v>
      </c>
      <c r="F196">
        <v>5</v>
      </c>
      <c r="G196">
        <v>224</v>
      </c>
      <c r="H196">
        <v>1120</v>
      </c>
      <c r="I196">
        <v>12</v>
      </c>
      <c r="J196">
        <f>[1]Transactions!F196*[1]Transactions!G196</f>
        <v>1120</v>
      </c>
      <c r="K196">
        <f>_xlfn.XLOOKUP([1]Transactions!D196,[1]Inventory!$C$2:$C$501,[1]Inventory!$A$2:$A$501)</f>
        <v>167</v>
      </c>
      <c r="L196">
        <f>_xlfn.XLOOKUP(K196,[1]Inventory!$A$2:$A$501,[1]Inventory!$D$2:$D$501)</f>
        <v>200</v>
      </c>
      <c r="M196">
        <f>_xlfn.XLOOKUP(K196,[1]Inventory!$A$2:$A$501,[1]Inventory!$E$2:$E$501)</f>
        <v>125</v>
      </c>
      <c r="N196" t="str">
        <f>_xlfn.XLOOKUP([1]Transactions!C196,[1]Customers!$A$2:$A$201,[1]Customers!$G$2:$G$201)</f>
        <v>Maharashtra</v>
      </c>
      <c r="O196" t="str">
        <f>_xlfn.XLOOKUP(C196,[1]Customers!$A$2:$A$201,[1]Customers!$H$2:$H$201)</f>
        <v>West</v>
      </c>
      <c r="P196" t="str">
        <f>_xlfn.XLOOKUP(C196,[1]Customers!$A$2:$A$201,[1]Customers!$F$2:$F$201)</f>
        <v>Pune</v>
      </c>
      <c r="Q196">
        <f>_xlfn.XLOOKUP(C196,[1]Customers!$A$2:$A$201,[1]Customers!$D$2:$D$201)</f>
        <v>27</v>
      </c>
      <c r="R196" t="str">
        <f>_xlfn.XLOOKUP([1]Transactions!C196,[1]Customers!$A$2:$A$201,[1]Customers!$C$2:$C$201)</f>
        <v>Male</v>
      </c>
      <c r="S196" t="str">
        <f>_xlfn.XLOOKUP(C196,[1]Customers!$A$2:$A$201,[1]Customers!$B$2:$B$201)</f>
        <v>Customer_61</v>
      </c>
      <c r="T196" t="str">
        <f>_xlfn.XLOOKUP(D196,[1]Products!$A$2:$A$101,[1]Products!$C$2:$C$101)</f>
        <v>Dairy</v>
      </c>
      <c r="U196">
        <f>_xlfn.XLOOKUP(D196,[1]Products!$A$2:$A$101,[1]Products!$E$2:$E$101)</f>
        <v>454</v>
      </c>
      <c r="V196">
        <f>[1]Transactions!F196*[1]Transactions!U196</f>
        <v>2270</v>
      </c>
    </row>
    <row r="197" spans="1:22" x14ac:dyDescent="0.3">
      <c r="A197">
        <v>196</v>
      </c>
      <c r="B197">
        <v>75</v>
      </c>
      <c r="C197">
        <v>83</v>
      </c>
      <c r="D197">
        <v>56</v>
      </c>
      <c r="E197">
        <v>27</v>
      </c>
      <c r="F197">
        <v>2</v>
      </c>
      <c r="G197">
        <v>225</v>
      </c>
      <c r="H197">
        <v>450</v>
      </c>
      <c r="I197">
        <v>26</v>
      </c>
      <c r="J197">
        <f>[1]Transactions!F197*[1]Transactions!G197</f>
        <v>450</v>
      </c>
      <c r="K197">
        <f>_xlfn.XLOOKUP([1]Transactions!D197,[1]Inventory!$C$2:$C$501,[1]Inventory!$A$2:$A$501)</f>
        <v>70</v>
      </c>
      <c r="L197">
        <f>_xlfn.XLOOKUP(K197,[1]Inventory!$A$2:$A$501,[1]Inventory!$D$2:$D$501)</f>
        <v>197</v>
      </c>
      <c r="M197">
        <f>_xlfn.XLOOKUP(K197,[1]Inventory!$A$2:$A$501,[1]Inventory!$E$2:$E$501)</f>
        <v>102</v>
      </c>
      <c r="N197" t="str">
        <f>_xlfn.XLOOKUP([1]Transactions!C197,[1]Customers!$A$2:$A$201,[1]Customers!$G$2:$G$201)</f>
        <v>Maharashtra</v>
      </c>
      <c r="O197" t="str">
        <f>_xlfn.XLOOKUP(C197,[1]Customers!$A$2:$A$201,[1]Customers!$H$2:$H$201)</f>
        <v>West</v>
      </c>
      <c r="P197" t="str">
        <f>_xlfn.XLOOKUP(C197,[1]Customers!$A$2:$A$201,[1]Customers!$F$2:$F$201)</f>
        <v>Mumbai</v>
      </c>
      <c r="Q197">
        <f>_xlfn.XLOOKUP(C197,[1]Customers!$A$2:$A$201,[1]Customers!$D$2:$D$201)</f>
        <v>48</v>
      </c>
      <c r="R197" t="str">
        <f>_xlfn.XLOOKUP([1]Transactions!C197,[1]Customers!$A$2:$A$201,[1]Customers!$C$2:$C$201)</f>
        <v>Female</v>
      </c>
      <c r="S197" t="str">
        <f>_xlfn.XLOOKUP(C197,[1]Customers!$A$2:$A$201,[1]Customers!$B$2:$B$201)</f>
        <v>Customer_83</v>
      </c>
      <c r="T197" t="str">
        <f>_xlfn.XLOOKUP(D197,[1]Products!$A$2:$A$101,[1]Products!$C$2:$C$101)</f>
        <v>Beverages</v>
      </c>
      <c r="U197">
        <f>_xlfn.XLOOKUP(D197,[1]Products!$A$2:$A$101,[1]Products!$E$2:$E$101)</f>
        <v>64</v>
      </c>
      <c r="V197">
        <f>[1]Transactions!F197*[1]Transactions!U197</f>
        <v>128</v>
      </c>
    </row>
    <row r="198" spans="1:22" x14ac:dyDescent="0.3">
      <c r="A198">
        <v>197</v>
      </c>
      <c r="B198">
        <v>75</v>
      </c>
      <c r="C198">
        <v>195</v>
      </c>
      <c r="D198">
        <v>66</v>
      </c>
      <c r="E198">
        <v>2</v>
      </c>
      <c r="F198">
        <v>1</v>
      </c>
      <c r="G198">
        <v>321</v>
      </c>
      <c r="H198">
        <v>321</v>
      </c>
      <c r="I198">
        <v>48</v>
      </c>
      <c r="J198">
        <f>[1]Transactions!F198*[1]Transactions!G198</f>
        <v>321</v>
      </c>
      <c r="K198">
        <f>_xlfn.XLOOKUP([1]Transactions!D198,[1]Inventory!$C$2:$C$501,[1]Inventory!$A$2:$A$501)</f>
        <v>76</v>
      </c>
      <c r="L198">
        <f>_xlfn.XLOOKUP(K198,[1]Inventory!$A$2:$A$501,[1]Inventory!$D$2:$D$501)</f>
        <v>210</v>
      </c>
      <c r="M198">
        <f>_xlfn.XLOOKUP(K198,[1]Inventory!$A$2:$A$501,[1]Inventory!$E$2:$E$501)</f>
        <v>178</v>
      </c>
      <c r="N198" t="str">
        <f>_xlfn.XLOOKUP([1]Transactions!C198,[1]Customers!$A$2:$A$201,[1]Customers!$G$2:$G$201)</f>
        <v>Maharashtra</v>
      </c>
      <c r="O198" t="str">
        <f>_xlfn.XLOOKUP(C198,[1]Customers!$A$2:$A$201,[1]Customers!$H$2:$H$201)</f>
        <v>West</v>
      </c>
      <c r="P198" t="str">
        <f>_xlfn.XLOOKUP(C198,[1]Customers!$A$2:$A$201,[1]Customers!$F$2:$F$201)</f>
        <v>Pune</v>
      </c>
      <c r="Q198">
        <f>_xlfn.XLOOKUP(C198,[1]Customers!$A$2:$A$201,[1]Customers!$D$2:$D$201)</f>
        <v>50</v>
      </c>
      <c r="R198" t="str">
        <f>_xlfn.XLOOKUP([1]Transactions!C198,[1]Customers!$A$2:$A$201,[1]Customers!$C$2:$C$201)</f>
        <v>Male</v>
      </c>
      <c r="S198" t="str">
        <f>_xlfn.XLOOKUP(C198,[1]Customers!$A$2:$A$201,[1]Customers!$B$2:$B$201)</f>
        <v>Customer_195</v>
      </c>
      <c r="T198" t="str">
        <f>_xlfn.XLOOKUP(D198,[1]Products!$A$2:$A$101,[1]Products!$C$2:$C$101)</f>
        <v>Beverages</v>
      </c>
      <c r="U198">
        <f>_xlfn.XLOOKUP(D198,[1]Products!$A$2:$A$101,[1]Products!$E$2:$E$101)</f>
        <v>452</v>
      </c>
      <c r="V198">
        <f>[1]Transactions!F198*[1]Transactions!U198</f>
        <v>452</v>
      </c>
    </row>
    <row r="199" spans="1:22" x14ac:dyDescent="0.3">
      <c r="A199">
        <v>198</v>
      </c>
      <c r="B199">
        <v>43</v>
      </c>
      <c r="C199">
        <v>73</v>
      </c>
      <c r="D199">
        <v>28</v>
      </c>
      <c r="E199">
        <v>10</v>
      </c>
      <c r="F199">
        <v>2</v>
      </c>
      <c r="G199">
        <v>124</v>
      </c>
      <c r="H199">
        <v>248</v>
      </c>
      <c r="I199">
        <v>38</v>
      </c>
      <c r="J199">
        <f>[1]Transactions!F199*[1]Transactions!G199</f>
        <v>248</v>
      </c>
      <c r="K199">
        <f>_xlfn.XLOOKUP([1]Transactions!D199,[1]Inventory!$C$2:$C$501,[1]Inventory!$A$2:$A$501)</f>
        <v>16</v>
      </c>
      <c r="L199">
        <f>_xlfn.XLOOKUP(K199,[1]Inventory!$A$2:$A$501,[1]Inventory!$D$2:$D$501)</f>
        <v>284</v>
      </c>
      <c r="M199">
        <f>_xlfn.XLOOKUP(K199,[1]Inventory!$A$2:$A$501,[1]Inventory!$E$2:$E$501)</f>
        <v>80</v>
      </c>
      <c r="N199" t="str">
        <f>_xlfn.XLOOKUP([1]Transactions!C199,[1]Customers!$A$2:$A$201,[1]Customers!$G$2:$G$201)</f>
        <v>UP</v>
      </c>
      <c r="O199" t="str">
        <f>_xlfn.XLOOKUP(C199,[1]Customers!$A$2:$A$201,[1]Customers!$H$2:$H$201)</f>
        <v>North</v>
      </c>
      <c r="P199" t="str">
        <f>_xlfn.XLOOKUP(C199,[1]Customers!$A$2:$A$201,[1]Customers!$F$2:$F$201)</f>
        <v>Lucknow</v>
      </c>
      <c r="Q199">
        <f>_xlfn.XLOOKUP(C199,[1]Customers!$A$2:$A$201,[1]Customers!$D$2:$D$201)</f>
        <v>24</v>
      </c>
      <c r="R199" t="str">
        <f>_xlfn.XLOOKUP([1]Transactions!C199,[1]Customers!$A$2:$A$201,[1]Customers!$C$2:$C$201)</f>
        <v>Male</v>
      </c>
      <c r="S199" t="str">
        <f>_xlfn.XLOOKUP(C199,[1]Customers!$A$2:$A$201,[1]Customers!$B$2:$B$201)</f>
        <v>Customer_73</v>
      </c>
      <c r="T199" t="str">
        <f>_xlfn.XLOOKUP(D199,[1]Products!$A$2:$A$101,[1]Products!$C$2:$C$101)</f>
        <v>Grocery</v>
      </c>
      <c r="U199">
        <f>_xlfn.XLOOKUP(D199,[1]Products!$A$2:$A$101,[1]Products!$E$2:$E$101)</f>
        <v>203</v>
      </c>
      <c r="V199">
        <f>[1]Transactions!F199*[1]Transactions!U199</f>
        <v>406</v>
      </c>
    </row>
    <row r="200" spans="1:22" x14ac:dyDescent="0.3">
      <c r="A200">
        <v>199</v>
      </c>
      <c r="B200">
        <v>33</v>
      </c>
      <c r="C200">
        <v>199</v>
      </c>
      <c r="D200">
        <v>84</v>
      </c>
      <c r="E200">
        <v>12</v>
      </c>
      <c r="F200">
        <v>3</v>
      </c>
      <c r="G200">
        <v>452</v>
      </c>
      <c r="H200">
        <v>1356</v>
      </c>
      <c r="I200">
        <v>49</v>
      </c>
      <c r="J200">
        <f>[1]Transactions!F200*[1]Transactions!G200</f>
        <v>1356</v>
      </c>
      <c r="K200">
        <f>_xlfn.XLOOKUP([1]Transactions!D200,[1]Inventory!$C$2:$C$501,[1]Inventory!$A$2:$A$501)</f>
        <v>303</v>
      </c>
      <c r="L200">
        <f>_xlfn.XLOOKUP(K200,[1]Inventory!$A$2:$A$501,[1]Inventory!$D$2:$D$501)</f>
        <v>293</v>
      </c>
      <c r="M200">
        <f>_xlfn.XLOOKUP(K200,[1]Inventory!$A$2:$A$501,[1]Inventory!$E$2:$E$501)</f>
        <v>69</v>
      </c>
      <c r="N200" t="str">
        <f>_xlfn.XLOOKUP([1]Transactions!C200,[1]Customers!$A$2:$A$201,[1]Customers!$G$2:$G$201)</f>
        <v>West Bengal</v>
      </c>
      <c r="O200" t="str">
        <f>_xlfn.XLOOKUP(C200,[1]Customers!$A$2:$A$201,[1]Customers!$H$2:$H$201)</f>
        <v>East</v>
      </c>
      <c r="P200" t="str">
        <f>_xlfn.XLOOKUP(C200,[1]Customers!$A$2:$A$201,[1]Customers!$F$2:$F$201)</f>
        <v>Kolkata</v>
      </c>
      <c r="Q200">
        <f>_xlfn.XLOOKUP(C200,[1]Customers!$A$2:$A$201,[1]Customers!$D$2:$D$201)</f>
        <v>30</v>
      </c>
      <c r="R200" t="str">
        <f>_xlfn.XLOOKUP([1]Transactions!C200,[1]Customers!$A$2:$A$201,[1]Customers!$C$2:$C$201)</f>
        <v>Male</v>
      </c>
      <c r="S200" t="str">
        <f>_xlfn.XLOOKUP(C200,[1]Customers!$A$2:$A$201,[1]Customers!$B$2:$B$201)</f>
        <v>Customer_199</v>
      </c>
      <c r="T200" t="str">
        <f>_xlfn.XLOOKUP(D200,[1]Products!$A$2:$A$101,[1]Products!$C$2:$C$101)</f>
        <v>Grocery</v>
      </c>
      <c r="U200">
        <f>_xlfn.XLOOKUP(D200,[1]Products!$A$2:$A$101,[1]Products!$E$2:$E$101)</f>
        <v>249</v>
      </c>
      <c r="V200">
        <f>[1]Transactions!F200*[1]Transactions!U200</f>
        <v>747</v>
      </c>
    </row>
    <row r="201" spans="1:22" x14ac:dyDescent="0.3">
      <c r="A201">
        <v>200</v>
      </c>
      <c r="B201">
        <v>113</v>
      </c>
      <c r="C201">
        <v>175</v>
      </c>
      <c r="D201">
        <v>89</v>
      </c>
      <c r="E201">
        <v>27</v>
      </c>
      <c r="F201">
        <v>1</v>
      </c>
      <c r="G201">
        <v>58</v>
      </c>
      <c r="H201">
        <v>58</v>
      </c>
      <c r="I201">
        <v>34</v>
      </c>
      <c r="J201">
        <f>[1]Transactions!F201*[1]Transactions!G201</f>
        <v>58</v>
      </c>
      <c r="K201">
        <f>_xlfn.XLOOKUP([1]Transactions!D201,[1]Inventory!$C$2:$C$501,[1]Inventory!$A$2:$A$501)</f>
        <v>10</v>
      </c>
      <c r="L201">
        <f>_xlfn.XLOOKUP(K201,[1]Inventory!$A$2:$A$501,[1]Inventory!$D$2:$D$501)</f>
        <v>340</v>
      </c>
      <c r="M201">
        <f>_xlfn.XLOOKUP(K201,[1]Inventory!$A$2:$A$501,[1]Inventory!$E$2:$E$501)</f>
        <v>121</v>
      </c>
      <c r="N201" t="str">
        <f>_xlfn.XLOOKUP([1]Transactions!C201,[1]Customers!$A$2:$A$201,[1]Customers!$G$2:$G$201)</f>
        <v>Karnataka</v>
      </c>
      <c r="O201" t="str">
        <f>_xlfn.XLOOKUP(C201,[1]Customers!$A$2:$A$201,[1]Customers!$H$2:$H$201)</f>
        <v>South</v>
      </c>
      <c r="P201" t="str">
        <f>_xlfn.XLOOKUP(C201,[1]Customers!$A$2:$A$201,[1]Customers!$F$2:$F$201)</f>
        <v>Bangalore</v>
      </c>
      <c r="Q201">
        <f>_xlfn.XLOOKUP(C201,[1]Customers!$A$2:$A$201,[1]Customers!$D$2:$D$201)</f>
        <v>40</v>
      </c>
      <c r="R201" t="str">
        <f>_xlfn.XLOOKUP([1]Transactions!C201,[1]Customers!$A$2:$A$201,[1]Customers!$C$2:$C$201)</f>
        <v>Male</v>
      </c>
      <c r="S201" t="str">
        <f>_xlfn.XLOOKUP(C201,[1]Customers!$A$2:$A$201,[1]Customers!$B$2:$B$201)</f>
        <v>Customer_175</v>
      </c>
      <c r="T201" t="str">
        <f>_xlfn.XLOOKUP(D201,[1]Products!$A$2:$A$101,[1]Products!$C$2:$C$101)</f>
        <v>Snacks</v>
      </c>
      <c r="U201">
        <f>_xlfn.XLOOKUP(D201,[1]Products!$A$2:$A$101,[1]Products!$E$2:$E$101)</f>
        <v>387</v>
      </c>
      <c r="V201">
        <f>[1]Transactions!F201*[1]Transactions!U201</f>
        <v>387</v>
      </c>
    </row>
    <row r="202" spans="1:22" x14ac:dyDescent="0.3">
      <c r="A202">
        <v>201</v>
      </c>
      <c r="B202">
        <v>152</v>
      </c>
      <c r="C202">
        <v>148</v>
      </c>
      <c r="D202">
        <v>98</v>
      </c>
      <c r="E202">
        <v>43</v>
      </c>
      <c r="F202">
        <v>2</v>
      </c>
      <c r="G202">
        <v>187</v>
      </c>
      <c r="H202">
        <v>374</v>
      </c>
      <c r="I202">
        <v>55</v>
      </c>
      <c r="J202">
        <f>[1]Transactions!F202*[1]Transactions!G202</f>
        <v>374</v>
      </c>
      <c r="K202">
        <f>_xlfn.XLOOKUP([1]Transactions!D202,[1]Inventory!$C$2:$C$501,[1]Inventory!$A$2:$A$501)</f>
        <v>139</v>
      </c>
      <c r="L202">
        <f>_xlfn.XLOOKUP(K202,[1]Inventory!$A$2:$A$501,[1]Inventory!$D$2:$D$501)</f>
        <v>374</v>
      </c>
      <c r="M202">
        <f>_xlfn.XLOOKUP(K202,[1]Inventory!$A$2:$A$501,[1]Inventory!$E$2:$E$501)</f>
        <v>174</v>
      </c>
      <c r="N202" t="str">
        <f>_xlfn.XLOOKUP([1]Transactions!C202,[1]Customers!$A$2:$A$201,[1]Customers!$G$2:$G$201)</f>
        <v>Rajasthan</v>
      </c>
      <c r="O202" t="str">
        <f>_xlfn.XLOOKUP(C202,[1]Customers!$A$2:$A$201,[1]Customers!$H$2:$H$201)</f>
        <v>North</v>
      </c>
      <c r="P202" t="str">
        <f>_xlfn.XLOOKUP(C202,[1]Customers!$A$2:$A$201,[1]Customers!$F$2:$F$201)</f>
        <v>Jaipur</v>
      </c>
      <c r="Q202">
        <f>_xlfn.XLOOKUP(C202,[1]Customers!$A$2:$A$201,[1]Customers!$D$2:$D$201)</f>
        <v>42</v>
      </c>
      <c r="R202" t="str">
        <f>_xlfn.XLOOKUP([1]Transactions!C202,[1]Customers!$A$2:$A$201,[1]Customers!$C$2:$C$201)</f>
        <v>Female</v>
      </c>
      <c r="S202" t="str">
        <f>_xlfn.XLOOKUP(C202,[1]Customers!$A$2:$A$201,[1]Customers!$B$2:$B$201)</f>
        <v>Customer_148</v>
      </c>
      <c r="T202" t="str">
        <f>_xlfn.XLOOKUP(D202,[1]Products!$A$2:$A$101,[1]Products!$C$2:$C$101)</f>
        <v>Snacks</v>
      </c>
      <c r="U202">
        <f>_xlfn.XLOOKUP(D202,[1]Products!$A$2:$A$101,[1]Products!$E$2:$E$101)</f>
        <v>460</v>
      </c>
      <c r="V202">
        <f>[1]Transactions!F202*[1]Transactions!U202</f>
        <v>920</v>
      </c>
    </row>
    <row r="203" spans="1:22" x14ac:dyDescent="0.3">
      <c r="A203">
        <v>202</v>
      </c>
      <c r="B203">
        <v>147</v>
      </c>
      <c r="C203">
        <v>194</v>
      </c>
      <c r="D203">
        <v>77</v>
      </c>
      <c r="E203">
        <v>11</v>
      </c>
      <c r="F203">
        <v>1</v>
      </c>
      <c r="G203">
        <v>290</v>
      </c>
      <c r="H203">
        <v>290</v>
      </c>
      <c r="I203">
        <v>35</v>
      </c>
      <c r="J203">
        <f>[1]Transactions!F203*[1]Transactions!G203</f>
        <v>290</v>
      </c>
      <c r="K203">
        <f>_xlfn.XLOOKUP([1]Transactions!D203,[1]Inventory!$C$2:$C$501,[1]Inventory!$A$2:$A$501)</f>
        <v>243</v>
      </c>
      <c r="L203">
        <f>_xlfn.XLOOKUP(K203,[1]Inventory!$A$2:$A$501,[1]Inventory!$D$2:$D$501)</f>
        <v>97</v>
      </c>
      <c r="M203">
        <f>_xlfn.XLOOKUP(K203,[1]Inventory!$A$2:$A$501,[1]Inventory!$E$2:$E$501)</f>
        <v>107</v>
      </c>
      <c r="N203" t="str">
        <f>_xlfn.XLOOKUP([1]Transactions!C203,[1]Customers!$A$2:$A$201,[1]Customers!$G$2:$G$201)</f>
        <v>Delhi</v>
      </c>
      <c r="O203" t="str">
        <f>_xlfn.XLOOKUP(C203,[1]Customers!$A$2:$A$201,[1]Customers!$H$2:$H$201)</f>
        <v>North</v>
      </c>
      <c r="P203" t="str">
        <f>_xlfn.XLOOKUP(C203,[1]Customers!$A$2:$A$201,[1]Customers!$F$2:$F$201)</f>
        <v>Delhi</v>
      </c>
      <c r="Q203">
        <f>_xlfn.XLOOKUP(C203,[1]Customers!$A$2:$A$201,[1]Customers!$D$2:$D$201)</f>
        <v>31</v>
      </c>
      <c r="R203" t="str">
        <f>_xlfn.XLOOKUP([1]Transactions!C203,[1]Customers!$A$2:$A$201,[1]Customers!$C$2:$C$201)</f>
        <v>Male</v>
      </c>
      <c r="S203" t="str">
        <f>_xlfn.XLOOKUP(C203,[1]Customers!$A$2:$A$201,[1]Customers!$B$2:$B$201)</f>
        <v>Customer_194</v>
      </c>
      <c r="T203" t="str">
        <f>_xlfn.XLOOKUP(D203,[1]Products!$A$2:$A$101,[1]Products!$C$2:$C$101)</f>
        <v>Grocery</v>
      </c>
      <c r="U203">
        <f>_xlfn.XLOOKUP(D203,[1]Products!$A$2:$A$101,[1]Products!$E$2:$E$101)</f>
        <v>389</v>
      </c>
      <c r="V203">
        <f>[1]Transactions!F203*[1]Transactions!U203</f>
        <v>389</v>
      </c>
    </row>
    <row r="204" spans="1:22" x14ac:dyDescent="0.3">
      <c r="A204">
        <v>203</v>
      </c>
      <c r="B204">
        <v>98</v>
      </c>
      <c r="C204">
        <v>47</v>
      </c>
      <c r="D204">
        <v>71</v>
      </c>
      <c r="E204">
        <v>23</v>
      </c>
      <c r="F204">
        <v>5</v>
      </c>
      <c r="G204">
        <v>128</v>
      </c>
      <c r="H204">
        <v>640</v>
      </c>
      <c r="I204">
        <v>22</v>
      </c>
      <c r="J204">
        <f>[1]Transactions!F204*[1]Transactions!G204</f>
        <v>640</v>
      </c>
      <c r="K204">
        <f>_xlfn.XLOOKUP([1]Transactions!D204,[1]Inventory!$C$2:$C$501,[1]Inventory!$A$2:$A$501)</f>
        <v>30</v>
      </c>
      <c r="L204">
        <f>_xlfn.XLOOKUP(K204,[1]Inventory!$A$2:$A$501,[1]Inventory!$D$2:$D$501)</f>
        <v>155</v>
      </c>
      <c r="M204">
        <f>_xlfn.XLOOKUP(K204,[1]Inventory!$A$2:$A$501,[1]Inventory!$E$2:$E$501)</f>
        <v>79</v>
      </c>
      <c r="N204" t="str">
        <f>_xlfn.XLOOKUP([1]Transactions!C204,[1]Customers!$A$2:$A$201,[1]Customers!$G$2:$G$201)</f>
        <v>West Bengal</v>
      </c>
      <c r="O204" t="str">
        <f>_xlfn.XLOOKUP(C204,[1]Customers!$A$2:$A$201,[1]Customers!$H$2:$H$201)</f>
        <v>East</v>
      </c>
      <c r="P204" t="str">
        <f>_xlfn.XLOOKUP(C204,[1]Customers!$A$2:$A$201,[1]Customers!$F$2:$F$201)</f>
        <v>Kolkata</v>
      </c>
      <c r="Q204">
        <f>_xlfn.XLOOKUP(C204,[1]Customers!$A$2:$A$201,[1]Customers!$D$2:$D$201)</f>
        <v>33</v>
      </c>
      <c r="R204" t="str">
        <f>_xlfn.XLOOKUP([1]Transactions!C204,[1]Customers!$A$2:$A$201,[1]Customers!$C$2:$C$201)</f>
        <v>Male</v>
      </c>
      <c r="S204" t="str">
        <f>_xlfn.XLOOKUP(C204,[1]Customers!$A$2:$A$201,[1]Customers!$B$2:$B$201)</f>
        <v>Customer_47</v>
      </c>
      <c r="T204" t="str">
        <f>_xlfn.XLOOKUP(D204,[1]Products!$A$2:$A$101,[1]Products!$C$2:$C$101)</f>
        <v>Snacks</v>
      </c>
      <c r="U204">
        <f>_xlfn.XLOOKUP(D204,[1]Products!$A$2:$A$101,[1]Products!$E$2:$E$101)</f>
        <v>389</v>
      </c>
      <c r="V204">
        <f>[1]Transactions!F204*[1]Transactions!U204</f>
        <v>1945</v>
      </c>
    </row>
    <row r="205" spans="1:22" x14ac:dyDescent="0.3">
      <c r="A205">
        <v>204</v>
      </c>
      <c r="B205">
        <v>126</v>
      </c>
      <c r="C205">
        <v>141</v>
      </c>
      <c r="D205">
        <v>78</v>
      </c>
      <c r="E205">
        <v>32</v>
      </c>
      <c r="F205">
        <v>2</v>
      </c>
      <c r="G205">
        <v>456</v>
      </c>
      <c r="H205">
        <v>912</v>
      </c>
      <c r="I205">
        <v>16</v>
      </c>
      <c r="J205">
        <f>[1]Transactions!F205*[1]Transactions!G205</f>
        <v>912</v>
      </c>
      <c r="K205">
        <f>_xlfn.XLOOKUP([1]Transactions!D205,[1]Inventory!$C$2:$C$501,[1]Inventory!$A$2:$A$501)</f>
        <v>41</v>
      </c>
      <c r="L205">
        <f>_xlfn.XLOOKUP(K205,[1]Inventory!$A$2:$A$501,[1]Inventory!$D$2:$D$501)</f>
        <v>262</v>
      </c>
      <c r="M205">
        <f>_xlfn.XLOOKUP(K205,[1]Inventory!$A$2:$A$501,[1]Inventory!$E$2:$E$501)</f>
        <v>25</v>
      </c>
      <c r="N205" t="str">
        <f>_xlfn.XLOOKUP([1]Transactions!C205,[1]Customers!$A$2:$A$201,[1]Customers!$G$2:$G$201)</f>
        <v>Tamil Nadu</v>
      </c>
      <c r="O205" t="str">
        <f>_xlfn.XLOOKUP(C205,[1]Customers!$A$2:$A$201,[1]Customers!$H$2:$H$201)</f>
        <v>South</v>
      </c>
      <c r="P205" t="str">
        <f>_xlfn.XLOOKUP(C205,[1]Customers!$A$2:$A$201,[1]Customers!$F$2:$F$201)</f>
        <v>Chennai</v>
      </c>
      <c r="Q205">
        <f>_xlfn.XLOOKUP(C205,[1]Customers!$A$2:$A$201,[1]Customers!$D$2:$D$201)</f>
        <v>28</v>
      </c>
      <c r="R205" t="str">
        <f>_xlfn.XLOOKUP([1]Transactions!C205,[1]Customers!$A$2:$A$201,[1]Customers!$C$2:$C$201)</f>
        <v>Female</v>
      </c>
      <c r="S205" t="str">
        <f>_xlfn.XLOOKUP(C205,[1]Customers!$A$2:$A$201,[1]Customers!$B$2:$B$201)</f>
        <v>Customer_141</v>
      </c>
      <c r="T205" t="str">
        <f>_xlfn.XLOOKUP(D205,[1]Products!$A$2:$A$101,[1]Products!$C$2:$C$101)</f>
        <v>Grocery</v>
      </c>
      <c r="U205">
        <f>_xlfn.XLOOKUP(D205,[1]Products!$A$2:$A$101,[1]Products!$E$2:$E$101)</f>
        <v>88</v>
      </c>
      <c r="V205">
        <f>[1]Transactions!F205*[1]Transactions!U205</f>
        <v>176</v>
      </c>
    </row>
    <row r="206" spans="1:22" x14ac:dyDescent="0.3">
      <c r="A206">
        <v>205</v>
      </c>
      <c r="B206">
        <v>45</v>
      </c>
      <c r="C206">
        <v>50</v>
      </c>
      <c r="D206">
        <v>42</v>
      </c>
      <c r="E206">
        <v>19</v>
      </c>
      <c r="F206">
        <v>1</v>
      </c>
      <c r="G206">
        <v>330</v>
      </c>
      <c r="H206">
        <v>330</v>
      </c>
      <c r="I206">
        <v>29</v>
      </c>
      <c r="J206">
        <f>[1]Transactions!F206*[1]Transactions!G206</f>
        <v>330</v>
      </c>
      <c r="K206">
        <f>_xlfn.XLOOKUP([1]Transactions!D206,[1]Inventory!$C$2:$C$501,[1]Inventory!$A$2:$A$501)</f>
        <v>108</v>
      </c>
      <c r="L206">
        <f>_xlfn.XLOOKUP(K206,[1]Inventory!$A$2:$A$501,[1]Inventory!$D$2:$D$501)</f>
        <v>212</v>
      </c>
      <c r="M206">
        <f>_xlfn.XLOOKUP(K206,[1]Inventory!$A$2:$A$501,[1]Inventory!$E$2:$E$501)</f>
        <v>113</v>
      </c>
      <c r="N206" t="str">
        <f>_xlfn.XLOOKUP([1]Transactions!C206,[1]Customers!$A$2:$A$201,[1]Customers!$G$2:$G$201)</f>
        <v>West Bengal</v>
      </c>
      <c r="O206" t="str">
        <f>_xlfn.XLOOKUP(C206,[1]Customers!$A$2:$A$201,[1]Customers!$H$2:$H$201)</f>
        <v>East</v>
      </c>
      <c r="P206" t="str">
        <f>_xlfn.XLOOKUP(C206,[1]Customers!$A$2:$A$201,[1]Customers!$F$2:$F$201)</f>
        <v>Kolkata</v>
      </c>
      <c r="Q206">
        <f>_xlfn.XLOOKUP(C206,[1]Customers!$A$2:$A$201,[1]Customers!$D$2:$D$201)</f>
        <v>40</v>
      </c>
      <c r="R206" t="str">
        <f>_xlfn.XLOOKUP([1]Transactions!C206,[1]Customers!$A$2:$A$201,[1]Customers!$C$2:$C$201)</f>
        <v>Female</v>
      </c>
      <c r="S206" t="str">
        <f>_xlfn.XLOOKUP(C206,[1]Customers!$A$2:$A$201,[1]Customers!$B$2:$B$201)</f>
        <v>Customer_50</v>
      </c>
      <c r="T206" t="str">
        <f>_xlfn.XLOOKUP(D206,[1]Products!$A$2:$A$101,[1]Products!$C$2:$C$101)</f>
        <v>Snacks</v>
      </c>
      <c r="U206">
        <f>_xlfn.XLOOKUP(D206,[1]Products!$A$2:$A$101,[1]Products!$E$2:$E$101)</f>
        <v>77</v>
      </c>
      <c r="V206">
        <f>[1]Transactions!F206*[1]Transactions!U206</f>
        <v>77</v>
      </c>
    </row>
    <row r="207" spans="1:22" x14ac:dyDescent="0.3">
      <c r="A207">
        <v>206</v>
      </c>
      <c r="B207">
        <v>59</v>
      </c>
      <c r="C207">
        <v>113</v>
      </c>
      <c r="D207">
        <v>14</v>
      </c>
      <c r="E207">
        <v>35</v>
      </c>
      <c r="F207">
        <v>3</v>
      </c>
      <c r="G207">
        <v>473</v>
      </c>
      <c r="H207">
        <v>1419</v>
      </c>
      <c r="I207">
        <v>54</v>
      </c>
      <c r="J207">
        <f>[1]Transactions!F207*[1]Transactions!G207</f>
        <v>1419</v>
      </c>
      <c r="K207">
        <f>_xlfn.XLOOKUP([1]Transactions!D207,[1]Inventory!$C$2:$C$501,[1]Inventory!$A$2:$A$501)</f>
        <v>8</v>
      </c>
      <c r="L207">
        <f>_xlfn.XLOOKUP(K207,[1]Inventory!$A$2:$A$501,[1]Inventory!$D$2:$D$501)</f>
        <v>197</v>
      </c>
      <c r="M207">
        <f>_xlfn.XLOOKUP(K207,[1]Inventory!$A$2:$A$501,[1]Inventory!$E$2:$E$501)</f>
        <v>82</v>
      </c>
      <c r="N207" t="str">
        <f>_xlfn.XLOOKUP([1]Transactions!C207,[1]Customers!$A$2:$A$201,[1]Customers!$G$2:$G$201)</f>
        <v>Maharashtra</v>
      </c>
      <c r="O207" t="str">
        <f>_xlfn.XLOOKUP(C207,[1]Customers!$A$2:$A$201,[1]Customers!$H$2:$H$201)</f>
        <v>West</v>
      </c>
      <c r="P207" t="str">
        <f>_xlfn.XLOOKUP(C207,[1]Customers!$A$2:$A$201,[1]Customers!$F$2:$F$201)</f>
        <v>Mumbai</v>
      </c>
      <c r="Q207">
        <f>_xlfn.XLOOKUP(C207,[1]Customers!$A$2:$A$201,[1]Customers!$D$2:$D$201)</f>
        <v>36</v>
      </c>
      <c r="R207" t="str">
        <f>_xlfn.XLOOKUP([1]Transactions!C207,[1]Customers!$A$2:$A$201,[1]Customers!$C$2:$C$201)</f>
        <v>Male</v>
      </c>
      <c r="S207" t="str">
        <f>_xlfn.XLOOKUP(C207,[1]Customers!$A$2:$A$201,[1]Customers!$B$2:$B$201)</f>
        <v>Customer_113</v>
      </c>
      <c r="T207" t="str">
        <f>_xlfn.XLOOKUP(D207,[1]Products!$A$2:$A$101,[1]Products!$C$2:$C$101)</f>
        <v>Beverages</v>
      </c>
      <c r="U207">
        <f>_xlfn.XLOOKUP(D207,[1]Products!$A$2:$A$101,[1]Products!$E$2:$E$101)</f>
        <v>290</v>
      </c>
      <c r="V207">
        <f>[1]Transactions!F207*[1]Transactions!U207</f>
        <v>870</v>
      </c>
    </row>
    <row r="208" spans="1:22" x14ac:dyDescent="0.3">
      <c r="A208">
        <v>207</v>
      </c>
      <c r="B208">
        <v>104</v>
      </c>
      <c r="C208">
        <v>80</v>
      </c>
      <c r="D208">
        <v>71</v>
      </c>
      <c r="E208">
        <v>14</v>
      </c>
      <c r="F208">
        <v>2</v>
      </c>
      <c r="G208">
        <v>61</v>
      </c>
      <c r="H208">
        <v>122</v>
      </c>
      <c r="I208">
        <v>49</v>
      </c>
      <c r="J208">
        <f>[1]Transactions!F208*[1]Transactions!G208</f>
        <v>122</v>
      </c>
      <c r="K208">
        <f>_xlfn.XLOOKUP([1]Transactions!D208,[1]Inventory!$C$2:$C$501,[1]Inventory!$A$2:$A$501)</f>
        <v>30</v>
      </c>
      <c r="L208">
        <f>_xlfn.XLOOKUP(K208,[1]Inventory!$A$2:$A$501,[1]Inventory!$D$2:$D$501)</f>
        <v>155</v>
      </c>
      <c r="M208">
        <f>_xlfn.XLOOKUP(K208,[1]Inventory!$A$2:$A$501,[1]Inventory!$E$2:$E$501)</f>
        <v>79</v>
      </c>
      <c r="N208" t="str">
        <f>_xlfn.XLOOKUP([1]Transactions!C208,[1]Customers!$A$2:$A$201,[1]Customers!$G$2:$G$201)</f>
        <v>Delhi</v>
      </c>
      <c r="O208" t="str">
        <f>_xlfn.XLOOKUP(C208,[1]Customers!$A$2:$A$201,[1]Customers!$H$2:$H$201)</f>
        <v>North</v>
      </c>
      <c r="P208" t="str">
        <f>_xlfn.XLOOKUP(C208,[1]Customers!$A$2:$A$201,[1]Customers!$F$2:$F$201)</f>
        <v>Delhi</v>
      </c>
      <c r="Q208">
        <f>_xlfn.XLOOKUP(C208,[1]Customers!$A$2:$A$201,[1]Customers!$D$2:$D$201)</f>
        <v>28</v>
      </c>
      <c r="R208" t="str">
        <f>_xlfn.XLOOKUP([1]Transactions!C208,[1]Customers!$A$2:$A$201,[1]Customers!$C$2:$C$201)</f>
        <v>Male</v>
      </c>
      <c r="S208" t="str">
        <f>_xlfn.XLOOKUP(C208,[1]Customers!$A$2:$A$201,[1]Customers!$B$2:$B$201)</f>
        <v>Customer_80</v>
      </c>
      <c r="T208" t="str">
        <f>_xlfn.XLOOKUP(D208,[1]Products!$A$2:$A$101,[1]Products!$C$2:$C$101)</f>
        <v>Snacks</v>
      </c>
      <c r="U208">
        <f>_xlfn.XLOOKUP(D208,[1]Products!$A$2:$A$101,[1]Products!$E$2:$E$101)</f>
        <v>389</v>
      </c>
      <c r="V208">
        <f>[1]Transactions!F208*[1]Transactions!U208</f>
        <v>778</v>
      </c>
    </row>
    <row r="209" spans="1:22" x14ac:dyDescent="0.3">
      <c r="A209">
        <v>208</v>
      </c>
      <c r="B209">
        <v>2</v>
      </c>
      <c r="C209">
        <v>22</v>
      </c>
      <c r="D209">
        <v>24</v>
      </c>
      <c r="E209">
        <v>21</v>
      </c>
      <c r="F209">
        <v>2</v>
      </c>
      <c r="G209">
        <v>411</v>
      </c>
      <c r="H209">
        <v>822</v>
      </c>
      <c r="I209">
        <v>24</v>
      </c>
      <c r="J209">
        <f>[1]Transactions!F209*[1]Transactions!G209</f>
        <v>822</v>
      </c>
      <c r="K209">
        <f>_xlfn.XLOOKUP([1]Transactions!D209,[1]Inventory!$C$2:$C$501,[1]Inventory!$A$2:$A$501)</f>
        <v>111</v>
      </c>
      <c r="L209">
        <f>_xlfn.XLOOKUP(K209,[1]Inventory!$A$2:$A$501,[1]Inventory!$D$2:$D$501)</f>
        <v>237</v>
      </c>
      <c r="M209">
        <f>_xlfn.XLOOKUP(K209,[1]Inventory!$A$2:$A$501,[1]Inventory!$E$2:$E$501)</f>
        <v>154</v>
      </c>
      <c r="N209" t="str">
        <f>_xlfn.XLOOKUP([1]Transactions!C209,[1]Customers!$A$2:$A$201,[1]Customers!$G$2:$G$201)</f>
        <v>UP</v>
      </c>
      <c r="O209" t="str">
        <f>_xlfn.XLOOKUP(C209,[1]Customers!$A$2:$A$201,[1]Customers!$H$2:$H$201)</f>
        <v>North</v>
      </c>
      <c r="P209" t="str">
        <f>_xlfn.XLOOKUP(C209,[1]Customers!$A$2:$A$201,[1]Customers!$F$2:$F$201)</f>
        <v>Lucknow</v>
      </c>
      <c r="Q209">
        <f>_xlfn.XLOOKUP(C209,[1]Customers!$A$2:$A$201,[1]Customers!$D$2:$D$201)</f>
        <v>44</v>
      </c>
      <c r="R209" t="str">
        <f>_xlfn.XLOOKUP([1]Transactions!C209,[1]Customers!$A$2:$A$201,[1]Customers!$C$2:$C$201)</f>
        <v>Female</v>
      </c>
      <c r="S209" t="str">
        <f>_xlfn.XLOOKUP(C209,[1]Customers!$A$2:$A$201,[1]Customers!$B$2:$B$201)</f>
        <v>Customer_22</v>
      </c>
      <c r="T209" t="str">
        <f>_xlfn.XLOOKUP(D209,[1]Products!$A$2:$A$101,[1]Products!$C$2:$C$101)</f>
        <v>Personal Care</v>
      </c>
      <c r="U209">
        <f>_xlfn.XLOOKUP(D209,[1]Products!$A$2:$A$101,[1]Products!$E$2:$E$101)</f>
        <v>435</v>
      </c>
      <c r="V209">
        <f>[1]Transactions!F209*[1]Transactions!U209</f>
        <v>870</v>
      </c>
    </row>
    <row r="210" spans="1:22" x14ac:dyDescent="0.3">
      <c r="A210">
        <v>209</v>
      </c>
      <c r="B210">
        <v>35</v>
      </c>
      <c r="C210">
        <v>43</v>
      </c>
      <c r="D210">
        <v>75</v>
      </c>
      <c r="E210">
        <v>3</v>
      </c>
      <c r="F210">
        <v>4</v>
      </c>
      <c r="G210">
        <v>358</v>
      </c>
      <c r="H210">
        <v>1432</v>
      </c>
      <c r="I210">
        <v>13</v>
      </c>
      <c r="J210">
        <f>[1]Transactions!F210*[1]Transactions!G210</f>
        <v>1432</v>
      </c>
      <c r="K210">
        <f>_xlfn.XLOOKUP([1]Transactions!D210,[1]Inventory!$C$2:$C$501,[1]Inventory!$A$2:$A$501)</f>
        <v>14</v>
      </c>
      <c r="L210">
        <f>_xlfn.XLOOKUP(K210,[1]Inventory!$A$2:$A$501,[1]Inventory!$D$2:$D$501)</f>
        <v>306</v>
      </c>
      <c r="M210">
        <f>_xlfn.XLOOKUP(K210,[1]Inventory!$A$2:$A$501,[1]Inventory!$E$2:$E$501)</f>
        <v>30</v>
      </c>
      <c r="N210" t="str">
        <f>_xlfn.XLOOKUP([1]Transactions!C210,[1]Customers!$A$2:$A$201,[1]Customers!$G$2:$G$201)</f>
        <v>Rajasthan</v>
      </c>
      <c r="O210" t="str">
        <f>_xlfn.XLOOKUP(C210,[1]Customers!$A$2:$A$201,[1]Customers!$H$2:$H$201)</f>
        <v>North</v>
      </c>
      <c r="P210" t="str">
        <f>_xlfn.XLOOKUP(C210,[1]Customers!$A$2:$A$201,[1]Customers!$F$2:$F$201)</f>
        <v>Jaipur</v>
      </c>
      <c r="Q210">
        <f>_xlfn.XLOOKUP(C210,[1]Customers!$A$2:$A$201,[1]Customers!$D$2:$D$201)</f>
        <v>22</v>
      </c>
      <c r="R210" t="str">
        <f>_xlfn.XLOOKUP([1]Transactions!C210,[1]Customers!$A$2:$A$201,[1]Customers!$C$2:$C$201)</f>
        <v>Female</v>
      </c>
      <c r="S210" t="str">
        <f>_xlfn.XLOOKUP(C210,[1]Customers!$A$2:$A$201,[1]Customers!$B$2:$B$201)</f>
        <v>Customer_43</v>
      </c>
      <c r="T210" t="str">
        <f>_xlfn.XLOOKUP(D210,[1]Products!$A$2:$A$101,[1]Products!$C$2:$C$101)</f>
        <v>Grocery</v>
      </c>
      <c r="U210">
        <f>_xlfn.XLOOKUP(D210,[1]Products!$A$2:$A$101,[1]Products!$E$2:$E$101)</f>
        <v>88</v>
      </c>
      <c r="V210">
        <f>[1]Transactions!F210*[1]Transactions!U210</f>
        <v>352</v>
      </c>
    </row>
    <row r="211" spans="1:22" x14ac:dyDescent="0.3">
      <c r="A211">
        <v>210</v>
      </c>
      <c r="B211">
        <v>54</v>
      </c>
      <c r="C211">
        <v>28</v>
      </c>
      <c r="D211">
        <v>40</v>
      </c>
      <c r="E211">
        <v>42</v>
      </c>
      <c r="F211">
        <v>1</v>
      </c>
      <c r="G211">
        <v>132</v>
      </c>
      <c r="H211">
        <v>132</v>
      </c>
      <c r="I211">
        <v>31</v>
      </c>
      <c r="J211">
        <f>[1]Transactions!F211*[1]Transactions!G211</f>
        <v>132</v>
      </c>
      <c r="K211">
        <f>_xlfn.XLOOKUP([1]Transactions!D211,[1]Inventory!$C$2:$C$501,[1]Inventory!$A$2:$A$501)</f>
        <v>113</v>
      </c>
      <c r="L211">
        <f>_xlfn.XLOOKUP(K211,[1]Inventory!$A$2:$A$501,[1]Inventory!$D$2:$D$501)</f>
        <v>462</v>
      </c>
      <c r="M211">
        <f>_xlfn.XLOOKUP(K211,[1]Inventory!$A$2:$A$501,[1]Inventory!$E$2:$E$501)</f>
        <v>68</v>
      </c>
      <c r="N211" t="str">
        <f>_xlfn.XLOOKUP([1]Transactions!C211,[1]Customers!$A$2:$A$201,[1]Customers!$G$2:$G$201)</f>
        <v>Delhi</v>
      </c>
      <c r="O211" t="str">
        <f>_xlfn.XLOOKUP(C211,[1]Customers!$A$2:$A$201,[1]Customers!$H$2:$H$201)</f>
        <v>North</v>
      </c>
      <c r="P211" t="str">
        <f>_xlfn.XLOOKUP(C211,[1]Customers!$A$2:$A$201,[1]Customers!$F$2:$F$201)</f>
        <v>Delhi</v>
      </c>
      <c r="Q211">
        <f>_xlfn.XLOOKUP(C211,[1]Customers!$A$2:$A$201,[1]Customers!$D$2:$D$201)</f>
        <v>31</v>
      </c>
      <c r="R211" t="str">
        <f>_xlfn.XLOOKUP([1]Transactions!C211,[1]Customers!$A$2:$A$201,[1]Customers!$C$2:$C$201)</f>
        <v>Female</v>
      </c>
      <c r="S211" t="str">
        <f>_xlfn.XLOOKUP(C211,[1]Customers!$A$2:$A$201,[1]Customers!$B$2:$B$201)</f>
        <v>Customer_28</v>
      </c>
      <c r="T211" t="str">
        <f>_xlfn.XLOOKUP(D211,[1]Products!$A$2:$A$101,[1]Products!$C$2:$C$101)</f>
        <v>Grocery</v>
      </c>
      <c r="U211">
        <f>_xlfn.XLOOKUP(D211,[1]Products!$A$2:$A$101,[1]Products!$E$2:$E$101)</f>
        <v>184</v>
      </c>
      <c r="V211">
        <f>[1]Transactions!F211*[1]Transactions!U211</f>
        <v>184</v>
      </c>
    </row>
    <row r="212" spans="1:22" x14ac:dyDescent="0.3">
      <c r="A212">
        <v>211</v>
      </c>
      <c r="B212">
        <v>48</v>
      </c>
      <c r="C212">
        <v>197</v>
      </c>
      <c r="D212">
        <v>84</v>
      </c>
      <c r="E212">
        <v>32</v>
      </c>
      <c r="F212">
        <v>4</v>
      </c>
      <c r="G212">
        <v>496</v>
      </c>
      <c r="H212">
        <v>1984</v>
      </c>
      <c r="I212">
        <v>48</v>
      </c>
      <c r="J212">
        <f>[1]Transactions!F212*[1]Transactions!G212</f>
        <v>1984</v>
      </c>
      <c r="K212">
        <f>_xlfn.XLOOKUP([1]Transactions!D212,[1]Inventory!$C$2:$C$501,[1]Inventory!$A$2:$A$501)</f>
        <v>303</v>
      </c>
      <c r="L212">
        <f>_xlfn.XLOOKUP(K212,[1]Inventory!$A$2:$A$501,[1]Inventory!$D$2:$D$501)</f>
        <v>293</v>
      </c>
      <c r="M212">
        <f>_xlfn.XLOOKUP(K212,[1]Inventory!$A$2:$A$501,[1]Inventory!$E$2:$E$501)</f>
        <v>69</v>
      </c>
      <c r="N212" t="str">
        <f>_xlfn.XLOOKUP([1]Transactions!C212,[1]Customers!$A$2:$A$201,[1]Customers!$G$2:$G$201)</f>
        <v>Maharashtra</v>
      </c>
      <c r="O212" t="str">
        <f>_xlfn.XLOOKUP(C212,[1]Customers!$A$2:$A$201,[1]Customers!$H$2:$H$201)</f>
        <v>West</v>
      </c>
      <c r="P212" t="str">
        <f>_xlfn.XLOOKUP(C212,[1]Customers!$A$2:$A$201,[1]Customers!$F$2:$F$201)</f>
        <v>Mumbai</v>
      </c>
      <c r="Q212">
        <f>_xlfn.XLOOKUP(C212,[1]Customers!$A$2:$A$201,[1]Customers!$D$2:$D$201)</f>
        <v>40</v>
      </c>
      <c r="R212" t="str">
        <f>_xlfn.XLOOKUP([1]Transactions!C212,[1]Customers!$A$2:$A$201,[1]Customers!$C$2:$C$201)</f>
        <v>Female</v>
      </c>
      <c r="S212" t="str">
        <f>_xlfn.XLOOKUP(C212,[1]Customers!$A$2:$A$201,[1]Customers!$B$2:$B$201)</f>
        <v>Customer_197</v>
      </c>
      <c r="T212" t="str">
        <f>_xlfn.XLOOKUP(D212,[1]Products!$A$2:$A$101,[1]Products!$C$2:$C$101)</f>
        <v>Grocery</v>
      </c>
      <c r="U212">
        <f>_xlfn.XLOOKUP(D212,[1]Products!$A$2:$A$101,[1]Products!$E$2:$E$101)</f>
        <v>249</v>
      </c>
      <c r="V212">
        <f>[1]Transactions!F212*[1]Transactions!U212</f>
        <v>996</v>
      </c>
    </row>
    <row r="213" spans="1:22" x14ac:dyDescent="0.3">
      <c r="A213">
        <v>212</v>
      </c>
      <c r="B213">
        <v>108</v>
      </c>
      <c r="C213">
        <v>161</v>
      </c>
      <c r="D213">
        <v>37</v>
      </c>
      <c r="E213">
        <v>26</v>
      </c>
      <c r="F213">
        <v>5</v>
      </c>
      <c r="G213">
        <v>215</v>
      </c>
      <c r="H213">
        <v>1075</v>
      </c>
      <c r="I213">
        <v>49</v>
      </c>
      <c r="J213">
        <f>[1]Transactions!F213*[1]Transactions!G213</f>
        <v>1075</v>
      </c>
      <c r="K213">
        <f>_xlfn.XLOOKUP([1]Transactions!D213,[1]Inventory!$C$2:$C$501,[1]Inventory!$A$2:$A$501)</f>
        <v>23</v>
      </c>
      <c r="L213">
        <f>_xlfn.XLOOKUP(K213,[1]Inventory!$A$2:$A$501,[1]Inventory!$D$2:$D$501)</f>
        <v>485</v>
      </c>
      <c r="M213">
        <f>_xlfn.XLOOKUP(K213,[1]Inventory!$A$2:$A$501,[1]Inventory!$E$2:$E$501)</f>
        <v>129</v>
      </c>
      <c r="N213" t="str">
        <f>_xlfn.XLOOKUP([1]Transactions!C213,[1]Customers!$A$2:$A$201,[1]Customers!$G$2:$G$201)</f>
        <v>Telangana</v>
      </c>
      <c r="O213" t="str">
        <f>_xlfn.XLOOKUP(C213,[1]Customers!$A$2:$A$201,[1]Customers!$H$2:$H$201)</f>
        <v>South</v>
      </c>
      <c r="P213" t="str">
        <f>_xlfn.XLOOKUP(C213,[1]Customers!$A$2:$A$201,[1]Customers!$F$2:$F$201)</f>
        <v>Hyderabad</v>
      </c>
      <c r="Q213">
        <f>_xlfn.XLOOKUP(C213,[1]Customers!$A$2:$A$201,[1]Customers!$D$2:$D$201)</f>
        <v>37</v>
      </c>
      <c r="R213" t="str">
        <f>_xlfn.XLOOKUP([1]Transactions!C213,[1]Customers!$A$2:$A$201,[1]Customers!$C$2:$C$201)</f>
        <v>Male</v>
      </c>
      <c r="S213" t="str">
        <f>_xlfn.XLOOKUP(C213,[1]Customers!$A$2:$A$201,[1]Customers!$B$2:$B$201)</f>
        <v>Customer_161</v>
      </c>
      <c r="T213" t="str">
        <f>_xlfn.XLOOKUP(D213,[1]Products!$A$2:$A$101,[1]Products!$C$2:$C$101)</f>
        <v>Grocery</v>
      </c>
      <c r="U213">
        <f>_xlfn.XLOOKUP(D213,[1]Products!$A$2:$A$101,[1]Products!$E$2:$E$101)</f>
        <v>210</v>
      </c>
      <c r="V213">
        <f>[1]Transactions!F213*[1]Transactions!U213</f>
        <v>1050</v>
      </c>
    </row>
    <row r="214" spans="1:22" x14ac:dyDescent="0.3">
      <c r="A214">
        <v>213</v>
      </c>
      <c r="B214">
        <v>10</v>
      </c>
      <c r="C214">
        <v>129</v>
      </c>
      <c r="D214">
        <v>82</v>
      </c>
      <c r="E214">
        <v>35</v>
      </c>
      <c r="F214">
        <v>2</v>
      </c>
      <c r="G214">
        <v>245</v>
      </c>
      <c r="H214">
        <v>490</v>
      </c>
      <c r="I214">
        <v>22</v>
      </c>
      <c r="J214">
        <f>[1]Transactions!F214*[1]Transactions!G214</f>
        <v>490</v>
      </c>
      <c r="K214">
        <f>_xlfn.XLOOKUP([1]Transactions!D214,[1]Inventory!$C$2:$C$501,[1]Inventory!$A$2:$A$501)</f>
        <v>291</v>
      </c>
      <c r="L214">
        <f>_xlfn.XLOOKUP(K214,[1]Inventory!$A$2:$A$501,[1]Inventory!$D$2:$D$501)</f>
        <v>179</v>
      </c>
      <c r="M214">
        <f>_xlfn.XLOOKUP(K214,[1]Inventory!$A$2:$A$501,[1]Inventory!$E$2:$E$501)</f>
        <v>60</v>
      </c>
      <c r="N214" t="str">
        <f>_xlfn.XLOOKUP([1]Transactions!C214,[1]Customers!$A$2:$A$201,[1]Customers!$G$2:$G$201)</f>
        <v>Maharashtra</v>
      </c>
      <c r="O214" t="str">
        <f>_xlfn.XLOOKUP(C214,[1]Customers!$A$2:$A$201,[1]Customers!$H$2:$H$201)</f>
        <v>West</v>
      </c>
      <c r="P214" t="str">
        <f>_xlfn.XLOOKUP(C214,[1]Customers!$A$2:$A$201,[1]Customers!$F$2:$F$201)</f>
        <v>Pune</v>
      </c>
      <c r="Q214">
        <f>_xlfn.XLOOKUP(C214,[1]Customers!$A$2:$A$201,[1]Customers!$D$2:$D$201)</f>
        <v>59</v>
      </c>
      <c r="R214" t="str">
        <f>_xlfn.XLOOKUP([1]Transactions!C214,[1]Customers!$A$2:$A$201,[1]Customers!$C$2:$C$201)</f>
        <v>Male</v>
      </c>
      <c r="S214" t="str">
        <f>_xlfn.XLOOKUP(C214,[1]Customers!$A$2:$A$201,[1]Customers!$B$2:$B$201)</f>
        <v>Customer_129</v>
      </c>
      <c r="T214" t="str">
        <f>_xlfn.XLOOKUP(D214,[1]Products!$A$2:$A$101,[1]Products!$C$2:$C$101)</f>
        <v>Grocery</v>
      </c>
      <c r="U214">
        <f>_xlfn.XLOOKUP(D214,[1]Products!$A$2:$A$101,[1]Products!$E$2:$E$101)</f>
        <v>358</v>
      </c>
      <c r="V214">
        <f>[1]Transactions!F214*[1]Transactions!U214</f>
        <v>716</v>
      </c>
    </row>
    <row r="215" spans="1:22" x14ac:dyDescent="0.3">
      <c r="A215">
        <v>214</v>
      </c>
      <c r="B215">
        <v>129</v>
      </c>
      <c r="C215">
        <v>99</v>
      </c>
      <c r="D215">
        <v>80</v>
      </c>
      <c r="E215">
        <v>11</v>
      </c>
      <c r="F215">
        <v>3</v>
      </c>
      <c r="G215">
        <v>403</v>
      </c>
      <c r="H215">
        <v>1209</v>
      </c>
      <c r="I215">
        <v>26</v>
      </c>
      <c r="J215">
        <f>[1]Transactions!F215*[1]Transactions!G215</f>
        <v>1209</v>
      </c>
      <c r="K215">
        <f>_xlfn.XLOOKUP([1]Transactions!D215,[1]Inventory!$C$2:$C$501,[1]Inventory!$A$2:$A$501)</f>
        <v>44</v>
      </c>
      <c r="L215">
        <f>_xlfn.XLOOKUP(K215,[1]Inventory!$A$2:$A$501,[1]Inventory!$D$2:$D$501)</f>
        <v>128</v>
      </c>
      <c r="M215">
        <f>_xlfn.XLOOKUP(K215,[1]Inventory!$A$2:$A$501,[1]Inventory!$E$2:$E$501)</f>
        <v>15</v>
      </c>
      <c r="N215" t="str">
        <f>_xlfn.XLOOKUP([1]Transactions!C215,[1]Customers!$A$2:$A$201,[1]Customers!$G$2:$G$201)</f>
        <v>Karnataka</v>
      </c>
      <c r="O215" t="str">
        <f>_xlfn.XLOOKUP(C215,[1]Customers!$A$2:$A$201,[1]Customers!$H$2:$H$201)</f>
        <v>South</v>
      </c>
      <c r="P215" t="str">
        <f>_xlfn.XLOOKUP(C215,[1]Customers!$A$2:$A$201,[1]Customers!$F$2:$F$201)</f>
        <v>Bangalore</v>
      </c>
      <c r="Q215">
        <f>_xlfn.XLOOKUP(C215,[1]Customers!$A$2:$A$201,[1]Customers!$D$2:$D$201)</f>
        <v>49</v>
      </c>
      <c r="R215" t="str">
        <f>_xlfn.XLOOKUP([1]Transactions!C215,[1]Customers!$A$2:$A$201,[1]Customers!$C$2:$C$201)</f>
        <v>Male</v>
      </c>
      <c r="S215" t="str">
        <f>_xlfn.XLOOKUP(C215,[1]Customers!$A$2:$A$201,[1]Customers!$B$2:$B$201)</f>
        <v>Customer_99</v>
      </c>
      <c r="T215" t="str">
        <f>_xlfn.XLOOKUP(D215,[1]Products!$A$2:$A$101,[1]Products!$C$2:$C$101)</f>
        <v>Dairy</v>
      </c>
      <c r="U215">
        <f>_xlfn.XLOOKUP(D215,[1]Products!$A$2:$A$101,[1]Products!$E$2:$E$101)</f>
        <v>272</v>
      </c>
      <c r="V215">
        <f>[1]Transactions!F215*[1]Transactions!U215</f>
        <v>816</v>
      </c>
    </row>
    <row r="216" spans="1:22" x14ac:dyDescent="0.3">
      <c r="A216">
        <v>215</v>
      </c>
      <c r="B216">
        <v>134</v>
      </c>
      <c r="C216">
        <v>34</v>
      </c>
      <c r="D216">
        <v>59</v>
      </c>
      <c r="E216">
        <v>18</v>
      </c>
      <c r="F216">
        <v>2</v>
      </c>
      <c r="G216">
        <v>143</v>
      </c>
      <c r="H216">
        <v>286</v>
      </c>
      <c r="I216">
        <v>27</v>
      </c>
      <c r="J216">
        <f>[1]Transactions!F216*[1]Transactions!G216</f>
        <v>286</v>
      </c>
      <c r="K216">
        <f>_xlfn.XLOOKUP([1]Transactions!D216,[1]Inventory!$C$2:$C$501,[1]Inventory!$A$2:$A$501)</f>
        <v>148</v>
      </c>
      <c r="L216">
        <f>_xlfn.XLOOKUP(K216,[1]Inventory!$A$2:$A$501,[1]Inventory!$D$2:$D$501)</f>
        <v>410</v>
      </c>
      <c r="M216">
        <f>_xlfn.XLOOKUP(K216,[1]Inventory!$A$2:$A$501,[1]Inventory!$E$2:$E$501)</f>
        <v>25</v>
      </c>
      <c r="N216" t="str">
        <f>_xlfn.XLOOKUP([1]Transactions!C216,[1]Customers!$A$2:$A$201,[1]Customers!$G$2:$G$201)</f>
        <v>Delhi</v>
      </c>
      <c r="O216" t="str">
        <f>_xlfn.XLOOKUP(C216,[1]Customers!$A$2:$A$201,[1]Customers!$H$2:$H$201)</f>
        <v>North</v>
      </c>
      <c r="P216" t="str">
        <f>_xlfn.XLOOKUP(C216,[1]Customers!$A$2:$A$201,[1]Customers!$F$2:$F$201)</f>
        <v>Delhi</v>
      </c>
      <c r="Q216">
        <f>_xlfn.XLOOKUP(C216,[1]Customers!$A$2:$A$201,[1]Customers!$D$2:$D$201)</f>
        <v>43</v>
      </c>
      <c r="R216" t="str">
        <f>_xlfn.XLOOKUP([1]Transactions!C216,[1]Customers!$A$2:$A$201,[1]Customers!$C$2:$C$201)</f>
        <v>Female</v>
      </c>
      <c r="S216" t="str">
        <f>_xlfn.XLOOKUP(C216,[1]Customers!$A$2:$A$201,[1]Customers!$B$2:$B$201)</f>
        <v>Customer_34</v>
      </c>
      <c r="T216" t="str">
        <f>_xlfn.XLOOKUP(D216,[1]Products!$A$2:$A$101,[1]Products!$C$2:$C$101)</f>
        <v>Dairy</v>
      </c>
      <c r="U216">
        <f>_xlfn.XLOOKUP(D216,[1]Products!$A$2:$A$101,[1]Products!$E$2:$E$101)</f>
        <v>183</v>
      </c>
      <c r="V216">
        <f>[1]Transactions!F216*[1]Transactions!U216</f>
        <v>366</v>
      </c>
    </row>
    <row r="217" spans="1:22" x14ac:dyDescent="0.3">
      <c r="A217">
        <v>216</v>
      </c>
      <c r="B217">
        <v>102</v>
      </c>
      <c r="C217">
        <v>31</v>
      </c>
      <c r="D217">
        <v>77</v>
      </c>
      <c r="E217">
        <v>5</v>
      </c>
      <c r="F217">
        <v>5</v>
      </c>
      <c r="G217">
        <v>498</v>
      </c>
      <c r="H217">
        <v>2490</v>
      </c>
      <c r="I217">
        <v>58</v>
      </c>
      <c r="J217">
        <f>[1]Transactions!F217*[1]Transactions!G217</f>
        <v>2490</v>
      </c>
      <c r="K217">
        <f>_xlfn.XLOOKUP([1]Transactions!D217,[1]Inventory!$C$2:$C$501,[1]Inventory!$A$2:$A$501)</f>
        <v>243</v>
      </c>
      <c r="L217">
        <f>_xlfn.XLOOKUP(K217,[1]Inventory!$A$2:$A$501,[1]Inventory!$D$2:$D$501)</f>
        <v>97</v>
      </c>
      <c r="M217">
        <f>_xlfn.XLOOKUP(K217,[1]Inventory!$A$2:$A$501,[1]Inventory!$E$2:$E$501)</f>
        <v>107</v>
      </c>
      <c r="N217" t="str">
        <f>_xlfn.XLOOKUP([1]Transactions!C217,[1]Customers!$A$2:$A$201,[1]Customers!$G$2:$G$201)</f>
        <v>Maharashtra</v>
      </c>
      <c r="O217" t="str">
        <f>_xlfn.XLOOKUP(C217,[1]Customers!$A$2:$A$201,[1]Customers!$H$2:$H$201)</f>
        <v>West</v>
      </c>
      <c r="P217" t="str">
        <f>_xlfn.XLOOKUP(C217,[1]Customers!$A$2:$A$201,[1]Customers!$F$2:$F$201)</f>
        <v>Pune</v>
      </c>
      <c r="Q217">
        <f>_xlfn.XLOOKUP(C217,[1]Customers!$A$2:$A$201,[1]Customers!$D$2:$D$201)</f>
        <v>45</v>
      </c>
      <c r="R217" t="str">
        <f>_xlfn.XLOOKUP([1]Transactions!C217,[1]Customers!$A$2:$A$201,[1]Customers!$C$2:$C$201)</f>
        <v>Male</v>
      </c>
      <c r="S217" t="str">
        <f>_xlfn.XLOOKUP(C217,[1]Customers!$A$2:$A$201,[1]Customers!$B$2:$B$201)</f>
        <v>Customer_31</v>
      </c>
      <c r="T217" t="str">
        <f>_xlfn.XLOOKUP(D217,[1]Products!$A$2:$A$101,[1]Products!$C$2:$C$101)</f>
        <v>Grocery</v>
      </c>
      <c r="U217">
        <f>_xlfn.XLOOKUP(D217,[1]Products!$A$2:$A$101,[1]Products!$E$2:$E$101)</f>
        <v>389</v>
      </c>
      <c r="V217">
        <f>[1]Transactions!F217*[1]Transactions!U217</f>
        <v>1945</v>
      </c>
    </row>
    <row r="218" spans="1:22" x14ac:dyDescent="0.3">
      <c r="A218">
        <v>217</v>
      </c>
      <c r="B218">
        <v>22</v>
      </c>
      <c r="C218">
        <v>142</v>
      </c>
      <c r="D218">
        <v>18</v>
      </c>
      <c r="E218">
        <v>32</v>
      </c>
      <c r="F218">
        <v>5</v>
      </c>
      <c r="G218">
        <v>183</v>
      </c>
      <c r="H218">
        <v>915</v>
      </c>
      <c r="I218">
        <v>11</v>
      </c>
      <c r="J218">
        <f>[1]Transactions!F218*[1]Transactions!G218</f>
        <v>915</v>
      </c>
      <c r="K218">
        <f>_xlfn.XLOOKUP([1]Transactions!D218,[1]Inventory!$C$2:$C$501,[1]Inventory!$A$2:$A$501)</f>
        <v>78</v>
      </c>
      <c r="L218">
        <f>_xlfn.XLOOKUP(K218,[1]Inventory!$A$2:$A$501,[1]Inventory!$D$2:$D$501)</f>
        <v>109</v>
      </c>
      <c r="M218">
        <f>_xlfn.XLOOKUP(K218,[1]Inventory!$A$2:$A$501,[1]Inventory!$E$2:$E$501)</f>
        <v>51</v>
      </c>
      <c r="N218" t="str">
        <f>_xlfn.XLOOKUP([1]Transactions!C218,[1]Customers!$A$2:$A$201,[1]Customers!$G$2:$G$201)</f>
        <v>Maharashtra</v>
      </c>
      <c r="O218" t="str">
        <f>_xlfn.XLOOKUP(C218,[1]Customers!$A$2:$A$201,[1]Customers!$H$2:$H$201)</f>
        <v>West</v>
      </c>
      <c r="P218" t="str">
        <f>_xlfn.XLOOKUP(C218,[1]Customers!$A$2:$A$201,[1]Customers!$F$2:$F$201)</f>
        <v>Mumbai</v>
      </c>
      <c r="Q218">
        <f>_xlfn.XLOOKUP(C218,[1]Customers!$A$2:$A$201,[1]Customers!$D$2:$D$201)</f>
        <v>22</v>
      </c>
      <c r="R218" t="str">
        <f>_xlfn.XLOOKUP([1]Transactions!C218,[1]Customers!$A$2:$A$201,[1]Customers!$C$2:$C$201)</f>
        <v>Female</v>
      </c>
      <c r="S218" t="str">
        <f>_xlfn.XLOOKUP(C218,[1]Customers!$A$2:$A$201,[1]Customers!$B$2:$B$201)</f>
        <v>Customer_142</v>
      </c>
      <c r="T218" t="str">
        <f>_xlfn.XLOOKUP(D218,[1]Products!$A$2:$A$101,[1]Products!$C$2:$C$101)</f>
        <v>Snacks</v>
      </c>
      <c r="U218">
        <f>_xlfn.XLOOKUP(D218,[1]Products!$A$2:$A$101,[1]Products!$E$2:$E$101)</f>
        <v>460</v>
      </c>
      <c r="V218">
        <f>[1]Transactions!F218*[1]Transactions!U218</f>
        <v>2300</v>
      </c>
    </row>
    <row r="219" spans="1:22" x14ac:dyDescent="0.3">
      <c r="A219">
        <v>218</v>
      </c>
      <c r="B219">
        <v>100</v>
      </c>
      <c r="C219">
        <v>25</v>
      </c>
      <c r="D219">
        <v>39</v>
      </c>
      <c r="E219">
        <v>48</v>
      </c>
      <c r="F219">
        <v>2</v>
      </c>
      <c r="G219">
        <v>89</v>
      </c>
      <c r="H219">
        <v>178</v>
      </c>
      <c r="I219">
        <v>29</v>
      </c>
      <c r="J219">
        <f>[1]Transactions!F219*[1]Transactions!G219</f>
        <v>178</v>
      </c>
      <c r="K219">
        <f>_xlfn.XLOOKUP([1]Transactions!D219,[1]Inventory!$C$2:$C$501,[1]Inventory!$A$2:$A$501)</f>
        <v>122</v>
      </c>
      <c r="L219">
        <f>_xlfn.XLOOKUP(K219,[1]Inventory!$A$2:$A$501,[1]Inventory!$D$2:$D$501)</f>
        <v>220</v>
      </c>
      <c r="M219">
        <f>_xlfn.XLOOKUP(K219,[1]Inventory!$A$2:$A$501,[1]Inventory!$E$2:$E$501)</f>
        <v>113</v>
      </c>
      <c r="N219" t="str">
        <f>_xlfn.XLOOKUP([1]Transactions!C219,[1]Customers!$A$2:$A$201,[1]Customers!$G$2:$G$201)</f>
        <v>Maharashtra</v>
      </c>
      <c r="O219" t="str">
        <f>_xlfn.XLOOKUP(C219,[1]Customers!$A$2:$A$201,[1]Customers!$H$2:$H$201)</f>
        <v>West</v>
      </c>
      <c r="P219" t="str">
        <f>_xlfn.XLOOKUP(C219,[1]Customers!$A$2:$A$201,[1]Customers!$F$2:$F$201)</f>
        <v>Mumbai</v>
      </c>
      <c r="Q219">
        <f>_xlfn.XLOOKUP(C219,[1]Customers!$A$2:$A$201,[1]Customers!$D$2:$D$201)</f>
        <v>58</v>
      </c>
      <c r="R219" t="str">
        <f>_xlfn.XLOOKUP([1]Transactions!C219,[1]Customers!$A$2:$A$201,[1]Customers!$C$2:$C$201)</f>
        <v>Female</v>
      </c>
      <c r="S219" t="str">
        <f>_xlfn.XLOOKUP(C219,[1]Customers!$A$2:$A$201,[1]Customers!$B$2:$B$201)</f>
        <v>Customer_25</v>
      </c>
      <c r="T219" t="str">
        <f>_xlfn.XLOOKUP(D219,[1]Products!$A$2:$A$101,[1]Products!$C$2:$C$101)</f>
        <v>Grocery</v>
      </c>
      <c r="U219">
        <f>_xlfn.XLOOKUP(D219,[1]Products!$A$2:$A$101,[1]Products!$E$2:$E$101)</f>
        <v>50</v>
      </c>
      <c r="V219">
        <f>[1]Transactions!F219*[1]Transactions!U219</f>
        <v>100</v>
      </c>
    </row>
    <row r="220" spans="1:22" x14ac:dyDescent="0.3">
      <c r="A220">
        <v>219</v>
      </c>
      <c r="B220">
        <v>60</v>
      </c>
      <c r="C220">
        <v>133</v>
      </c>
      <c r="D220">
        <v>50</v>
      </c>
      <c r="E220">
        <v>20</v>
      </c>
      <c r="F220">
        <v>2</v>
      </c>
      <c r="G220">
        <v>99</v>
      </c>
      <c r="H220">
        <v>198</v>
      </c>
      <c r="I220">
        <v>20</v>
      </c>
      <c r="J220">
        <f>[1]Transactions!F220*[1]Transactions!G220</f>
        <v>198</v>
      </c>
      <c r="K220">
        <f>_xlfn.XLOOKUP([1]Transactions!D220,[1]Inventory!$C$2:$C$501,[1]Inventory!$A$2:$A$501)</f>
        <v>50</v>
      </c>
      <c r="L220">
        <f>_xlfn.XLOOKUP(K220,[1]Inventory!$A$2:$A$501,[1]Inventory!$D$2:$D$501)</f>
        <v>220</v>
      </c>
      <c r="M220">
        <f>_xlfn.XLOOKUP(K220,[1]Inventory!$A$2:$A$501,[1]Inventory!$E$2:$E$501)</f>
        <v>144</v>
      </c>
      <c r="N220" t="str">
        <f>_xlfn.XLOOKUP([1]Transactions!C220,[1]Customers!$A$2:$A$201,[1]Customers!$G$2:$G$201)</f>
        <v>Maharashtra</v>
      </c>
      <c r="O220" t="str">
        <f>_xlfn.XLOOKUP(C220,[1]Customers!$A$2:$A$201,[1]Customers!$H$2:$H$201)</f>
        <v>West</v>
      </c>
      <c r="P220" t="str">
        <f>_xlfn.XLOOKUP(C220,[1]Customers!$A$2:$A$201,[1]Customers!$F$2:$F$201)</f>
        <v>Mumbai</v>
      </c>
      <c r="Q220">
        <f>_xlfn.XLOOKUP(C220,[1]Customers!$A$2:$A$201,[1]Customers!$D$2:$D$201)</f>
        <v>31</v>
      </c>
      <c r="R220" t="str">
        <f>_xlfn.XLOOKUP([1]Transactions!C220,[1]Customers!$A$2:$A$201,[1]Customers!$C$2:$C$201)</f>
        <v>Male</v>
      </c>
      <c r="S220" t="str">
        <f>_xlfn.XLOOKUP(C220,[1]Customers!$A$2:$A$201,[1]Customers!$B$2:$B$201)</f>
        <v>Customer_133</v>
      </c>
      <c r="T220" t="str">
        <f>_xlfn.XLOOKUP(D220,[1]Products!$A$2:$A$101,[1]Products!$C$2:$C$101)</f>
        <v>Personal Care</v>
      </c>
      <c r="U220">
        <f>_xlfn.XLOOKUP(D220,[1]Products!$A$2:$A$101,[1]Products!$E$2:$E$101)</f>
        <v>407</v>
      </c>
      <c r="V220">
        <f>[1]Transactions!F220*[1]Transactions!U220</f>
        <v>814</v>
      </c>
    </row>
    <row r="221" spans="1:22" x14ac:dyDescent="0.3">
      <c r="A221">
        <v>220</v>
      </c>
      <c r="B221">
        <v>79</v>
      </c>
      <c r="C221">
        <v>143</v>
      </c>
      <c r="D221">
        <v>41</v>
      </c>
      <c r="E221">
        <v>30</v>
      </c>
      <c r="F221">
        <v>1</v>
      </c>
      <c r="G221">
        <v>284</v>
      </c>
      <c r="H221">
        <v>284</v>
      </c>
      <c r="I221">
        <v>21</v>
      </c>
      <c r="J221">
        <f>[1]Transactions!F221*[1]Transactions!G221</f>
        <v>284</v>
      </c>
      <c r="K221">
        <f>_xlfn.XLOOKUP([1]Transactions!D221,[1]Inventory!$C$2:$C$501,[1]Inventory!$A$2:$A$501)</f>
        <v>19</v>
      </c>
      <c r="L221">
        <f>_xlfn.XLOOKUP(K221,[1]Inventory!$A$2:$A$501,[1]Inventory!$D$2:$D$501)</f>
        <v>60</v>
      </c>
      <c r="M221">
        <f>_xlfn.XLOOKUP(K221,[1]Inventory!$A$2:$A$501,[1]Inventory!$E$2:$E$501)</f>
        <v>140</v>
      </c>
      <c r="N221" t="str">
        <f>_xlfn.XLOOKUP([1]Transactions!C221,[1]Customers!$A$2:$A$201,[1]Customers!$G$2:$G$201)</f>
        <v>Telangana</v>
      </c>
      <c r="O221" t="str">
        <f>_xlfn.XLOOKUP(C221,[1]Customers!$A$2:$A$201,[1]Customers!$H$2:$H$201)</f>
        <v>South</v>
      </c>
      <c r="P221" t="str">
        <f>_xlfn.XLOOKUP(C221,[1]Customers!$A$2:$A$201,[1]Customers!$F$2:$F$201)</f>
        <v>Hyderabad</v>
      </c>
      <c r="Q221">
        <f>_xlfn.XLOOKUP(C221,[1]Customers!$A$2:$A$201,[1]Customers!$D$2:$D$201)</f>
        <v>58</v>
      </c>
      <c r="R221" t="str">
        <f>_xlfn.XLOOKUP([1]Transactions!C221,[1]Customers!$A$2:$A$201,[1]Customers!$C$2:$C$201)</f>
        <v>Male</v>
      </c>
      <c r="S221" t="str">
        <f>_xlfn.XLOOKUP(C221,[1]Customers!$A$2:$A$201,[1]Customers!$B$2:$B$201)</f>
        <v>Customer_143</v>
      </c>
      <c r="T221" t="str">
        <f>_xlfn.XLOOKUP(D221,[1]Products!$A$2:$A$101,[1]Products!$C$2:$C$101)</f>
        <v>Snacks</v>
      </c>
      <c r="U221">
        <f>_xlfn.XLOOKUP(D221,[1]Products!$A$2:$A$101,[1]Products!$E$2:$E$101)</f>
        <v>459</v>
      </c>
      <c r="V221">
        <f>[1]Transactions!F221*[1]Transactions!U221</f>
        <v>459</v>
      </c>
    </row>
    <row r="222" spans="1:22" x14ac:dyDescent="0.3">
      <c r="A222">
        <v>221</v>
      </c>
      <c r="B222">
        <v>161</v>
      </c>
      <c r="C222">
        <v>118</v>
      </c>
      <c r="D222">
        <v>17</v>
      </c>
      <c r="E222">
        <v>45</v>
      </c>
      <c r="F222">
        <v>3</v>
      </c>
      <c r="G222">
        <v>162</v>
      </c>
      <c r="H222">
        <v>486</v>
      </c>
      <c r="I222">
        <v>59</v>
      </c>
      <c r="J222">
        <f>[1]Transactions!F222*[1]Transactions!G222</f>
        <v>486</v>
      </c>
      <c r="K222">
        <f>_xlfn.XLOOKUP([1]Transactions!D222,[1]Inventory!$C$2:$C$501,[1]Inventory!$A$2:$A$501)</f>
        <v>1</v>
      </c>
      <c r="L222">
        <f>_xlfn.XLOOKUP(K222,[1]Inventory!$A$2:$A$501,[1]Inventory!$D$2:$D$501)</f>
        <v>179</v>
      </c>
      <c r="M222">
        <f>_xlfn.XLOOKUP(K222,[1]Inventory!$A$2:$A$501,[1]Inventory!$E$2:$E$501)</f>
        <v>124</v>
      </c>
      <c r="N222" t="str">
        <f>_xlfn.XLOOKUP([1]Transactions!C222,[1]Customers!$A$2:$A$201,[1]Customers!$G$2:$G$201)</f>
        <v>Maharashtra</v>
      </c>
      <c r="O222" t="str">
        <f>_xlfn.XLOOKUP(C222,[1]Customers!$A$2:$A$201,[1]Customers!$H$2:$H$201)</f>
        <v>West</v>
      </c>
      <c r="P222" t="str">
        <f>_xlfn.XLOOKUP(C222,[1]Customers!$A$2:$A$201,[1]Customers!$F$2:$F$201)</f>
        <v>Mumbai</v>
      </c>
      <c r="Q222">
        <f>_xlfn.XLOOKUP(C222,[1]Customers!$A$2:$A$201,[1]Customers!$D$2:$D$201)</f>
        <v>23</v>
      </c>
      <c r="R222" t="str">
        <f>_xlfn.XLOOKUP([1]Transactions!C222,[1]Customers!$A$2:$A$201,[1]Customers!$C$2:$C$201)</f>
        <v>Male</v>
      </c>
      <c r="S222" t="str">
        <f>_xlfn.XLOOKUP(C222,[1]Customers!$A$2:$A$201,[1]Customers!$B$2:$B$201)</f>
        <v>Customer_118</v>
      </c>
      <c r="T222" t="str">
        <f>_xlfn.XLOOKUP(D222,[1]Products!$A$2:$A$101,[1]Products!$C$2:$C$101)</f>
        <v>Snacks</v>
      </c>
      <c r="U222">
        <f>_xlfn.XLOOKUP(D222,[1]Products!$A$2:$A$101,[1]Products!$E$2:$E$101)</f>
        <v>55</v>
      </c>
      <c r="V222">
        <f>[1]Transactions!F222*[1]Transactions!U222</f>
        <v>165</v>
      </c>
    </row>
    <row r="223" spans="1:22" x14ac:dyDescent="0.3">
      <c r="A223">
        <v>222</v>
      </c>
      <c r="B223">
        <v>65</v>
      </c>
      <c r="C223">
        <v>168</v>
      </c>
      <c r="D223">
        <v>55</v>
      </c>
      <c r="E223">
        <v>25</v>
      </c>
      <c r="F223">
        <v>4</v>
      </c>
      <c r="G223">
        <v>277</v>
      </c>
      <c r="H223">
        <v>1108</v>
      </c>
      <c r="I223">
        <v>20</v>
      </c>
      <c r="J223">
        <f>[1]Transactions!F223*[1]Transactions!G223</f>
        <v>1108</v>
      </c>
      <c r="K223">
        <f>_xlfn.XLOOKUP([1]Transactions!D223,[1]Inventory!$C$2:$C$501,[1]Inventory!$A$2:$A$501)</f>
        <v>167</v>
      </c>
      <c r="L223">
        <f>_xlfn.XLOOKUP(K223,[1]Inventory!$A$2:$A$501,[1]Inventory!$D$2:$D$501)</f>
        <v>200</v>
      </c>
      <c r="M223">
        <f>_xlfn.XLOOKUP(K223,[1]Inventory!$A$2:$A$501,[1]Inventory!$E$2:$E$501)</f>
        <v>125</v>
      </c>
      <c r="N223" t="str">
        <f>_xlfn.XLOOKUP([1]Transactions!C223,[1]Customers!$A$2:$A$201,[1]Customers!$G$2:$G$201)</f>
        <v>West Bengal</v>
      </c>
      <c r="O223" t="str">
        <f>_xlfn.XLOOKUP(C223,[1]Customers!$A$2:$A$201,[1]Customers!$H$2:$H$201)</f>
        <v>East</v>
      </c>
      <c r="P223" t="str">
        <f>_xlfn.XLOOKUP(C223,[1]Customers!$A$2:$A$201,[1]Customers!$F$2:$F$201)</f>
        <v>Kolkata</v>
      </c>
      <c r="Q223">
        <f>_xlfn.XLOOKUP(C223,[1]Customers!$A$2:$A$201,[1]Customers!$D$2:$D$201)</f>
        <v>27</v>
      </c>
      <c r="R223" t="str">
        <f>_xlfn.XLOOKUP([1]Transactions!C223,[1]Customers!$A$2:$A$201,[1]Customers!$C$2:$C$201)</f>
        <v>Female</v>
      </c>
      <c r="S223" t="str">
        <f>_xlfn.XLOOKUP(C223,[1]Customers!$A$2:$A$201,[1]Customers!$B$2:$B$201)</f>
        <v>Customer_168</v>
      </c>
      <c r="T223" t="str">
        <f>_xlfn.XLOOKUP(D223,[1]Products!$A$2:$A$101,[1]Products!$C$2:$C$101)</f>
        <v>Dairy</v>
      </c>
      <c r="U223">
        <f>_xlfn.XLOOKUP(D223,[1]Products!$A$2:$A$101,[1]Products!$E$2:$E$101)</f>
        <v>454</v>
      </c>
      <c r="V223">
        <f>[1]Transactions!F223*[1]Transactions!U223</f>
        <v>1816</v>
      </c>
    </row>
    <row r="224" spans="1:22" x14ac:dyDescent="0.3">
      <c r="A224">
        <v>223</v>
      </c>
      <c r="B224">
        <v>133</v>
      </c>
      <c r="C224">
        <v>29</v>
      </c>
      <c r="D224">
        <v>65</v>
      </c>
      <c r="E224">
        <v>20</v>
      </c>
      <c r="F224">
        <v>1</v>
      </c>
      <c r="G224">
        <v>20</v>
      </c>
      <c r="H224">
        <v>20</v>
      </c>
      <c r="I224">
        <v>17</v>
      </c>
      <c r="J224">
        <f>[1]Transactions!F224*[1]Transactions!G224</f>
        <v>20</v>
      </c>
      <c r="K224">
        <f>_xlfn.XLOOKUP([1]Transactions!D224,[1]Inventory!$C$2:$C$501,[1]Inventory!$A$2:$A$501)</f>
        <v>175</v>
      </c>
      <c r="L224">
        <f>_xlfn.XLOOKUP(K224,[1]Inventory!$A$2:$A$501,[1]Inventory!$D$2:$D$501)</f>
        <v>111</v>
      </c>
      <c r="M224">
        <f>_xlfn.XLOOKUP(K224,[1]Inventory!$A$2:$A$501,[1]Inventory!$E$2:$E$501)</f>
        <v>27</v>
      </c>
      <c r="N224" t="str">
        <f>_xlfn.XLOOKUP([1]Transactions!C224,[1]Customers!$A$2:$A$201,[1]Customers!$G$2:$G$201)</f>
        <v>Telangana</v>
      </c>
      <c r="O224" t="str">
        <f>_xlfn.XLOOKUP(C224,[1]Customers!$A$2:$A$201,[1]Customers!$H$2:$H$201)</f>
        <v>South</v>
      </c>
      <c r="P224" t="str">
        <f>_xlfn.XLOOKUP(C224,[1]Customers!$A$2:$A$201,[1]Customers!$F$2:$F$201)</f>
        <v>Hyderabad</v>
      </c>
      <c r="Q224">
        <f>_xlfn.XLOOKUP(C224,[1]Customers!$A$2:$A$201,[1]Customers!$D$2:$D$201)</f>
        <v>23</v>
      </c>
      <c r="R224" t="str">
        <f>_xlfn.XLOOKUP([1]Transactions!C224,[1]Customers!$A$2:$A$201,[1]Customers!$C$2:$C$201)</f>
        <v>Male</v>
      </c>
      <c r="S224" t="str">
        <f>_xlfn.XLOOKUP(C224,[1]Customers!$A$2:$A$201,[1]Customers!$B$2:$B$201)</f>
        <v>Customer_29</v>
      </c>
      <c r="T224" t="str">
        <f>_xlfn.XLOOKUP(D224,[1]Products!$A$2:$A$101,[1]Products!$C$2:$C$101)</f>
        <v>Snacks</v>
      </c>
      <c r="U224">
        <f>_xlfn.XLOOKUP(D224,[1]Products!$A$2:$A$101,[1]Products!$E$2:$E$101)</f>
        <v>309</v>
      </c>
      <c r="V224">
        <f>[1]Transactions!F224*[1]Transactions!U224</f>
        <v>309</v>
      </c>
    </row>
    <row r="225" spans="1:22" x14ac:dyDescent="0.3">
      <c r="A225">
        <v>224</v>
      </c>
      <c r="B225">
        <v>136</v>
      </c>
      <c r="C225">
        <v>72</v>
      </c>
      <c r="D225">
        <v>78</v>
      </c>
      <c r="E225">
        <v>36</v>
      </c>
      <c r="F225">
        <v>4</v>
      </c>
      <c r="G225">
        <v>113</v>
      </c>
      <c r="H225">
        <v>452</v>
      </c>
      <c r="I225">
        <v>21</v>
      </c>
      <c r="J225">
        <f>[1]Transactions!F225*[1]Transactions!G225</f>
        <v>452</v>
      </c>
      <c r="K225">
        <f>_xlfn.XLOOKUP([1]Transactions!D225,[1]Inventory!$C$2:$C$501,[1]Inventory!$A$2:$A$501)</f>
        <v>41</v>
      </c>
      <c r="L225">
        <f>_xlfn.XLOOKUP(K225,[1]Inventory!$A$2:$A$501,[1]Inventory!$D$2:$D$501)</f>
        <v>262</v>
      </c>
      <c r="M225">
        <f>_xlfn.XLOOKUP(K225,[1]Inventory!$A$2:$A$501,[1]Inventory!$E$2:$E$501)</f>
        <v>25</v>
      </c>
      <c r="N225" t="str">
        <f>_xlfn.XLOOKUP([1]Transactions!C225,[1]Customers!$A$2:$A$201,[1]Customers!$G$2:$G$201)</f>
        <v>Tamil Nadu</v>
      </c>
      <c r="O225" t="str">
        <f>_xlfn.XLOOKUP(C225,[1]Customers!$A$2:$A$201,[1]Customers!$H$2:$H$201)</f>
        <v>South</v>
      </c>
      <c r="P225" t="str">
        <f>_xlfn.XLOOKUP(C225,[1]Customers!$A$2:$A$201,[1]Customers!$F$2:$F$201)</f>
        <v>Chennai</v>
      </c>
      <c r="Q225">
        <f>_xlfn.XLOOKUP(C225,[1]Customers!$A$2:$A$201,[1]Customers!$D$2:$D$201)</f>
        <v>46</v>
      </c>
      <c r="R225" t="str">
        <f>_xlfn.XLOOKUP([1]Transactions!C225,[1]Customers!$A$2:$A$201,[1]Customers!$C$2:$C$201)</f>
        <v>Female</v>
      </c>
      <c r="S225" t="str">
        <f>_xlfn.XLOOKUP(C225,[1]Customers!$A$2:$A$201,[1]Customers!$B$2:$B$201)</f>
        <v>Customer_72</v>
      </c>
      <c r="T225" t="str">
        <f>_xlfn.XLOOKUP(D225,[1]Products!$A$2:$A$101,[1]Products!$C$2:$C$101)</f>
        <v>Grocery</v>
      </c>
      <c r="U225">
        <f>_xlfn.XLOOKUP(D225,[1]Products!$A$2:$A$101,[1]Products!$E$2:$E$101)</f>
        <v>88</v>
      </c>
      <c r="V225">
        <f>[1]Transactions!F225*[1]Transactions!U225</f>
        <v>352</v>
      </c>
    </row>
    <row r="226" spans="1:22" x14ac:dyDescent="0.3">
      <c r="A226">
        <v>225</v>
      </c>
      <c r="B226">
        <v>13</v>
      </c>
      <c r="C226">
        <v>149</v>
      </c>
      <c r="D226">
        <v>9</v>
      </c>
      <c r="E226">
        <v>33</v>
      </c>
      <c r="F226">
        <v>1</v>
      </c>
      <c r="G226">
        <v>97</v>
      </c>
      <c r="H226">
        <v>97</v>
      </c>
      <c r="I226">
        <v>28</v>
      </c>
      <c r="J226">
        <f>[1]Transactions!F226*[1]Transactions!G226</f>
        <v>97</v>
      </c>
      <c r="K226">
        <f>_xlfn.XLOOKUP([1]Transactions!D226,[1]Inventory!$C$2:$C$501,[1]Inventory!$A$2:$A$501)</f>
        <v>185</v>
      </c>
      <c r="L226">
        <f>_xlfn.XLOOKUP(K226,[1]Inventory!$A$2:$A$501,[1]Inventory!$D$2:$D$501)</f>
        <v>464</v>
      </c>
      <c r="M226">
        <f>_xlfn.XLOOKUP(K226,[1]Inventory!$A$2:$A$501,[1]Inventory!$E$2:$E$501)</f>
        <v>34</v>
      </c>
      <c r="N226" t="str">
        <f>_xlfn.XLOOKUP([1]Transactions!C226,[1]Customers!$A$2:$A$201,[1]Customers!$G$2:$G$201)</f>
        <v>Maharashtra</v>
      </c>
      <c r="O226" t="str">
        <f>_xlfn.XLOOKUP(C226,[1]Customers!$A$2:$A$201,[1]Customers!$H$2:$H$201)</f>
        <v>West</v>
      </c>
      <c r="P226" t="str">
        <f>_xlfn.XLOOKUP(C226,[1]Customers!$A$2:$A$201,[1]Customers!$F$2:$F$201)</f>
        <v>Mumbai</v>
      </c>
      <c r="Q226">
        <f>_xlfn.XLOOKUP(C226,[1]Customers!$A$2:$A$201,[1]Customers!$D$2:$D$201)</f>
        <v>52</v>
      </c>
      <c r="R226" t="str">
        <f>_xlfn.XLOOKUP([1]Transactions!C226,[1]Customers!$A$2:$A$201,[1]Customers!$C$2:$C$201)</f>
        <v>Female</v>
      </c>
      <c r="S226" t="str">
        <f>_xlfn.XLOOKUP(C226,[1]Customers!$A$2:$A$201,[1]Customers!$B$2:$B$201)</f>
        <v>Customer_149</v>
      </c>
      <c r="T226" t="str">
        <f>_xlfn.XLOOKUP(D226,[1]Products!$A$2:$A$101,[1]Products!$C$2:$C$101)</f>
        <v>Personal Care</v>
      </c>
      <c r="U226">
        <f>_xlfn.XLOOKUP(D226,[1]Products!$A$2:$A$101,[1]Products!$E$2:$E$101)</f>
        <v>121</v>
      </c>
      <c r="V226">
        <f>[1]Transactions!F226*[1]Transactions!U226</f>
        <v>121</v>
      </c>
    </row>
    <row r="227" spans="1:22" x14ac:dyDescent="0.3">
      <c r="A227">
        <v>226</v>
      </c>
      <c r="B227">
        <v>52</v>
      </c>
      <c r="C227">
        <v>128</v>
      </c>
      <c r="D227">
        <v>52</v>
      </c>
      <c r="E227">
        <v>38</v>
      </c>
      <c r="F227">
        <v>4</v>
      </c>
      <c r="G227">
        <v>59</v>
      </c>
      <c r="H227">
        <v>236</v>
      </c>
      <c r="I227">
        <v>60</v>
      </c>
      <c r="J227">
        <f>[1]Transactions!F227*[1]Transactions!G227</f>
        <v>236</v>
      </c>
      <c r="K227">
        <f>_xlfn.XLOOKUP([1]Transactions!D227,[1]Inventory!$C$2:$C$501,[1]Inventory!$A$2:$A$501)</f>
        <v>2</v>
      </c>
      <c r="L227">
        <f>_xlfn.XLOOKUP(K227,[1]Inventory!$A$2:$A$501,[1]Inventory!$D$2:$D$501)</f>
        <v>420</v>
      </c>
      <c r="M227">
        <f>_xlfn.XLOOKUP(K227,[1]Inventory!$A$2:$A$501,[1]Inventory!$E$2:$E$501)</f>
        <v>29</v>
      </c>
      <c r="N227" t="str">
        <f>_xlfn.XLOOKUP([1]Transactions!C227,[1]Customers!$A$2:$A$201,[1]Customers!$G$2:$G$201)</f>
        <v>Gujarat</v>
      </c>
      <c r="O227" t="str">
        <f>_xlfn.XLOOKUP(C227,[1]Customers!$A$2:$A$201,[1]Customers!$H$2:$H$201)</f>
        <v>West</v>
      </c>
      <c r="P227" t="str">
        <f>_xlfn.XLOOKUP(C227,[1]Customers!$A$2:$A$201,[1]Customers!$F$2:$F$201)</f>
        <v>Ahmedabad</v>
      </c>
      <c r="Q227">
        <f>_xlfn.XLOOKUP(C227,[1]Customers!$A$2:$A$201,[1]Customers!$D$2:$D$201)</f>
        <v>47</v>
      </c>
      <c r="R227" t="str">
        <f>_xlfn.XLOOKUP([1]Transactions!C227,[1]Customers!$A$2:$A$201,[1]Customers!$C$2:$C$201)</f>
        <v>Female</v>
      </c>
      <c r="S227" t="str">
        <f>_xlfn.XLOOKUP(C227,[1]Customers!$A$2:$A$201,[1]Customers!$B$2:$B$201)</f>
        <v>Customer_128</v>
      </c>
      <c r="T227" t="str">
        <f>_xlfn.XLOOKUP(D227,[1]Products!$A$2:$A$101,[1]Products!$C$2:$C$101)</f>
        <v>Dairy</v>
      </c>
      <c r="U227">
        <f>_xlfn.XLOOKUP(D227,[1]Products!$A$2:$A$101,[1]Products!$E$2:$E$101)</f>
        <v>257</v>
      </c>
      <c r="V227">
        <f>[1]Transactions!F227*[1]Transactions!U227</f>
        <v>1028</v>
      </c>
    </row>
    <row r="228" spans="1:22" x14ac:dyDescent="0.3">
      <c r="A228">
        <v>227</v>
      </c>
      <c r="B228">
        <v>85</v>
      </c>
      <c r="C228">
        <v>138</v>
      </c>
      <c r="D228">
        <v>58</v>
      </c>
      <c r="E228">
        <v>31</v>
      </c>
      <c r="F228">
        <v>4</v>
      </c>
      <c r="G228">
        <v>327</v>
      </c>
      <c r="H228">
        <v>1308</v>
      </c>
      <c r="I228">
        <v>60</v>
      </c>
      <c r="J228">
        <f>[1]Transactions!F228*[1]Transactions!G228</f>
        <v>1308</v>
      </c>
      <c r="K228">
        <f>_xlfn.XLOOKUP([1]Transactions!D228,[1]Inventory!$C$2:$C$501,[1]Inventory!$A$2:$A$501)</f>
        <v>382</v>
      </c>
      <c r="L228">
        <f>_xlfn.XLOOKUP(K228,[1]Inventory!$A$2:$A$501,[1]Inventory!$D$2:$D$501)</f>
        <v>113</v>
      </c>
      <c r="M228">
        <f>_xlfn.XLOOKUP(K228,[1]Inventory!$A$2:$A$501,[1]Inventory!$E$2:$E$501)</f>
        <v>1</v>
      </c>
      <c r="N228" t="str">
        <f>_xlfn.XLOOKUP([1]Transactions!C228,[1]Customers!$A$2:$A$201,[1]Customers!$G$2:$G$201)</f>
        <v>Delhi</v>
      </c>
      <c r="O228" t="str">
        <f>_xlfn.XLOOKUP(C228,[1]Customers!$A$2:$A$201,[1]Customers!$H$2:$H$201)</f>
        <v>North</v>
      </c>
      <c r="P228" t="str">
        <f>_xlfn.XLOOKUP(C228,[1]Customers!$A$2:$A$201,[1]Customers!$F$2:$F$201)</f>
        <v>Delhi</v>
      </c>
      <c r="Q228">
        <f>_xlfn.XLOOKUP(C228,[1]Customers!$A$2:$A$201,[1]Customers!$D$2:$D$201)</f>
        <v>37</v>
      </c>
      <c r="R228" t="str">
        <f>_xlfn.XLOOKUP([1]Transactions!C228,[1]Customers!$A$2:$A$201,[1]Customers!$C$2:$C$201)</f>
        <v>Male</v>
      </c>
      <c r="S228" t="str">
        <f>_xlfn.XLOOKUP(C228,[1]Customers!$A$2:$A$201,[1]Customers!$B$2:$B$201)</f>
        <v>Customer_138</v>
      </c>
      <c r="T228" t="str">
        <f>_xlfn.XLOOKUP(D228,[1]Products!$A$2:$A$101,[1]Products!$C$2:$C$101)</f>
        <v>Beverages</v>
      </c>
      <c r="U228">
        <f>_xlfn.XLOOKUP(D228,[1]Products!$A$2:$A$101,[1]Products!$E$2:$E$101)</f>
        <v>426</v>
      </c>
      <c r="V228">
        <f>[1]Transactions!F228*[1]Transactions!U228</f>
        <v>1704</v>
      </c>
    </row>
    <row r="229" spans="1:22" x14ac:dyDescent="0.3">
      <c r="A229">
        <v>228</v>
      </c>
      <c r="B229">
        <v>133</v>
      </c>
      <c r="C229">
        <v>151</v>
      </c>
      <c r="D229">
        <v>74</v>
      </c>
      <c r="E229">
        <v>10</v>
      </c>
      <c r="F229">
        <v>5</v>
      </c>
      <c r="G229">
        <v>472</v>
      </c>
      <c r="H229">
        <v>2360</v>
      </c>
      <c r="I229">
        <v>42</v>
      </c>
      <c r="J229">
        <f>[1]Transactions!F229*[1]Transactions!G229</f>
        <v>2360</v>
      </c>
      <c r="K229">
        <f>_xlfn.XLOOKUP([1]Transactions!D229,[1]Inventory!$C$2:$C$501,[1]Inventory!$A$2:$A$501)</f>
        <v>165</v>
      </c>
      <c r="L229">
        <f>_xlfn.XLOOKUP(K229,[1]Inventory!$A$2:$A$501,[1]Inventory!$D$2:$D$501)</f>
        <v>414</v>
      </c>
      <c r="M229">
        <f>_xlfn.XLOOKUP(K229,[1]Inventory!$A$2:$A$501,[1]Inventory!$E$2:$E$501)</f>
        <v>51</v>
      </c>
      <c r="N229" t="str">
        <f>_xlfn.XLOOKUP([1]Transactions!C229,[1]Customers!$A$2:$A$201,[1]Customers!$G$2:$G$201)</f>
        <v>Delhi</v>
      </c>
      <c r="O229" t="str">
        <f>_xlfn.XLOOKUP(C229,[1]Customers!$A$2:$A$201,[1]Customers!$H$2:$H$201)</f>
        <v>North</v>
      </c>
      <c r="P229" t="str">
        <f>_xlfn.XLOOKUP(C229,[1]Customers!$A$2:$A$201,[1]Customers!$F$2:$F$201)</f>
        <v>Delhi</v>
      </c>
      <c r="Q229">
        <f>_xlfn.XLOOKUP(C229,[1]Customers!$A$2:$A$201,[1]Customers!$D$2:$D$201)</f>
        <v>26</v>
      </c>
      <c r="R229" t="str">
        <f>_xlfn.XLOOKUP([1]Transactions!C229,[1]Customers!$A$2:$A$201,[1]Customers!$C$2:$C$201)</f>
        <v>Male</v>
      </c>
      <c r="S229" t="str">
        <f>_xlfn.XLOOKUP(C229,[1]Customers!$A$2:$A$201,[1]Customers!$B$2:$B$201)</f>
        <v>Customer_151</v>
      </c>
      <c r="T229" t="str">
        <f>_xlfn.XLOOKUP(D229,[1]Products!$A$2:$A$101,[1]Products!$C$2:$C$101)</f>
        <v>Snacks</v>
      </c>
      <c r="U229">
        <f>_xlfn.XLOOKUP(D229,[1]Products!$A$2:$A$101,[1]Products!$E$2:$E$101)</f>
        <v>251</v>
      </c>
      <c r="V229">
        <f>[1]Transactions!F229*[1]Transactions!U229</f>
        <v>1255</v>
      </c>
    </row>
    <row r="230" spans="1:22" x14ac:dyDescent="0.3">
      <c r="A230">
        <v>229</v>
      </c>
      <c r="B230">
        <v>153</v>
      </c>
      <c r="C230">
        <v>170</v>
      </c>
      <c r="D230">
        <v>70</v>
      </c>
      <c r="E230">
        <v>30</v>
      </c>
      <c r="F230">
        <v>1</v>
      </c>
      <c r="G230">
        <v>127</v>
      </c>
      <c r="H230">
        <v>127</v>
      </c>
      <c r="I230">
        <v>36</v>
      </c>
      <c r="J230">
        <f>[1]Transactions!F230*[1]Transactions!G230</f>
        <v>127</v>
      </c>
      <c r="K230">
        <f>_xlfn.XLOOKUP([1]Transactions!D230,[1]Inventory!$C$2:$C$501,[1]Inventory!$A$2:$A$501)</f>
        <v>33</v>
      </c>
      <c r="L230">
        <f>_xlfn.XLOOKUP(K230,[1]Inventory!$A$2:$A$501,[1]Inventory!$D$2:$D$501)</f>
        <v>115</v>
      </c>
      <c r="M230">
        <f>_xlfn.XLOOKUP(K230,[1]Inventory!$A$2:$A$501,[1]Inventory!$E$2:$E$501)</f>
        <v>86</v>
      </c>
      <c r="N230" t="str">
        <f>_xlfn.XLOOKUP([1]Transactions!C230,[1]Customers!$A$2:$A$201,[1]Customers!$G$2:$G$201)</f>
        <v>Delhi</v>
      </c>
      <c r="O230" t="str">
        <f>_xlfn.XLOOKUP(C230,[1]Customers!$A$2:$A$201,[1]Customers!$H$2:$H$201)</f>
        <v>North</v>
      </c>
      <c r="P230" t="str">
        <f>_xlfn.XLOOKUP(C230,[1]Customers!$A$2:$A$201,[1]Customers!$F$2:$F$201)</f>
        <v>Delhi</v>
      </c>
      <c r="Q230">
        <f>_xlfn.XLOOKUP(C230,[1]Customers!$A$2:$A$201,[1]Customers!$D$2:$D$201)</f>
        <v>21</v>
      </c>
      <c r="R230" t="str">
        <f>_xlfn.XLOOKUP([1]Transactions!C230,[1]Customers!$A$2:$A$201,[1]Customers!$C$2:$C$201)</f>
        <v>Female</v>
      </c>
      <c r="S230" t="str">
        <f>_xlfn.XLOOKUP(C230,[1]Customers!$A$2:$A$201,[1]Customers!$B$2:$B$201)</f>
        <v>Customer_170</v>
      </c>
      <c r="T230" t="str">
        <f>_xlfn.XLOOKUP(D230,[1]Products!$A$2:$A$101,[1]Products!$C$2:$C$101)</f>
        <v>Personal Care</v>
      </c>
      <c r="U230">
        <f>_xlfn.XLOOKUP(D230,[1]Products!$A$2:$A$101,[1]Products!$E$2:$E$101)</f>
        <v>308</v>
      </c>
      <c r="V230">
        <f>[1]Transactions!F230*[1]Transactions!U230</f>
        <v>308</v>
      </c>
    </row>
    <row r="231" spans="1:22" x14ac:dyDescent="0.3">
      <c r="A231">
        <v>230</v>
      </c>
      <c r="B231">
        <v>141</v>
      </c>
      <c r="C231">
        <v>183</v>
      </c>
      <c r="D231">
        <v>41</v>
      </c>
      <c r="E231">
        <v>22</v>
      </c>
      <c r="F231">
        <v>4</v>
      </c>
      <c r="G231">
        <v>169</v>
      </c>
      <c r="H231">
        <v>676</v>
      </c>
      <c r="I231">
        <v>16</v>
      </c>
      <c r="J231">
        <f>[1]Transactions!F231*[1]Transactions!G231</f>
        <v>676</v>
      </c>
      <c r="K231">
        <f>_xlfn.XLOOKUP([1]Transactions!D231,[1]Inventory!$C$2:$C$501,[1]Inventory!$A$2:$A$501)</f>
        <v>19</v>
      </c>
      <c r="L231">
        <f>_xlfn.XLOOKUP(K231,[1]Inventory!$A$2:$A$501,[1]Inventory!$D$2:$D$501)</f>
        <v>60</v>
      </c>
      <c r="M231">
        <f>_xlfn.XLOOKUP(K231,[1]Inventory!$A$2:$A$501,[1]Inventory!$E$2:$E$501)</f>
        <v>140</v>
      </c>
      <c r="N231" t="str">
        <f>_xlfn.XLOOKUP([1]Transactions!C231,[1]Customers!$A$2:$A$201,[1]Customers!$G$2:$G$201)</f>
        <v>Gujarat</v>
      </c>
      <c r="O231" t="str">
        <f>_xlfn.XLOOKUP(C231,[1]Customers!$A$2:$A$201,[1]Customers!$H$2:$H$201)</f>
        <v>West</v>
      </c>
      <c r="P231" t="str">
        <f>_xlfn.XLOOKUP(C231,[1]Customers!$A$2:$A$201,[1]Customers!$F$2:$F$201)</f>
        <v>Ahmedabad</v>
      </c>
      <c r="Q231">
        <f>_xlfn.XLOOKUP(C231,[1]Customers!$A$2:$A$201,[1]Customers!$D$2:$D$201)</f>
        <v>59</v>
      </c>
      <c r="R231" t="str">
        <f>_xlfn.XLOOKUP([1]Transactions!C231,[1]Customers!$A$2:$A$201,[1]Customers!$C$2:$C$201)</f>
        <v>Male</v>
      </c>
      <c r="S231" t="str">
        <f>_xlfn.XLOOKUP(C231,[1]Customers!$A$2:$A$201,[1]Customers!$B$2:$B$201)</f>
        <v>Customer_183</v>
      </c>
      <c r="T231" t="str">
        <f>_xlfn.XLOOKUP(D231,[1]Products!$A$2:$A$101,[1]Products!$C$2:$C$101)</f>
        <v>Snacks</v>
      </c>
      <c r="U231">
        <f>_xlfn.XLOOKUP(D231,[1]Products!$A$2:$A$101,[1]Products!$E$2:$E$101)</f>
        <v>459</v>
      </c>
      <c r="V231">
        <f>[1]Transactions!F231*[1]Transactions!U231</f>
        <v>1836</v>
      </c>
    </row>
    <row r="232" spans="1:22" x14ac:dyDescent="0.3">
      <c r="A232">
        <v>231</v>
      </c>
      <c r="B232">
        <v>107</v>
      </c>
      <c r="C232">
        <v>200</v>
      </c>
      <c r="D232">
        <v>96</v>
      </c>
      <c r="E232">
        <v>16</v>
      </c>
      <c r="F232">
        <v>4</v>
      </c>
      <c r="G232">
        <v>182</v>
      </c>
      <c r="H232">
        <v>728</v>
      </c>
      <c r="I232">
        <v>15</v>
      </c>
      <c r="J232">
        <f>[1]Transactions!F232*[1]Transactions!G232</f>
        <v>728</v>
      </c>
      <c r="K232">
        <f>_xlfn.XLOOKUP([1]Transactions!D232,[1]Inventory!$C$2:$C$501,[1]Inventory!$A$2:$A$501)</f>
        <v>25</v>
      </c>
      <c r="L232">
        <f>_xlfn.XLOOKUP(K232,[1]Inventory!$A$2:$A$501,[1]Inventory!$D$2:$D$501)</f>
        <v>17</v>
      </c>
      <c r="M232">
        <f>_xlfn.XLOOKUP(K232,[1]Inventory!$A$2:$A$501,[1]Inventory!$E$2:$E$501)</f>
        <v>75</v>
      </c>
      <c r="N232" t="str">
        <f>_xlfn.XLOOKUP([1]Transactions!C232,[1]Customers!$A$2:$A$201,[1]Customers!$G$2:$G$201)</f>
        <v>Maharashtra</v>
      </c>
      <c r="O232" t="str">
        <f>_xlfn.XLOOKUP(C232,[1]Customers!$A$2:$A$201,[1]Customers!$H$2:$H$201)</f>
        <v>West</v>
      </c>
      <c r="P232" t="str">
        <f>_xlfn.XLOOKUP(C232,[1]Customers!$A$2:$A$201,[1]Customers!$F$2:$F$201)</f>
        <v>Mumbai</v>
      </c>
      <c r="Q232">
        <f>_xlfn.XLOOKUP(C232,[1]Customers!$A$2:$A$201,[1]Customers!$D$2:$D$201)</f>
        <v>57</v>
      </c>
      <c r="R232" t="str">
        <f>_xlfn.XLOOKUP([1]Transactions!C232,[1]Customers!$A$2:$A$201,[1]Customers!$C$2:$C$201)</f>
        <v>Female</v>
      </c>
      <c r="S232" t="str">
        <f>_xlfn.XLOOKUP(C232,[1]Customers!$A$2:$A$201,[1]Customers!$B$2:$B$201)</f>
        <v>Customer_200</v>
      </c>
      <c r="T232" t="str">
        <f>_xlfn.XLOOKUP(D232,[1]Products!$A$2:$A$101,[1]Products!$C$2:$C$101)</f>
        <v>Dairy</v>
      </c>
      <c r="U232">
        <f>_xlfn.XLOOKUP(D232,[1]Products!$A$2:$A$101,[1]Products!$E$2:$E$101)</f>
        <v>150</v>
      </c>
      <c r="V232">
        <f>[1]Transactions!F232*[1]Transactions!U232</f>
        <v>600</v>
      </c>
    </row>
    <row r="233" spans="1:22" x14ac:dyDescent="0.3">
      <c r="A233">
        <v>232</v>
      </c>
      <c r="B233">
        <v>38</v>
      </c>
      <c r="C233">
        <v>39</v>
      </c>
      <c r="D233">
        <v>14</v>
      </c>
      <c r="E233">
        <v>43</v>
      </c>
      <c r="F233">
        <v>5</v>
      </c>
      <c r="G233">
        <v>33</v>
      </c>
      <c r="H233">
        <v>165</v>
      </c>
      <c r="I233">
        <v>39</v>
      </c>
      <c r="J233">
        <f>[1]Transactions!F233*[1]Transactions!G233</f>
        <v>165</v>
      </c>
      <c r="K233">
        <f>_xlfn.XLOOKUP([1]Transactions!D233,[1]Inventory!$C$2:$C$501,[1]Inventory!$A$2:$A$501)</f>
        <v>8</v>
      </c>
      <c r="L233">
        <f>_xlfn.XLOOKUP(K233,[1]Inventory!$A$2:$A$501,[1]Inventory!$D$2:$D$501)</f>
        <v>197</v>
      </c>
      <c r="M233">
        <f>_xlfn.XLOOKUP(K233,[1]Inventory!$A$2:$A$501,[1]Inventory!$E$2:$E$501)</f>
        <v>82</v>
      </c>
      <c r="N233" t="str">
        <f>_xlfn.XLOOKUP([1]Transactions!C233,[1]Customers!$A$2:$A$201,[1]Customers!$G$2:$G$201)</f>
        <v>Gujarat</v>
      </c>
      <c r="O233" t="str">
        <f>_xlfn.XLOOKUP(C233,[1]Customers!$A$2:$A$201,[1]Customers!$H$2:$H$201)</f>
        <v>West</v>
      </c>
      <c r="P233" t="str">
        <f>_xlfn.XLOOKUP(C233,[1]Customers!$A$2:$A$201,[1]Customers!$F$2:$F$201)</f>
        <v>Ahmedabad</v>
      </c>
      <c r="Q233">
        <f>_xlfn.XLOOKUP(C233,[1]Customers!$A$2:$A$201,[1]Customers!$D$2:$D$201)</f>
        <v>36</v>
      </c>
      <c r="R233" t="str">
        <f>_xlfn.XLOOKUP([1]Transactions!C233,[1]Customers!$A$2:$A$201,[1]Customers!$C$2:$C$201)</f>
        <v>Male</v>
      </c>
      <c r="S233" t="str">
        <f>_xlfn.XLOOKUP(C233,[1]Customers!$A$2:$A$201,[1]Customers!$B$2:$B$201)</f>
        <v>Customer_39</v>
      </c>
      <c r="T233" t="str">
        <f>_xlfn.XLOOKUP(D233,[1]Products!$A$2:$A$101,[1]Products!$C$2:$C$101)</f>
        <v>Beverages</v>
      </c>
      <c r="U233">
        <f>_xlfn.XLOOKUP(D233,[1]Products!$A$2:$A$101,[1]Products!$E$2:$E$101)</f>
        <v>290</v>
      </c>
      <c r="V233">
        <f>[1]Transactions!F233*[1]Transactions!U233</f>
        <v>1450</v>
      </c>
    </row>
    <row r="234" spans="1:22" x14ac:dyDescent="0.3">
      <c r="A234">
        <v>233</v>
      </c>
      <c r="B234">
        <v>130</v>
      </c>
      <c r="C234">
        <v>125</v>
      </c>
      <c r="D234">
        <v>51</v>
      </c>
      <c r="E234">
        <v>1</v>
      </c>
      <c r="F234">
        <v>5</v>
      </c>
      <c r="G234">
        <v>494</v>
      </c>
      <c r="H234">
        <v>2470</v>
      </c>
      <c r="I234">
        <v>30</v>
      </c>
      <c r="J234">
        <f>[1]Transactions!F234*[1]Transactions!G234</f>
        <v>2470</v>
      </c>
      <c r="K234">
        <f>_xlfn.XLOOKUP([1]Transactions!D234,[1]Inventory!$C$2:$C$501,[1]Inventory!$A$2:$A$501)</f>
        <v>55</v>
      </c>
      <c r="L234">
        <f>_xlfn.XLOOKUP(K234,[1]Inventory!$A$2:$A$501,[1]Inventory!$D$2:$D$501)</f>
        <v>336</v>
      </c>
      <c r="M234">
        <f>_xlfn.XLOOKUP(K234,[1]Inventory!$A$2:$A$501,[1]Inventory!$E$2:$E$501)</f>
        <v>49</v>
      </c>
      <c r="N234" t="str">
        <f>_xlfn.XLOOKUP([1]Transactions!C234,[1]Customers!$A$2:$A$201,[1]Customers!$G$2:$G$201)</f>
        <v>Karnataka</v>
      </c>
      <c r="O234" t="str">
        <f>_xlfn.XLOOKUP(C234,[1]Customers!$A$2:$A$201,[1]Customers!$H$2:$H$201)</f>
        <v>South</v>
      </c>
      <c r="P234" t="str">
        <f>_xlfn.XLOOKUP(C234,[1]Customers!$A$2:$A$201,[1]Customers!$F$2:$F$201)</f>
        <v>Bangalore</v>
      </c>
      <c r="Q234">
        <f>_xlfn.XLOOKUP(C234,[1]Customers!$A$2:$A$201,[1]Customers!$D$2:$D$201)</f>
        <v>29</v>
      </c>
      <c r="R234" t="str">
        <f>_xlfn.XLOOKUP([1]Transactions!C234,[1]Customers!$A$2:$A$201,[1]Customers!$C$2:$C$201)</f>
        <v>Female</v>
      </c>
      <c r="S234" t="str">
        <f>_xlfn.XLOOKUP(C234,[1]Customers!$A$2:$A$201,[1]Customers!$B$2:$B$201)</f>
        <v>Customer_125</v>
      </c>
      <c r="T234" t="str">
        <f>_xlfn.XLOOKUP(D234,[1]Products!$A$2:$A$101,[1]Products!$C$2:$C$101)</f>
        <v>Beverages</v>
      </c>
      <c r="U234">
        <f>_xlfn.XLOOKUP(D234,[1]Products!$A$2:$A$101,[1]Products!$E$2:$E$101)</f>
        <v>27</v>
      </c>
      <c r="V234">
        <f>[1]Transactions!F234*[1]Transactions!U234</f>
        <v>135</v>
      </c>
    </row>
    <row r="235" spans="1:22" x14ac:dyDescent="0.3">
      <c r="A235">
        <v>234</v>
      </c>
      <c r="B235">
        <v>173</v>
      </c>
      <c r="C235">
        <v>94</v>
      </c>
      <c r="D235">
        <v>57</v>
      </c>
      <c r="E235">
        <v>50</v>
      </c>
      <c r="F235">
        <v>3</v>
      </c>
      <c r="G235">
        <v>50</v>
      </c>
      <c r="H235">
        <v>150</v>
      </c>
      <c r="I235">
        <v>54</v>
      </c>
      <c r="J235">
        <f>[1]Transactions!F235*[1]Transactions!G235</f>
        <v>150</v>
      </c>
      <c r="K235">
        <f>_xlfn.XLOOKUP([1]Transactions!D235,[1]Inventory!$C$2:$C$501,[1]Inventory!$A$2:$A$501)</f>
        <v>31</v>
      </c>
      <c r="L235">
        <f>_xlfn.XLOOKUP(K235,[1]Inventory!$A$2:$A$501,[1]Inventory!$D$2:$D$501)</f>
        <v>30</v>
      </c>
      <c r="M235">
        <f>_xlfn.XLOOKUP(K235,[1]Inventory!$A$2:$A$501,[1]Inventory!$E$2:$E$501)</f>
        <v>151</v>
      </c>
      <c r="N235" t="str">
        <f>_xlfn.XLOOKUP([1]Transactions!C235,[1]Customers!$A$2:$A$201,[1]Customers!$G$2:$G$201)</f>
        <v>UP</v>
      </c>
      <c r="O235" t="str">
        <f>_xlfn.XLOOKUP(C235,[1]Customers!$A$2:$A$201,[1]Customers!$H$2:$H$201)</f>
        <v>North</v>
      </c>
      <c r="P235" t="str">
        <f>_xlfn.XLOOKUP(C235,[1]Customers!$A$2:$A$201,[1]Customers!$F$2:$F$201)</f>
        <v>Lucknow</v>
      </c>
      <c r="Q235">
        <f>_xlfn.XLOOKUP(C235,[1]Customers!$A$2:$A$201,[1]Customers!$D$2:$D$201)</f>
        <v>45</v>
      </c>
      <c r="R235" t="str">
        <f>_xlfn.XLOOKUP([1]Transactions!C235,[1]Customers!$A$2:$A$201,[1]Customers!$C$2:$C$201)</f>
        <v>Female</v>
      </c>
      <c r="S235" t="str">
        <f>_xlfn.XLOOKUP(C235,[1]Customers!$A$2:$A$201,[1]Customers!$B$2:$B$201)</f>
        <v>Customer_94</v>
      </c>
      <c r="T235" t="str">
        <f>_xlfn.XLOOKUP(D235,[1]Products!$A$2:$A$101,[1]Products!$C$2:$C$101)</f>
        <v>Snacks</v>
      </c>
      <c r="U235">
        <f>_xlfn.XLOOKUP(D235,[1]Products!$A$2:$A$101,[1]Products!$E$2:$E$101)</f>
        <v>66</v>
      </c>
      <c r="V235">
        <f>[1]Transactions!F235*[1]Transactions!U235</f>
        <v>198</v>
      </c>
    </row>
    <row r="236" spans="1:22" x14ac:dyDescent="0.3">
      <c r="A236">
        <v>235</v>
      </c>
      <c r="B236">
        <v>79</v>
      </c>
      <c r="C236">
        <v>31</v>
      </c>
      <c r="D236">
        <v>15</v>
      </c>
      <c r="E236">
        <v>49</v>
      </c>
      <c r="F236">
        <v>1</v>
      </c>
      <c r="G236">
        <v>374</v>
      </c>
      <c r="H236">
        <v>374</v>
      </c>
      <c r="I236">
        <v>47</v>
      </c>
      <c r="J236">
        <f>[1]Transactions!F236*[1]Transactions!G236</f>
        <v>374</v>
      </c>
      <c r="K236">
        <f>_xlfn.XLOOKUP([1]Transactions!D236,[1]Inventory!$C$2:$C$501,[1]Inventory!$A$2:$A$501)</f>
        <v>407</v>
      </c>
      <c r="L236">
        <f>_xlfn.XLOOKUP(K236,[1]Inventory!$A$2:$A$501,[1]Inventory!$D$2:$D$501)</f>
        <v>248</v>
      </c>
      <c r="M236">
        <f>_xlfn.XLOOKUP(K236,[1]Inventory!$A$2:$A$501,[1]Inventory!$E$2:$E$501)</f>
        <v>87</v>
      </c>
      <c r="N236" t="str">
        <f>_xlfn.XLOOKUP([1]Transactions!C236,[1]Customers!$A$2:$A$201,[1]Customers!$G$2:$G$201)</f>
        <v>Maharashtra</v>
      </c>
      <c r="O236" t="str">
        <f>_xlfn.XLOOKUP(C236,[1]Customers!$A$2:$A$201,[1]Customers!$H$2:$H$201)</f>
        <v>West</v>
      </c>
      <c r="P236" t="str">
        <f>_xlfn.XLOOKUP(C236,[1]Customers!$A$2:$A$201,[1]Customers!$F$2:$F$201)</f>
        <v>Pune</v>
      </c>
      <c r="Q236">
        <f>_xlfn.XLOOKUP(C236,[1]Customers!$A$2:$A$201,[1]Customers!$D$2:$D$201)</f>
        <v>45</v>
      </c>
      <c r="R236" t="str">
        <f>_xlfn.XLOOKUP([1]Transactions!C236,[1]Customers!$A$2:$A$201,[1]Customers!$C$2:$C$201)</f>
        <v>Male</v>
      </c>
      <c r="S236" t="str">
        <f>_xlfn.XLOOKUP(C236,[1]Customers!$A$2:$A$201,[1]Customers!$B$2:$B$201)</f>
        <v>Customer_31</v>
      </c>
      <c r="T236" t="str">
        <f>_xlfn.XLOOKUP(D236,[1]Products!$A$2:$A$101,[1]Products!$C$2:$C$101)</f>
        <v>Snacks</v>
      </c>
      <c r="U236">
        <f>_xlfn.XLOOKUP(D236,[1]Products!$A$2:$A$101,[1]Products!$E$2:$E$101)</f>
        <v>214</v>
      </c>
      <c r="V236">
        <f>[1]Transactions!F236*[1]Transactions!U236</f>
        <v>214</v>
      </c>
    </row>
    <row r="237" spans="1:22" x14ac:dyDescent="0.3">
      <c r="A237">
        <v>236</v>
      </c>
      <c r="B237">
        <v>154</v>
      </c>
      <c r="C237">
        <v>95</v>
      </c>
      <c r="D237">
        <v>11</v>
      </c>
      <c r="E237">
        <v>5</v>
      </c>
      <c r="F237">
        <v>2</v>
      </c>
      <c r="G237">
        <v>47</v>
      </c>
      <c r="H237">
        <v>94</v>
      </c>
      <c r="I237">
        <v>25</v>
      </c>
      <c r="J237">
        <f>[1]Transactions!F237*[1]Transactions!G237</f>
        <v>94</v>
      </c>
      <c r="K237">
        <f>_xlfn.XLOOKUP([1]Transactions!D237,[1]Inventory!$C$2:$C$501,[1]Inventory!$A$2:$A$501)</f>
        <v>228</v>
      </c>
      <c r="L237">
        <f>_xlfn.XLOOKUP(K237,[1]Inventory!$A$2:$A$501,[1]Inventory!$D$2:$D$501)</f>
        <v>14</v>
      </c>
      <c r="M237">
        <f>_xlfn.XLOOKUP(K237,[1]Inventory!$A$2:$A$501,[1]Inventory!$E$2:$E$501)</f>
        <v>138</v>
      </c>
      <c r="N237" t="str">
        <f>_xlfn.XLOOKUP([1]Transactions!C237,[1]Customers!$A$2:$A$201,[1]Customers!$G$2:$G$201)</f>
        <v>Gujarat</v>
      </c>
      <c r="O237" t="str">
        <f>_xlfn.XLOOKUP(C237,[1]Customers!$A$2:$A$201,[1]Customers!$H$2:$H$201)</f>
        <v>West</v>
      </c>
      <c r="P237" t="str">
        <f>_xlfn.XLOOKUP(C237,[1]Customers!$A$2:$A$201,[1]Customers!$F$2:$F$201)</f>
        <v>Ahmedabad</v>
      </c>
      <c r="Q237">
        <f>_xlfn.XLOOKUP(C237,[1]Customers!$A$2:$A$201,[1]Customers!$D$2:$D$201)</f>
        <v>41</v>
      </c>
      <c r="R237" t="str">
        <f>_xlfn.XLOOKUP([1]Transactions!C237,[1]Customers!$A$2:$A$201,[1]Customers!$C$2:$C$201)</f>
        <v>Female</v>
      </c>
      <c r="S237" t="str">
        <f>_xlfn.XLOOKUP(C237,[1]Customers!$A$2:$A$201,[1]Customers!$B$2:$B$201)</f>
        <v>Customer_95</v>
      </c>
      <c r="T237" t="str">
        <f>_xlfn.XLOOKUP(D237,[1]Products!$A$2:$A$101,[1]Products!$C$2:$C$101)</f>
        <v>Beverages</v>
      </c>
      <c r="U237">
        <f>_xlfn.XLOOKUP(D237,[1]Products!$A$2:$A$101,[1]Products!$E$2:$E$101)</f>
        <v>373</v>
      </c>
      <c r="V237">
        <f>[1]Transactions!F237*[1]Transactions!U237</f>
        <v>746</v>
      </c>
    </row>
    <row r="238" spans="1:22" x14ac:dyDescent="0.3">
      <c r="A238">
        <v>237</v>
      </c>
      <c r="B238">
        <v>98</v>
      </c>
      <c r="C238">
        <v>147</v>
      </c>
      <c r="D238">
        <v>100</v>
      </c>
      <c r="E238">
        <v>26</v>
      </c>
      <c r="F238">
        <v>3</v>
      </c>
      <c r="G238">
        <v>290</v>
      </c>
      <c r="H238">
        <v>870</v>
      </c>
      <c r="I238">
        <v>52</v>
      </c>
      <c r="J238">
        <f>[1]Transactions!F238*[1]Transactions!G238</f>
        <v>870</v>
      </c>
      <c r="K238">
        <f>_xlfn.XLOOKUP([1]Transactions!D238,[1]Inventory!$C$2:$C$501,[1]Inventory!$A$2:$A$501)</f>
        <v>54</v>
      </c>
      <c r="L238">
        <f>_xlfn.XLOOKUP(K238,[1]Inventory!$A$2:$A$501,[1]Inventory!$D$2:$D$501)</f>
        <v>397</v>
      </c>
      <c r="M238">
        <f>_xlfn.XLOOKUP(K238,[1]Inventory!$A$2:$A$501,[1]Inventory!$E$2:$E$501)</f>
        <v>5</v>
      </c>
      <c r="N238" t="str">
        <f>_xlfn.XLOOKUP([1]Transactions!C238,[1]Customers!$A$2:$A$201,[1]Customers!$G$2:$G$201)</f>
        <v>West Bengal</v>
      </c>
      <c r="O238" t="str">
        <f>_xlfn.XLOOKUP(C238,[1]Customers!$A$2:$A$201,[1]Customers!$H$2:$H$201)</f>
        <v>East</v>
      </c>
      <c r="P238" t="str">
        <f>_xlfn.XLOOKUP(C238,[1]Customers!$A$2:$A$201,[1]Customers!$F$2:$F$201)</f>
        <v>Kolkata</v>
      </c>
      <c r="Q238">
        <f>_xlfn.XLOOKUP(C238,[1]Customers!$A$2:$A$201,[1]Customers!$D$2:$D$201)</f>
        <v>43</v>
      </c>
      <c r="R238" t="str">
        <f>_xlfn.XLOOKUP([1]Transactions!C238,[1]Customers!$A$2:$A$201,[1]Customers!$C$2:$C$201)</f>
        <v>Female</v>
      </c>
      <c r="S238" t="str">
        <f>_xlfn.XLOOKUP(C238,[1]Customers!$A$2:$A$201,[1]Customers!$B$2:$B$201)</f>
        <v>Customer_147</v>
      </c>
      <c r="T238" t="str">
        <f>_xlfn.XLOOKUP(D238,[1]Products!$A$2:$A$101,[1]Products!$C$2:$C$101)</f>
        <v>Dairy</v>
      </c>
      <c r="U238">
        <f>_xlfn.XLOOKUP(D238,[1]Products!$A$2:$A$101,[1]Products!$E$2:$E$101)</f>
        <v>472</v>
      </c>
      <c r="V238">
        <f>[1]Transactions!F238*[1]Transactions!U238</f>
        <v>1416</v>
      </c>
    </row>
    <row r="239" spans="1:22" x14ac:dyDescent="0.3">
      <c r="A239">
        <v>238</v>
      </c>
      <c r="B239">
        <v>85</v>
      </c>
      <c r="C239">
        <v>161</v>
      </c>
      <c r="D239">
        <v>77</v>
      </c>
      <c r="E239">
        <v>21</v>
      </c>
      <c r="F239">
        <v>1</v>
      </c>
      <c r="G239">
        <v>223</v>
      </c>
      <c r="H239">
        <v>223</v>
      </c>
      <c r="I239">
        <v>11</v>
      </c>
      <c r="J239">
        <f>[1]Transactions!F239*[1]Transactions!G239</f>
        <v>223</v>
      </c>
      <c r="K239">
        <f>_xlfn.XLOOKUP([1]Transactions!D239,[1]Inventory!$C$2:$C$501,[1]Inventory!$A$2:$A$501)</f>
        <v>243</v>
      </c>
      <c r="L239">
        <f>_xlfn.XLOOKUP(K239,[1]Inventory!$A$2:$A$501,[1]Inventory!$D$2:$D$501)</f>
        <v>97</v>
      </c>
      <c r="M239">
        <f>_xlfn.XLOOKUP(K239,[1]Inventory!$A$2:$A$501,[1]Inventory!$E$2:$E$501)</f>
        <v>107</v>
      </c>
      <c r="N239" t="str">
        <f>_xlfn.XLOOKUP([1]Transactions!C239,[1]Customers!$A$2:$A$201,[1]Customers!$G$2:$G$201)</f>
        <v>Telangana</v>
      </c>
      <c r="O239" t="str">
        <f>_xlfn.XLOOKUP(C239,[1]Customers!$A$2:$A$201,[1]Customers!$H$2:$H$201)</f>
        <v>South</v>
      </c>
      <c r="P239" t="str">
        <f>_xlfn.XLOOKUP(C239,[1]Customers!$A$2:$A$201,[1]Customers!$F$2:$F$201)</f>
        <v>Hyderabad</v>
      </c>
      <c r="Q239">
        <f>_xlfn.XLOOKUP(C239,[1]Customers!$A$2:$A$201,[1]Customers!$D$2:$D$201)</f>
        <v>37</v>
      </c>
      <c r="R239" t="str">
        <f>_xlfn.XLOOKUP([1]Transactions!C239,[1]Customers!$A$2:$A$201,[1]Customers!$C$2:$C$201)</f>
        <v>Male</v>
      </c>
      <c r="S239" t="str">
        <f>_xlfn.XLOOKUP(C239,[1]Customers!$A$2:$A$201,[1]Customers!$B$2:$B$201)</f>
        <v>Customer_161</v>
      </c>
      <c r="T239" t="str">
        <f>_xlfn.XLOOKUP(D239,[1]Products!$A$2:$A$101,[1]Products!$C$2:$C$101)</f>
        <v>Grocery</v>
      </c>
      <c r="U239">
        <f>_xlfn.XLOOKUP(D239,[1]Products!$A$2:$A$101,[1]Products!$E$2:$E$101)</f>
        <v>389</v>
      </c>
      <c r="V239">
        <f>[1]Transactions!F239*[1]Transactions!U239</f>
        <v>389</v>
      </c>
    </row>
    <row r="240" spans="1:22" x14ac:dyDescent="0.3">
      <c r="A240">
        <v>239</v>
      </c>
      <c r="B240">
        <v>52</v>
      </c>
      <c r="C240">
        <v>105</v>
      </c>
      <c r="D240">
        <v>71</v>
      </c>
      <c r="E240">
        <v>50</v>
      </c>
      <c r="F240">
        <v>3</v>
      </c>
      <c r="G240">
        <v>268</v>
      </c>
      <c r="H240">
        <v>804</v>
      </c>
      <c r="I240">
        <v>12</v>
      </c>
      <c r="J240">
        <f>[1]Transactions!F240*[1]Transactions!G240</f>
        <v>804</v>
      </c>
      <c r="K240">
        <f>_xlfn.XLOOKUP([1]Transactions!D240,[1]Inventory!$C$2:$C$501,[1]Inventory!$A$2:$A$501)</f>
        <v>30</v>
      </c>
      <c r="L240">
        <f>_xlfn.XLOOKUP(K240,[1]Inventory!$A$2:$A$501,[1]Inventory!$D$2:$D$501)</f>
        <v>155</v>
      </c>
      <c r="M240">
        <f>_xlfn.XLOOKUP(K240,[1]Inventory!$A$2:$A$501,[1]Inventory!$E$2:$E$501)</f>
        <v>79</v>
      </c>
      <c r="N240" t="str">
        <f>_xlfn.XLOOKUP([1]Transactions!C240,[1]Customers!$A$2:$A$201,[1]Customers!$G$2:$G$201)</f>
        <v>Rajasthan</v>
      </c>
      <c r="O240" t="str">
        <f>_xlfn.XLOOKUP(C240,[1]Customers!$A$2:$A$201,[1]Customers!$H$2:$H$201)</f>
        <v>North</v>
      </c>
      <c r="P240" t="str">
        <f>_xlfn.XLOOKUP(C240,[1]Customers!$A$2:$A$201,[1]Customers!$F$2:$F$201)</f>
        <v>Jaipur</v>
      </c>
      <c r="Q240">
        <f>_xlfn.XLOOKUP(C240,[1]Customers!$A$2:$A$201,[1]Customers!$D$2:$D$201)</f>
        <v>20</v>
      </c>
      <c r="R240" t="str">
        <f>_xlfn.XLOOKUP([1]Transactions!C240,[1]Customers!$A$2:$A$201,[1]Customers!$C$2:$C$201)</f>
        <v>Male</v>
      </c>
      <c r="S240" t="str">
        <f>_xlfn.XLOOKUP(C240,[1]Customers!$A$2:$A$201,[1]Customers!$B$2:$B$201)</f>
        <v>Customer_105</v>
      </c>
      <c r="T240" t="str">
        <f>_xlfn.XLOOKUP(D240,[1]Products!$A$2:$A$101,[1]Products!$C$2:$C$101)</f>
        <v>Snacks</v>
      </c>
      <c r="U240">
        <f>_xlfn.XLOOKUP(D240,[1]Products!$A$2:$A$101,[1]Products!$E$2:$E$101)</f>
        <v>389</v>
      </c>
      <c r="V240">
        <f>[1]Transactions!F240*[1]Transactions!U240</f>
        <v>1167</v>
      </c>
    </row>
    <row r="241" spans="1:22" x14ac:dyDescent="0.3">
      <c r="A241">
        <v>240</v>
      </c>
      <c r="B241">
        <v>70</v>
      </c>
      <c r="C241">
        <v>166</v>
      </c>
      <c r="D241">
        <v>20</v>
      </c>
      <c r="E241">
        <v>12</v>
      </c>
      <c r="F241">
        <v>2</v>
      </c>
      <c r="G241">
        <v>411</v>
      </c>
      <c r="H241">
        <v>822</v>
      </c>
      <c r="I241">
        <v>50</v>
      </c>
      <c r="J241">
        <f>[1]Transactions!F241*[1]Transactions!G241</f>
        <v>822</v>
      </c>
      <c r="K241">
        <f>_xlfn.XLOOKUP([1]Transactions!D241,[1]Inventory!$C$2:$C$501,[1]Inventory!$A$2:$A$501)</f>
        <v>137</v>
      </c>
      <c r="L241">
        <f>_xlfn.XLOOKUP(K241,[1]Inventory!$A$2:$A$501,[1]Inventory!$D$2:$D$501)</f>
        <v>338</v>
      </c>
      <c r="M241">
        <f>_xlfn.XLOOKUP(K241,[1]Inventory!$A$2:$A$501,[1]Inventory!$E$2:$E$501)</f>
        <v>85</v>
      </c>
      <c r="N241" t="str">
        <f>_xlfn.XLOOKUP([1]Transactions!C241,[1]Customers!$A$2:$A$201,[1]Customers!$G$2:$G$201)</f>
        <v>UP</v>
      </c>
      <c r="O241" t="str">
        <f>_xlfn.XLOOKUP(C241,[1]Customers!$A$2:$A$201,[1]Customers!$H$2:$H$201)</f>
        <v>North</v>
      </c>
      <c r="P241" t="str">
        <f>_xlfn.XLOOKUP(C241,[1]Customers!$A$2:$A$201,[1]Customers!$F$2:$F$201)</f>
        <v>Lucknow</v>
      </c>
      <c r="Q241">
        <f>_xlfn.XLOOKUP(C241,[1]Customers!$A$2:$A$201,[1]Customers!$D$2:$D$201)</f>
        <v>28</v>
      </c>
      <c r="R241" t="str">
        <f>_xlfn.XLOOKUP([1]Transactions!C241,[1]Customers!$A$2:$A$201,[1]Customers!$C$2:$C$201)</f>
        <v>Male</v>
      </c>
      <c r="S241" t="str">
        <f>_xlfn.XLOOKUP(C241,[1]Customers!$A$2:$A$201,[1]Customers!$B$2:$B$201)</f>
        <v>Customer_166</v>
      </c>
      <c r="T241" t="str">
        <f>_xlfn.XLOOKUP(D241,[1]Products!$A$2:$A$101,[1]Products!$C$2:$C$101)</f>
        <v>Dairy</v>
      </c>
      <c r="U241">
        <f>_xlfn.XLOOKUP(D241,[1]Products!$A$2:$A$101,[1]Products!$E$2:$E$101)</f>
        <v>182</v>
      </c>
      <c r="V241">
        <f>[1]Transactions!F241*[1]Transactions!U241</f>
        <v>364</v>
      </c>
    </row>
    <row r="242" spans="1:22" x14ac:dyDescent="0.3">
      <c r="A242">
        <v>241</v>
      </c>
      <c r="B242">
        <v>123</v>
      </c>
      <c r="C242">
        <v>21</v>
      </c>
      <c r="D242">
        <v>73</v>
      </c>
      <c r="E242">
        <v>26</v>
      </c>
      <c r="F242">
        <v>3</v>
      </c>
      <c r="G242">
        <v>441</v>
      </c>
      <c r="H242">
        <v>1323</v>
      </c>
      <c r="I242">
        <v>42</v>
      </c>
      <c r="J242">
        <f>[1]Transactions!F242*[1]Transactions!G242</f>
        <v>1323</v>
      </c>
      <c r="K242">
        <f>_xlfn.XLOOKUP([1]Transactions!D242,[1]Inventory!$C$2:$C$501,[1]Inventory!$A$2:$A$501)</f>
        <v>18</v>
      </c>
      <c r="L242">
        <f>_xlfn.XLOOKUP(K242,[1]Inventory!$A$2:$A$501,[1]Inventory!$D$2:$D$501)</f>
        <v>120</v>
      </c>
      <c r="M242">
        <f>_xlfn.XLOOKUP(K242,[1]Inventory!$A$2:$A$501,[1]Inventory!$E$2:$E$501)</f>
        <v>107</v>
      </c>
      <c r="N242" t="str">
        <f>_xlfn.XLOOKUP([1]Transactions!C242,[1]Customers!$A$2:$A$201,[1]Customers!$G$2:$G$201)</f>
        <v>Telangana</v>
      </c>
      <c r="O242" t="str">
        <f>_xlfn.XLOOKUP(C242,[1]Customers!$A$2:$A$201,[1]Customers!$H$2:$H$201)</f>
        <v>South</v>
      </c>
      <c r="P242" t="str">
        <f>_xlfn.XLOOKUP(C242,[1]Customers!$A$2:$A$201,[1]Customers!$F$2:$F$201)</f>
        <v>Hyderabad</v>
      </c>
      <c r="Q242">
        <f>_xlfn.XLOOKUP(C242,[1]Customers!$A$2:$A$201,[1]Customers!$D$2:$D$201)</f>
        <v>33</v>
      </c>
      <c r="R242" t="str">
        <f>_xlfn.XLOOKUP([1]Transactions!C242,[1]Customers!$A$2:$A$201,[1]Customers!$C$2:$C$201)</f>
        <v>Female</v>
      </c>
      <c r="S242" t="str">
        <f>_xlfn.XLOOKUP(C242,[1]Customers!$A$2:$A$201,[1]Customers!$B$2:$B$201)</f>
        <v>Customer_21</v>
      </c>
      <c r="T242" t="str">
        <f>_xlfn.XLOOKUP(D242,[1]Products!$A$2:$A$101,[1]Products!$C$2:$C$101)</f>
        <v>Beverages</v>
      </c>
      <c r="U242">
        <f>_xlfn.XLOOKUP(D242,[1]Products!$A$2:$A$101,[1]Products!$E$2:$E$101)</f>
        <v>55</v>
      </c>
      <c r="V242">
        <f>[1]Transactions!F242*[1]Transactions!U242</f>
        <v>165</v>
      </c>
    </row>
    <row r="243" spans="1:22" x14ac:dyDescent="0.3">
      <c r="A243">
        <v>242</v>
      </c>
      <c r="B243">
        <v>102</v>
      </c>
      <c r="C243">
        <v>127</v>
      </c>
      <c r="D243">
        <v>3</v>
      </c>
      <c r="E243">
        <v>15</v>
      </c>
      <c r="F243">
        <v>2</v>
      </c>
      <c r="G243">
        <v>343</v>
      </c>
      <c r="H243">
        <v>686</v>
      </c>
      <c r="I243">
        <v>58</v>
      </c>
      <c r="J243">
        <f>[1]Transactions!F243*[1]Transactions!G243</f>
        <v>686</v>
      </c>
      <c r="K243">
        <f>_xlfn.XLOOKUP([1]Transactions!D243,[1]Inventory!$C$2:$C$501,[1]Inventory!$A$2:$A$501)</f>
        <v>147</v>
      </c>
      <c r="L243">
        <f>_xlfn.XLOOKUP(K243,[1]Inventory!$A$2:$A$501,[1]Inventory!$D$2:$D$501)</f>
        <v>137</v>
      </c>
      <c r="M243">
        <f>_xlfn.XLOOKUP(K243,[1]Inventory!$A$2:$A$501,[1]Inventory!$E$2:$E$501)</f>
        <v>160</v>
      </c>
      <c r="N243" t="str">
        <f>_xlfn.XLOOKUP([1]Transactions!C243,[1]Customers!$A$2:$A$201,[1]Customers!$G$2:$G$201)</f>
        <v>Tamil Nadu</v>
      </c>
      <c r="O243" t="str">
        <f>_xlfn.XLOOKUP(C243,[1]Customers!$A$2:$A$201,[1]Customers!$H$2:$H$201)</f>
        <v>South</v>
      </c>
      <c r="P243" t="str">
        <f>_xlfn.XLOOKUP(C243,[1]Customers!$A$2:$A$201,[1]Customers!$F$2:$F$201)</f>
        <v>Chennai</v>
      </c>
      <c r="Q243">
        <f>_xlfn.XLOOKUP(C243,[1]Customers!$A$2:$A$201,[1]Customers!$D$2:$D$201)</f>
        <v>55</v>
      </c>
      <c r="R243" t="str">
        <f>_xlfn.XLOOKUP([1]Transactions!C243,[1]Customers!$A$2:$A$201,[1]Customers!$C$2:$C$201)</f>
        <v>Male</v>
      </c>
      <c r="S243" t="str">
        <f>_xlfn.XLOOKUP(C243,[1]Customers!$A$2:$A$201,[1]Customers!$B$2:$B$201)</f>
        <v>Customer_127</v>
      </c>
      <c r="T243" t="str">
        <f>_xlfn.XLOOKUP(D243,[1]Products!$A$2:$A$101,[1]Products!$C$2:$C$101)</f>
        <v>Dairy</v>
      </c>
      <c r="U243">
        <f>_xlfn.XLOOKUP(D243,[1]Products!$A$2:$A$101,[1]Products!$E$2:$E$101)</f>
        <v>357</v>
      </c>
      <c r="V243">
        <f>[1]Transactions!F243*[1]Transactions!U243</f>
        <v>714</v>
      </c>
    </row>
    <row r="244" spans="1:22" x14ac:dyDescent="0.3">
      <c r="A244">
        <v>243</v>
      </c>
      <c r="B244">
        <v>91</v>
      </c>
      <c r="C244">
        <v>139</v>
      </c>
      <c r="D244">
        <v>5</v>
      </c>
      <c r="E244">
        <v>38</v>
      </c>
      <c r="F244">
        <v>2</v>
      </c>
      <c r="G244">
        <v>70</v>
      </c>
      <c r="H244">
        <v>140</v>
      </c>
      <c r="I244">
        <v>49</v>
      </c>
      <c r="J244">
        <f>[1]Transactions!F244*[1]Transactions!G244</f>
        <v>140</v>
      </c>
      <c r="K244">
        <f>_xlfn.XLOOKUP([1]Transactions!D244,[1]Inventory!$C$2:$C$501,[1]Inventory!$A$2:$A$501)</f>
        <v>71</v>
      </c>
      <c r="L244">
        <f>_xlfn.XLOOKUP(K244,[1]Inventory!$A$2:$A$501,[1]Inventory!$D$2:$D$501)</f>
        <v>288</v>
      </c>
      <c r="M244">
        <f>_xlfn.XLOOKUP(K244,[1]Inventory!$A$2:$A$501,[1]Inventory!$E$2:$E$501)</f>
        <v>130</v>
      </c>
      <c r="N244" t="str">
        <f>_xlfn.XLOOKUP([1]Transactions!C244,[1]Customers!$A$2:$A$201,[1]Customers!$G$2:$G$201)</f>
        <v>Rajasthan</v>
      </c>
      <c r="O244" t="str">
        <f>_xlfn.XLOOKUP(C244,[1]Customers!$A$2:$A$201,[1]Customers!$H$2:$H$201)</f>
        <v>North</v>
      </c>
      <c r="P244" t="str">
        <f>_xlfn.XLOOKUP(C244,[1]Customers!$A$2:$A$201,[1]Customers!$F$2:$F$201)</f>
        <v>Jaipur</v>
      </c>
      <c r="Q244">
        <f>_xlfn.XLOOKUP(C244,[1]Customers!$A$2:$A$201,[1]Customers!$D$2:$D$201)</f>
        <v>29</v>
      </c>
      <c r="R244" t="str">
        <f>_xlfn.XLOOKUP([1]Transactions!C244,[1]Customers!$A$2:$A$201,[1]Customers!$C$2:$C$201)</f>
        <v>Female</v>
      </c>
      <c r="S244" t="str">
        <f>_xlfn.XLOOKUP(C244,[1]Customers!$A$2:$A$201,[1]Customers!$B$2:$B$201)</f>
        <v>Customer_139</v>
      </c>
      <c r="T244" t="str">
        <f>_xlfn.XLOOKUP(D244,[1]Products!$A$2:$A$101,[1]Products!$C$2:$C$101)</f>
        <v>Grocery</v>
      </c>
      <c r="U244">
        <f>_xlfn.XLOOKUP(D244,[1]Products!$A$2:$A$101,[1]Products!$E$2:$E$101)</f>
        <v>127</v>
      </c>
      <c r="V244">
        <f>[1]Transactions!F244*[1]Transactions!U244</f>
        <v>254</v>
      </c>
    </row>
    <row r="245" spans="1:22" x14ac:dyDescent="0.3">
      <c r="A245">
        <v>244</v>
      </c>
      <c r="B245">
        <v>44</v>
      </c>
      <c r="C245">
        <v>152</v>
      </c>
      <c r="D245">
        <v>97</v>
      </c>
      <c r="E245">
        <v>22</v>
      </c>
      <c r="F245">
        <v>1</v>
      </c>
      <c r="G245">
        <v>232</v>
      </c>
      <c r="H245">
        <v>232</v>
      </c>
      <c r="I245">
        <v>17</v>
      </c>
      <c r="J245">
        <f>[1]Transactions!F245*[1]Transactions!G245</f>
        <v>232</v>
      </c>
      <c r="K245">
        <f>_xlfn.XLOOKUP([1]Transactions!D245,[1]Inventory!$C$2:$C$501,[1]Inventory!$A$2:$A$501)</f>
        <v>5</v>
      </c>
      <c r="L245">
        <f>_xlfn.XLOOKUP(K245,[1]Inventory!$A$2:$A$501,[1]Inventory!$D$2:$D$501)</f>
        <v>362</v>
      </c>
      <c r="M245">
        <f>_xlfn.XLOOKUP(K245,[1]Inventory!$A$2:$A$501,[1]Inventory!$E$2:$E$501)</f>
        <v>61</v>
      </c>
      <c r="N245" t="str">
        <f>_xlfn.XLOOKUP([1]Transactions!C245,[1]Customers!$A$2:$A$201,[1]Customers!$G$2:$G$201)</f>
        <v>Delhi</v>
      </c>
      <c r="O245" t="str">
        <f>_xlfn.XLOOKUP(C245,[1]Customers!$A$2:$A$201,[1]Customers!$H$2:$H$201)</f>
        <v>North</v>
      </c>
      <c r="P245" t="str">
        <f>_xlfn.XLOOKUP(C245,[1]Customers!$A$2:$A$201,[1]Customers!$F$2:$F$201)</f>
        <v>Delhi</v>
      </c>
      <c r="Q245">
        <f>_xlfn.XLOOKUP(C245,[1]Customers!$A$2:$A$201,[1]Customers!$D$2:$D$201)</f>
        <v>28</v>
      </c>
      <c r="R245" t="str">
        <f>_xlfn.XLOOKUP([1]Transactions!C245,[1]Customers!$A$2:$A$201,[1]Customers!$C$2:$C$201)</f>
        <v>Male</v>
      </c>
      <c r="S245" t="str">
        <f>_xlfn.XLOOKUP(C245,[1]Customers!$A$2:$A$201,[1]Customers!$B$2:$B$201)</f>
        <v>Customer_152</v>
      </c>
      <c r="T245" t="str">
        <f>_xlfn.XLOOKUP(D245,[1]Products!$A$2:$A$101,[1]Products!$C$2:$C$101)</f>
        <v>Grocery</v>
      </c>
      <c r="U245">
        <f>_xlfn.XLOOKUP(D245,[1]Products!$A$2:$A$101,[1]Products!$E$2:$E$101)</f>
        <v>419</v>
      </c>
      <c r="V245">
        <f>[1]Transactions!F245*[1]Transactions!U245</f>
        <v>419</v>
      </c>
    </row>
    <row r="246" spans="1:22" x14ac:dyDescent="0.3">
      <c r="A246">
        <v>245</v>
      </c>
      <c r="B246">
        <v>176</v>
      </c>
      <c r="C246">
        <v>106</v>
      </c>
      <c r="D246">
        <v>40</v>
      </c>
      <c r="E246">
        <v>9</v>
      </c>
      <c r="F246">
        <v>5</v>
      </c>
      <c r="G246">
        <v>456</v>
      </c>
      <c r="H246">
        <v>2280</v>
      </c>
      <c r="I246">
        <v>51</v>
      </c>
      <c r="J246">
        <f>[1]Transactions!F246*[1]Transactions!G246</f>
        <v>2280</v>
      </c>
      <c r="K246">
        <f>_xlfn.XLOOKUP([1]Transactions!D246,[1]Inventory!$C$2:$C$501,[1]Inventory!$A$2:$A$501)</f>
        <v>113</v>
      </c>
      <c r="L246">
        <f>_xlfn.XLOOKUP(K246,[1]Inventory!$A$2:$A$501,[1]Inventory!$D$2:$D$501)</f>
        <v>462</v>
      </c>
      <c r="M246">
        <f>_xlfn.XLOOKUP(K246,[1]Inventory!$A$2:$A$501,[1]Inventory!$E$2:$E$501)</f>
        <v>68</v>
      </c>
      <c r="N246" t="str">
        <f>_xlfn.XLOOKUP([1]Transactions!C246,[1]Customers!$A$2:$A$201,[1]Customers!$G$2:$G$201)</f>
        <v>Rajasthan</v>
      </c>
      <c r="O246" t="str">
        <f>_xlfn.XLOOKUP(C246,[1]Customers!$A$2:$A$201,[1]Customers!$H$2:$H$201)</f>
        <v>North</v>
      </c>
      <c r="P246" t="str">
        <f>_xlfn.XLOOKUP(C246,[1]Customers!$A$2:$A$201,[1]Customers!$F$2:$F$201)</f>
        <v>Jaipur</v>
      </c>
      <c r="Q246">
        <f>_xlfn.XLOOKUP(C246,[1]Customers!$A$2:$A$201,[1]Customers!$D$2:$D$201)</f>
        <v>60</v>
      </c>
      <c r="R246" t="str">
        <f>_xlfn.XLOOKUP([1]Transactions!C246,[1]Customers!$A$2:$A$201,[1]Customers!$C$2:$C$201)</f>
        <v>Male</v>
      </c>
      <c r="S246" t="str">
        <f>_xlfn.XLOOKUP(C246,[1]Customers!$A$2:$A$201,[1]Customers!$B$2:$B$201)</f>
        <v>Customer_106</v>
      </c>
      <c r="T246" t="str">
        <f>_xlfn.XLOOKUP(D246,[1]Products!$A$2:$A$101,[1]Products!$C$2:$C$101)</f>
        <v>Grocery</v>
      </c>
      <c r="U246">
        <f>_xlfn.XLOOKUP(D246,[1]Products!$A$2:$A$101,[1]Products!$E$2:$E$101)</f>
        <v>184</v>
      </c>
      <c r="V246">
        <f>[1]Transactions!F246*[1]Transactions!U246</f>
        <v>920</v>
      </c>
    </row>
    <row r="247" spans="1:22" x14ac:dyDescent="0.3">
      <c r="A247">
        <v>246</v>
      </c>
      <c r="B247">
        <v>159</v>
      </c>
      <c r="C247">
        <v>115</v>
      </c>
      <c r="D247">
        <v>97</v>
      </c>
      <c r="E247">
        <v>43</v>
      </c>
      <c r="F247">
        <v>1</v>
      </c>
      <c r="G247">
        <v>316</v>
      </c>
      <c r="H247">
        <v>316</v>
      </c>
      <c r="I247">
        <v>45</v>
      </c>
      <c r="J247">
        <f>[1]Transactions!F247*[1]Transactions!G247</f>
        <v>316</v>
      </c>
      <c r="K247">
        <f>_xlfn.XLOOKUP([1]Transactions!D247,[1]Inventory!$C$2:$C$501,[1]Inventory!$A$2:$A$501)</f>
        <v>5</v>
      </c>
      <c r="L247">
        <f>_xlfn.XLOOKUP(K247,[1]Inventory!$A$2:$A$501,[1]Inventory!$D$2:$D$501)</f>
        <v>362</v>
      </c>
      <c r="M247">
        <f>_xlfn.XLOOKUP(K247,[1]Inventory!$A$2:$A$501,[1]Inventory!$E$2:$E$501)</f>
        <v>61</v>
      </c>
      <c r="N247" t="str">
        <f>_xlfn.XLOOKUP([1]Transactions!C247,[1]Customers!$A$2:$A$201,[1]Customers!$G$2:$G$201)</f>
        <v>UP</v>
      </c>
      <c r="O247" t="str">
        <f>_xlfn.XLOOKUP(C247,[1]Customers!$A$2:$A$201,[1]Customers!$H$2:$H$201)</f>
        <v>North</v>
      </c>
      <c r="P247" t="str">
        <f>_xlfn.XLOOKUP(C247,[1]Customers!$A$2:$A$201,[1]Customers!$F$2:$F$201)</f>
        <v>Lucknow</v>
      </c>
      <c r="Q247">
        <f>_xlfn.XLOOKUP(C247,[1]Customers!$A$2:$A$201,[1]Customers!$D$2:$D$201)</f>
        <v>47</v>
      </c>
      <c r="R247" t="str">
        <f>_xlfn.XLOOKUP([1]Transactions!C247,[1]Customers!$A$2:$A$201,[1]Customers!$C$2:$C$201)</f>
        <v>Female</v>
      </c>
      <c r="S247" t="str">
        <f>_xlfn.XLOOKUP(C247,[1]Customers!$A$2:$A$201,[1]Customers!$B$2:$B$201)</f>
        <v>Customer_115</v>
      </c>
      <c r="T247" t="str">
        <f>_xlfn.XLOOKUP(D247,[1]Products!$A$2:$A$101,[1]Products!$C$2:$C$101)</f>
        <v>Grocery</v>
      </c>
      <c r="U247">
        <f>_xlfn.XLOOKUP(D247,[1]Products!$A$2:$A$101,[1]Products!$E$2:$E$101)</f>
        <v>419</v>
      </c>
      <c r="V247">
        <f>[1]Transactions!F247*[1]Transactions!U247</f>
        <v>419</v>
      </c>
    </row>
    <row r="248" spans="1:22" x14ac:dyDescent="0.3">
      <c r="A248">
        <v>247</v>
      </c>
      <c r="B248">
        <v>63</v>
      </c>
      <c r="C248">
        <v>141</v>
      </c>
      <c r="D248">
        <v>26</v>
      </c>
      <c r="E248">
        <v>19</v>
      </c>
      <c r="F248">
        <v>4</v>
      </c>
      <c r="G248">
        <v>451</v>
      </c>
      <c r="H248">
        <v>1804</v>
      </c>
      <c r="I248">
        <v>23</v>
      </c>
      <c r="J248">
        <f>[1]Transactions!F248*[1]Transactions!G248</f>
        <v>1804</v>
      </c>
      <c r="K248">
        <f>_xlfn.XLOOKUP([1]Transactions!D248,[1]Inventory!$C$2:$C$501,[1]Inventory!$A$2:$A$501)</f>
        <v>11</v>
      </c>
      <c r="L248">
        <f>_xlfn.XLOOKUP(K248,[1]Inventory!$A$2:$A$501,[1]Inventory!$D$2:$D$501)</f>
        <v>235</v>
      </c>
      <c r="M248">
        <f>_xlfn.XLOOKUP(K248,[1]Inventory!$A$2:$A$501,[1]Inventory!$E$2:$E$501)</f>
        <v>78</v>
      </c>
      <c r="N248" t="str">
        <f>_xlfn.XLOOKUP([1]Transactions!C248,[1]Customers!$A$2:$A$201,[1]Customers!$G$2:$G$201)</f>
        <v>Tamil Nadu</v>
      </c>
      <c r="O248" t="str">
        <f>_xlfn.XLOOKUP(C248,[1]Customers!$A$2:$A$201,[1]Customers!$H$2:$H$201)</f>
        <v>South</v>
      </c>
      <c r="P248" t="str">
        <f>_xlfn.XLOOKUP(C248,[1]Customers!$A$2:$A$201,[1]Customers!$F$2:$F$201)</f>
        <v>Chennai</v>
      </c>
      <c r="Q248">
        <f>_xlfn.XLOOKUP(C248,[1]Customers!$A$2:$A$201,[1]Customers!$D$2:$D$201)</f>
        <v>28</v>
      </c>
      <c r="R248" t="str">
        <f>_xlfn.XLOOKUP([1]Transactions!C248,[1]Customers!$A$2:$A$201,[1]Customers!$C$2:$C$201)</f>
        <v>Female</v>
      </c>
      <c r="S248" t="str">
        <f>_xlfn.XLOOKUP(C248,[1]Customers!$A$2:$A$201,[1]Customers!$B$2:$B$201)</f>
        <v>Customer_141</v>
      </c>
      <c r="T248" t="str">
        <f>_xlfn.XLOOKUP(D248,[1]Products!$A$2:$A$101,[1]Products!$C$2:$C$101)</f>
        <v>Snacks</v>
      </c>
      <c r="U248">
        <f>_xlfn.XLOOKUP(D248,[1]Products!$A$2:$A$101,[1]Products!$E$2:$E$101)</f>
        <v>462</v>
      </c>
      <c r="V248">
        <f>[1]Transactions!F248*[1]Transactions!U248</f>
        <v>1848</v>
      </c>
    </row>
    <row r="249" spans="1:22" x14ac:dyDescent="0.3">
      <c r="A249">
        <v>248</v>
      </c>
      <c r="B249">
        <v>44</v>
      </c>
      <c r="C249">
        <v>161</v>
      </c>
      <c r="D249">
        <v>45</v>
      </c>
      <c r="E249">
        <v>30</v>
      </c>
      <c r="F249">
        <v>4</v>
      </c>
      <c r="G249">
        <v>296</v>
      </c>
      <c r="H249">
        <v>1184</v>
      </c>
      <c r="I249">
        <v>40</v>
      </c>
      <c r="J249">
        <f>[1]Transactions!F249*[1]Transactions!G249</f>
        <v>1184</v>
      </c>
      <c r="K249">
        <f>_xlfn.XLOOKUP([1]Transactions!D249,[1]Inventory!$C$2:$C$501,[1]Inventory!$A$2:$A$501)</f>
        <v>472</v>
      </c>
      <c r="L249">
        <f>_xlfn.XLOOKUP(K249,[1]Inventory!$A$2:$A$501,[1]Inventory!$D$2:$D$501)</f>
        <v>273</v>
      </c>
      <c r="M249">
        <f>_xlfn.XLOOKUP(K249,[1]Inventory!$A$2:$A$501,[1]Inventory!$E$2:$E$501)</f>
        <v>56</v>
      </c>
      <c r="N249" t="str">
        <f>_xlfn.XLOOKUP([1]Transactions!C249,[1]Customers!$A$2:$A$201,[1]Customers!$G$2:$G$201)</f>
        <v>Telangana</v>
      </c>
      <c r="O249" t="str">
        <f>_xlfn.XLOOKUP(C249,[1]Customers!$A$2:$A$201,[1]Customers!$H$2:$H$201)</f>
        <v>South</v>
      </c>
      <c r="P249" t="str">
        <f>_xlfn.XLOOKUP(C249,[1]Customers!$A$2:$A$201,[1]Customers!$F$2:$F$201)</f>
        <v>Hyderabad</v>
      </c>
      <c r="Q249">
        <f>_xlfn.XLOOKUP(C249,[1]Customers!$A$2:$A$201,[1]Customers!$D$2:$D$201)</f>
        <v>37</v>
      </c>
      <c r="R249" t="str">
        <f>_xlfn.XLOOKUP([1]Transactions!C249,[1]Customers!$A$2:$A$201,[1]Customers!$C$2:$C$201)</f>
        <v>Male</v>
      </c>
      <c r="S249" t="str">
        <f>_xlfn.XLOOKUP(C249,[1]Customers!$A$2:$A$201,[1]Customers!$B$2:$B$201)</f>
        <v>Customer_161</v>
      </c>
      <c r="T249" t="str">
        <f>_xlfn.XLOOKUP(D249,[1]Products!$A$2:$A$101,[1]Products!$C$2:$C$101)</f>
        <v>Dairy</v>
      </c>
      <c r="U249">
        <f>_xlfn.XLOOKUP(D249,[1]Products!$A$2:$A$101,[1]Products!$E$2:$E$101)</f>
        <v>425</v>
      </c>
      <c r="V249">
        <f>[1]Transactions!F249*[1]Transactions!U249</f>
        <v>1700</v>
      </c>
    </row>
    <row r="250" spans="1:22" x14ac:dyDescent="0.3">
      <c r="A250">
        <v>249</v>
      </c>
      <c r="B250">
        <v>33</v>
      </c>
      <c r="C250">
        <v>46</v>
      </c>
      <c r="D250">
        <v>86</v>
      </c>
      <c r="E250">
        <v>15</v>
      </c>
      <c r="F250">
        <v>4</v>
      </c>
      <c r="G250">
        <v>166</v>
      </c>
      <c r="H250">
        <v>664</v>
      </c>
      <c r="I250">
        <v>27</v>
      </c>
      <c r="J250">
        <f>[1]Transactions!F250*[1]Transactions!G250</f>
        <v>664</v>
      </c>
      <c r="K250">
        <f>_xlfn.XLOOKUP([1]Transactions!D250,[1]Inventory!$C$2:$C$501,[1]Inventory!$A$2:$A$501)</f>
        <v>84</v>
      </c>
      <c r="L250">
        <f>_xlfn.XLOOKUP(K250,[1]Inventory!$A$2:$A$501,[1]Inventory!$D$2:$D$501)</f>
        <v>450</v>
      </c>
      <c r="M250">
        <f>_xlfn.XLOOKUP(K250,[1]Inventory!$A$2:$A$501,[1]Inventory!$E$2:$E$501)</f>
        <v>85</v>
      </c>
      <c r="N250" t="str">
        <f>_xlfn.XLOOKUP([1]Transactions!C250,[1]Customers!$A$2:$A$201,[1]Customers!$G$2:$G$201)</f>
        <v>Maharashtra</v>
      </c>
      <c r="O250" t="str">
        <f>_xlfn.XLOOKUP(C250,[1]Customers!$A$2:$A$201,[1]Customers!$H$2:$H$201)</f>
        <v>West</v>
      </c>
      <c r="P250" t="str">
        <f>_xlfn.XLOOKUP(C250,[1]Customers!$A$2:$A$201,[1]Customers!$F$2:$F$201)</f>
        <v>Pune</v>
      </c>
      <c r="Q250">
        <f>_xlfn.XLOOKUP(C250,[1]Customers!$A$2:$A$201,[1]Customers!$D$2:$D$201)</f>
        <v>42</v>
      </c>
      <c r="R250" t="str">
        <f>_xlfn.XLOOKUP([1]Transactions!C250,[1]Customers!$A$2:$A$201,[1]Customers!$C$2:$C$201)</f>
        <v>Male</v>
      </c>
      <c r="S250" t="str">
        <f>_xlfn.XLOOKUP(C250,[1]Customers!$A$2:$A$201,[1]Customers!$B$2:$B$201)</f>
        <v>Customer_46</v>
      </c>
      <c r="T250" t="str">
        <f>_xlfn.XLOOKUP(D250,[1]Products!$A$2:$A$101,[1]Products!$C$2:$C$101)</f>
        <v>Snacks</v>
      </c>
      <c r="U250">
        <f>_xlfn.XLOOKUP(D250,[1]Products!$A$2:$A$101,[1]Products!$E$2:$E$101)</f>
        <v>405</v>
      </c>
      <c r="V250">
        <f>[1]Transactions!F250*[1]Transactions!U250</f>
        <v>1620</v>
      </c>
    </row>
    <row r="251" spans="1:22" x14ac:dyDescent="0.3">
      <c r="A251">
        <v>250</v>
      </c>
      <c r="B251">
        <v>139</v>
      </c>
      <c r="C251">
        <v>155</v>
      </c>
      <c r="D251">
        <v>30</v>
      </c>
      <c r="E251">
        <v>25</v>
      </c>
      <c r="F251">
        <v>3</v>
      </c>
      <c r="G251">
        <v>356</v>
      </c>
      <c r="H251">
        <v>1068</v>
      </c>
      <c r="I251">
        <v>25</v>
      </c>
      <c r="J251">
        <f>[1]Transactions!F251*[1]Transactions!G251</f>
        <v>1068</v>
      </c>
      <c r="K251">
        <f>_xlfn.XLOOKUP([1]Transactions!D251,[1]Inventory!$C$2:$C$501,[1]Inventory!$A$2:$A$501)</f>
        <v>68</v>
      </c>
      <c r="L251">
        <f>_xlfn.XLOOKUP(K251,[1]Inventory!$A$2:$A$501,[1]Inventory!$D$2:$D$501)</f>
        <v>179</v>
      </c>
      <c r="M251">
        <f>_xlfn.XLOOKUP(K251,[1]Inventory!$A$2:$A$501,[1]Inventory!$E$2:$E$501)</f>
        <v>103</v>
      </c>
      <c r="N251" t="str">
        <f>_xlfn.XLOOKUP([1]Transactions!C251,[1]Customers!$A$2:$A$201,[1]Customers!$G$2:$G$201)</f>
        <v>UP</v>
      </c>
      <c r="O251" t="str">
        <f>_xlfn.XLOOKUP(C251,[1]Customers!$A$2:$A$201,[1]Customers!$H$2:$H$201)</f>
        <v>North</v>
      </c>
      <c r="P251" t="str">
        <f>_xlfn.XLOOKUP(C251,[1]Customers!$A$2:$A$201,[1]Customers!$F$2:$F$201)</f>
        <v>Lucknow</v>
      </c>
      <c r="Q251">
        <f>_xlfn.XLOOKUP(C251,[1]Customers!$A$2:$A$201,[1]Customers!$D$2:$D$201)</f>
        <v>29</v>
      </c>
      <c r="R251" t="str">
        <f>_xlfn.XLOOKUP([1]Transactions!C251,[1]Customers!$A$2:$A$201,[1]Customers!$C$2:$C$201)</f>
        <v>Female</v>
      </c>
      <c r="S251" t="str">
        <f>_xlfn.XLOOKUP(C251,[1]Customers!$A$2:$A$201,[1]Customers!$B$2:$B$201)</f>
        <v>Customer_155</v>
      </c>
      <c r="T251" t="str">
        <f>_xlfn.XLOOKUP(D251,[1]Products!$A$2:$A$101,[1]Products!$C$2:$C$101)</f>
        <v>Beverages</v>
      </c>
      <c r="U251">
        <f>_xlfn.XLOOKUP(D251,[1]Products!$A$2:$A$101,[1]Products!$E$2:$E$101)</f>
        <v>230</v>
      </c>
      <c r="V251">
        <f>[1]Transactions!F251*[1]Transactions!U251</f>
        <v>690</v>
      </c>
    </row>
    <row r="252" spans="1:22" x14ac:dyDescent="0.3">
      <c r="A252">
        <v>251</v>
      </c>
      <c r="B252">
        <v>168</v>
      </c>
      <c r="C252">
        <v>159</v>
      </c>
      <c r="D252">
        <v>89</v>
      </c>
      <c r="E252">
        <v>29</v>
      </c>
      <c r="F252">
        <v>3</v>
      </c>
      <c r="G252">
        <v>450</v>
      </c>
      <c r="H252">
        <v>1350</v>
      </c>
      <c r="I252">
        <v>45</v>
      </c>
      <c r="J252">
        <f>[1]Transactions!F252*[1]Transactions!G252</f>
        <v>1350</v>
      </c>
      <c r="K252">
        <f>_xlfn.XLOOKUP([1]Transactions!D252,[1]Inventory!$C$2:$C$501,[1]Inventory!$A$2:$A$501)</f>
        <v>10</v>
      </c>
      <c r="L252">
        <f>_xlfn.XLOOKUP(K252,[1]Inventory!$A$2:$A$501,[1]Inventory!$D$2:$D$501)</f>
        <v>340</v>
      </c>
      <c r="M252">
        <f>_xlfn.XLOOKUP(K252,[1]Inventory!$A$2:$A$501,[1]Inventory!$E$2:$E$501)</f>
        <v>121</v>
      </c>
      <c r="N252" t="str">
        <f>_xlfn.XLOOKUP([1]Transactions!C252,[1]Customers!$A$2:$A$201,[1]Customers!$G$2:$G$201)</f>
        <v>Maharashtra</v>
      </c>
      <c r="O252" t="str">
        <f>_xlfn.XLOOKUP(C252,[1]Customers!$A$2:$A$201,[1]Customers!$H$2:$H$201)</f>
        <v>West</v>
      </c>
      <c r="P252" t="str">
        <f>_xlfn.XLOOKUP(C252,[1]Customers!$A$2:$A$201,[1]Customers!$F$2:$F$201)</f>
        <v>Mumbai</v>
      </c>
      <c r="Q252">
        <f>_xlfn.XLOOKUP(C252,[1]Customers!$A$2:$A$201,[1]Customers!$D$2:$D$201)</f>
        <v>48</v>
      </c>
      <c r="R252" t="str">
        <f>_xlfn.XLOOKUP([1]Transactions!C252,[1]Customers!$A$2:$A$201,[1]Customers!$C$2:$C$201)</f>
        <v>Male</v>
      </c>
      <c r="S252" t="str">
        <f>_xlfn.XLOOKUP(C252,[1]Customers!$A$2:$A$201,[1]Customers!$B$2:$B$201)</f>
        <v>Customer_159</v>
      </c>
      <c r="T252" t="str">
        <f>_xlfn.XLOOKUP(D252,[1]Products!$A$2:$A$101,[1]Products!$C$2:$C$101)</f>
        <v>Snacks</v>
      </c>
      <c r="U252">
        <f>_xlfn.XLOOKUP(D252,[1]Products!$A$2:$A$101,[1]Products!$E$2:$E$101)</f>
        <v>387</v>
      </c>
      <c r="V252">
        <f>[1]Transactions!F252*[1]Transactions!U252</f>
        <v>1161</v>
      </c>
    </row>
    <row r="253" spans="1:22" x14ac:dyDescent="0.3">
      <c r="A253">
        <v>252</v>
      </c>
      <c r="B253">
        <v>5</v>
      </c>
      <c r="C253">
        <v>88</v>
      </c>
      <c r="D253">
        <v>70</v>
      </c>
      <c r="E253">
        <v>9</v>
      </c>
      <c r="F253">
        <v>1</v>
      </c>
      <c r="G253">
        <v>185</v>
      </c>
      <c r="H253">
        <v>185</v>
      </c>
      <c r="I253">
        <v>40</v>
      </c>
      <c r="J253">
        <f>[1]Transactions!F253*[1]Transactions!G253</f>
        <v>185</v>
      </c>
      <c r="K253">
        <f>_xlfn.XLOOKUP([1]Transactions!D253,[1]Inventory!$C$2:$C$501,[1]Inventory!$A$2:$A$501)</f>
        <v>33</v>
      </c>
      <c r="L253">
        <f>_xlfn.XLOOKUP(K253,[1]Inventory!$A$2:$A$501,[1]Inventory!$D$2:$D$501)</f>
        <v>115</v>
      </c>
      <c r="M253">
        <f>_xlfn.XLOOKUP(K253,[1]Inventory!$A$2:$A$501,[1]Inventory!$E$2:$E$501)</f>
        <v>86</v>
      </c>
      <c r="N253" t="str">
        <f>_xlfn.XLOOKUP([1]Transactions!C253,[1]Customers!$A$2:$A$201,[1]Customers!$G$2:$G$201)</f>
        <v>West Bengal</v>
      </c>
      <c r="O253" t="str">
        <f>_xlfn.XLOOKUP(C253,[1]Customers!$A$2:$A$201,[1]Customers!$H$2:$H$201)</f>
        <v>East</v>
      </c>
      <c r="P253" t="str">
        <f>_xlfn.XLOOKUP(C253,[1]Customers!$A$2:$A$201,[1]Customers!$F$2:$F$201)</f>
        <v>Kolkata</v>
      </c>
      <c r="Q253">
        <f>_xlfn.XLOOKUP(C253,[1]Customers!$A$2:$A$201,[1]Customers!$D$2:$D$201)</f>
        <v>36</v>
      </c>
      <c r="R253" t="str">
        <f>_xlfn.XLOOKUP([1]Transactions!C253,[1]Customers!$A$2:$A$201,[1]Customers!$C$2:$C$201)</f>
        <v>Female</v>
      </c>
      <c r="S253" t="str">
        <f>_xlfn.XLOOKUP(C253,[1]Customers!$A$2:$A$201,[1]Customers!$B$2:$B$201)</f>
        <v>Customer_88</v>
      </c>
      <c r="T253" t="str">
        <f>_xlfn.XLOOKUP(D253,[1]Products!$A$2:$A$101,[1]Products!$C$2:$C$101)</f>
        <v>Personal Care</v>
      </c>
      <c r="U253">
        <f>_xlfn.XLOOKUP(D253,[1]Products!$A$2:$A$101,[1]Products!$E$2:$E$101)</f>
        <v>308</v>
      </c>
      <c r="V253">
        <f>[1]Transactions!F253*[1]Transactions!U253</f>
        <v>308</v>
      </c>
    </row>
    <row r="254" spans="1:22" x14ac:dyDescent="0.3">
      <c r="A254">
        <v>253</v>
      </c>
      <c r="B254">
        <v>101</v>
      </c>
      <c r="C254">
        <v>55</v>
      </c>
      <c r="D254">
        <v>23</v>
      </c>
      <c r="E254">
        <v>23</v>
      </c>
      <c r="F254">
        <v>1</v>
      </c>
      <c r="G254">
        <v>396</v>
      </c>
      <c r="H254">
        <v>396</v>
      </c>
      <c r="I254">
        <v>60</v>
      </c>
      <c r="J254">
        <f>[1]Transactions!F254*[1]Transactions!G254</f>
        <v>396</v>
      </c>
      <c r="K254">
        <f>_xlfn.XLOOKUP([1]Transactions!D254,[1]Inventory!$C$2:$C$501,[1]Inventory!$A$2:$A$501)</f>
        <v>127</v>
      </c>
      <c r="L254">
        <f>_xlfn.XLOOKUP(K254,[1]Inventory!$A$2:$A$501,[1]Inventory!$D$2:$D$501)</f>
        <v>144</v>
      </c>
      <c r="M254">
        <f>_xlfn.XLOOKUP(K254,[1]Inventory!$A$2:$A$501,[1]Inventory!$E$2:$E$501)</f>
        <v>95</v>
      </c>
      <c r="N254" t="str">
        <f>_xlfn.XLOOKUP([1]Transactions!C254,[1]Customers!$A$2:$A$201,[1]Customers!$G$2:$G$201)</f>
        <v>Tamil Nadu</v>
      </c>
      <c r="O254" t="str">
        <f>_xlfn.XLOOKUP(C254,[1]Customers!$A$2:$A$201,[1]Customers!$H$2:$H$201)</f>
        <v>South</v>
      </c>
      <c r="P254" t="str">
        <f>_xlfn.XLOOKUP(C254,[1]Customers!$A$2:$A$201,[1]Customers!$F$2:$F$201)</f>
        <v>Chennai</v>
      </c>
      <c r="Q254">
        <f>_xlfn.XLOOKUP(C254,[1]Customers!$A$2:$A$201,[1]Customers!$D$2:$D$201)</f>
        <v>24</v>
      </c>
      <c r="R254" t="str">
        <f>_xlfn.XLOOKUP([1]Transactions!C254,[1]Customers!$A$2:$A$201,[1]Customers!$C$2:$C$201)</f>
        <v>Female</v>
      </c>
      <c r="S254" t="str">
        <f>_xlfn.XLOOKUP(C254,[1]Customers!$A$2:$A$201,[1]Customers!$B$2:$B$201)</f>
        <v>Customer_55</v>
      </c>
      <c r="T254" t="str">
        <f>_xlfn.XLOOKUP(D254,[1]Products!$A$2:$A$101,[1]Products!$C$2:$C$101)</f>
        <v>Grocery</v>
      </c>
      <c r="U254">
        <f>_xlfn.XLOOKUP(D254,[1]Products!$A$2:$A$101,[1]Products!$E$2:$E$101)</f>
        <v>370</v>
      </c>
      <c r="V254">
        <f>[1]Transactions!F254*[1]Transactions!U254</f>
        <v>370</v>
      </c>
    </row>
    <row r="255" spans="1:22" x14ac:dyDescent="0.3">
      <c r="A255">
        <v>254</v>
      </c>
      <c r="B255">
        <v>13</v>
      </c>
      <c r="C255">
        <v>187</v>
      </c>
      <c r="D255">
        <v>78</v>
      </c>
      <c r="E255">
        <v>25</v>
      </c>
      <c r="F255">
        <v>3</v>
      </c>
      <c r="G255">
        <v>447</v>
      </c>
      <c r="H255">
        <v>1341</v>
      </c>
      <c r="I255">
        <v>22</v>
      </c>
      <c r="J255">
        <f>[1]Transactions!F255*[1]Transactions!G255</f>
        <v>1341</v>
      </c>
      <c r="K255">
        <f>_xlfn.XLOOKUP([1]Transactions!D255,[1]Inventory!$C$2:$C$501,[1]Inventory!$A$2:$A$501)</f>
        <v>41</v>
      </c>
      <c r="L255">
        <f>_xlfn.XLOOKUP(K255,[1]Inventory!$A$2:$A$501,[1]Inventory!$D$2:$D$501)</f>
        <v>262</v>
      </c>
      <c r="M255">
        <f>_xlfn.XLOOKUP(K255,[1]Inventory!$A$2:$A$501,[1]Inventory!$E$2:$E$501)</f>
        <v>25</v>
      </c>
      <c r="N255" t="str">
        <f>_xlfn.XLOOKUP([1]Transactions!C255,[1]Customers!$A$2:$A$201,[1]Customers!$G$2:$G$201)</f>
        <v>Rajasthan</v>
      </c>
      <c r="O255" t="str">
        <f>_xlfn.XLOOKUP(C255,[1]Customers!$A$2:$A$201,[1]Customers!$H$2:$H$201)</f>
        <v>North</v>
      </c>
      <c r="P255" t="str">
        <f>_xlfn.XLOOKUP(C255,[1]Customers!$A$2:$A$201,[1]Customers!$F$2:$F$201)</f>
        <v>Jaipur</v>
      </c>
      <c r="Q255">
        <f>_xlfn.XLOOKUP(C255,[1]Customers!$A$2:$A$201,[1]Customers!$D$2:$D$201)</f>
        <v>49</v>
      </c>
      <c r="R255" t="str">
        <f>_xlfn.XLOOKUP([1]Transactions!C255,[1]Customers!$A$2:$A$201,[1]Customers!$C$2:$C$201)</f>
        <v>Female</v>
      </c>
      <c r="S255" t="str">
        <f>_xlfn.XLOOKUP(C255,[1]Customers!$A$2:$A$201,[1]Customers!$B$2:$B$201)</f>
        <v>Customer_187</v>
      </c>
      <c r="T255" t="str">
        <f>_xlfn.XLOOKUP(D255,[1]Products!$A$2:$A$101,[1]Products!$C$2:$C$101)</f>
        <v>Grocery</v>
      </c>
      <c r="U255">
        <f>_xlfn.XLOOKUP(D255,[1]Products!$A$2:$A$101,[1]Products!$E$2:$E$101)</f>
        <v>88</v>
      </c>
      <c r="V255">
        <f>[1]Transactions!F255*[1]Transactions!U255</f>
        <v>264</v>
      </c>
    </row>
    <row r="256" spans="1:22" x14ac:dyDescent="0.3">
      <c r="A256">
        <v>255</v>
      </c>
      <c r="B256">
        <v>135</v>
      </c>
      <c r="C256">
        <v>189</v>
      </c>
      <c r="D256">
        <v>62</v>
      </c>
      <c r="E256">
        <v>40</v>
      </c>
      <c r="F256">
        <v>4</v>
      </c>
      <c r="G256">
        <v>143</v>
      </c>
      <c r="H256">
        <v>572</v>
      </c>
      <c r="I256">
        <v>40</v>
      </c>
      <c r="J256">
        <f>[1]Transactions!F256*[1]Transactions!G256</f>
        <v>572</v>
      </c>
      <c r="K256">
        <f>_xlfn.XLOOKUP([1]Transactions!D256,[1]Inventory!$C$2:$C$501,[1]Inventory!$A$2:$A$501)</f>
        <v>26</v>
      </c>
      <c r="L256">
        <f>_xlfn.XLOOKUP(K256,[1]Inventory!$A$2:$A$501,[1]Inventory!$D$2:$D$501)</f>
        <v>449</v>
      </c>
      <c r="M256">
        <f>_xlfn.XLOOKUP(K256,[1]Inventory!$A$2:$A$501,[1]Inventory!$E$2:$E$501)</f>
        <v>132</v>
      </c>
      <c r="N256" t="str">
        <f>_xlfn.XLOOKUP([1]Transactions!C256,[1]Customers!$A$2:$A$201,[1]Customers!$G$2:$G$201)</f>
        <v>Delhi</v>
      </c>
      <c r="O256" t="str">
        <f>_xlfn.XLOOKUP(C256,[1]Customers!$A$2:$A$201,[1]Customers!$H$2:$H$201)</f>
        <v>North</v>
      </c>
      <c r="P256" t="str">
        <f>_xlfn.XLOOKUP(C256,[1]Customers!$A$2:$A$201,[1]Customers!$F$2:$F$201)</f>
        <v>Delhi</v>
      </c>
      <c r="Q256">
        <f>_xlfn.XLOOKUP(C256,[1]Customers!$A$2:$A$201,[1]Customers!$D$2:$D$201)</f>
        <v>20</v>
      </c>
      <c r="R256" t="str">
        <f>_xlfn.XLOOKUP([1]Transactions!C256,[1]Customers!$A$2:$A$201,[1]Customers!$C$2:$C$201)</f>
        <v>Female</v>
      </c>
      <c r="S256" t="str">
        <f>_xlfn.XLOOKUP(C256,[1]Customers!$A$2:$A$201,[1]Customers!$B$2:$B$201)</f>
        <v>Customer_189</v>
      </c>
      <c r="T256" t="str">
        <f>_xlfn.XLOOKUP(D256,[1]Products!$A$2:$A$101,[1]Products!$C$2:$C$101)</f>
        <v>Snacks</v>
      </c>
      <c r="U256">
        <f>_xlfn.XLOOKUP(D256,[1]Products!$A$2:$A$101,[1]Products!$E$2:$E$101)</f>
        <v>32</v>
      </c>
      <c r="V256">
        <f>[1]Transactions!F256*[1]Transactions!U256</f>
        <v>128</v>
      </c>
    </row>
    <row r="257" spans="1:22" x14ac:dyDescent="0.3">
      <c r="A257">
        <v>256</v>
      </c>
      <c r="B257">
        <v>169</v>
      </c>
      <c r="C257">
        <v>87</v>
      </c>
      <c r="D257">
        <v>98</v>
      </c>
      <c r="E257">
        <v>4</v>
      </c>
      <c r="F257">
        <v>1</v>
      </c>
      <c r="G257">
        <v>471</v>
      </c>
      <c r="H257">
        <v>471</v>
      </c>
      <c r="I257">
        <v>57</v>
      </c>
      <c r="J257">
        <f>[1]Transactions!F257*[1]Transactions!G257</f>
        <v>471</v>
      </c>
      <c r="K257">
        <f>_xlfn.XLOOKUP([1]Transactions!D257,[1]Inventory!$C$2:$C$501,[1]Inventory!$A$2:$A$501)</f>
        <v>139</v>
      </c>
      <c r="L257">
        <f>_xlfn.XLOOKUP(K257,[1]Inventory!$A$2:$A$501,[1]Inventory!$D$2:$D$501)</f>
        <v>374</v>
      </c>
      <c r="M257">
        <f>_xlfn.XLOOKUP(K257,[1]Inventory!$A$2:$A$501,[1]Inventory!$E$2:$E$501)</f>
        <v>174</v>
      </c>
      <c r="N257" t="str">
        <f>_xlfn.XLOOKUP([1]Transactions!C257,[1]Customers!$A$2:$A$201,[1]Customers!$G$2:$G$201)</f>
        <v>Telangana</v>
      </c>
      <c r="O257" t="str">
        <f>_xlfn.XLOOKUP(C257,[1]Customers!$A$2:$A$201,[1]Customers!$H$2:$H$201)</f>
        <v>South</v>
      </c>
      <c r="P257" t="str">
        <f>_xlfn.XLOOKUP(C257,[1]Customers!$A$2:$A$201,[1]Customers!$F$2:$F$201)</f>
        <v>Hyderabad</v>
      </c>
      <c r="Q257">
        <f>_xlfn.XLOOKUP(C257,[1]Customers!$A$2:$A$201,[1]Customers!$D$2:$D$201)</f>
        <v>34</v>
      </c>
      <c r="R257" t="str">
        <f>_xlfn.XLOOKUP([1]Transactions!C257,[1]Customers!$A$2:$A$201,[1]Customers!$C$2:$C$201)</f>
        <v>Female</v>
      </c>
      <c r="S257" t="str">
        <f>_xlfn.XLOOKUP(C257,[1]Customers!$A$2:$A$201,[1]Customers!$B$2:$B$201)</f>
        <v>Customer_87</v>
      </c>
      <c r="T257" t="str">
        <f>_xlfn.XLOOKUP(D257,[1]Products!$A$2:$A$101,[1]Products!$C$2:$C$101)</f>
        <v>Snacks</v>
      </c>
      <c r="U257">
        <f>_xlfn.XLOOKUP(D257,[1]Products!$A$2:$A$101,[1]Products!$E$2:$E$101)</f>
        <v>460</v>
      </c>
      <c r="V257">
        <f>[1]Transactions!F257*[1]Transactions!U257</f>
        <v>460</v>
      </c>
    </row>
    <row r="258" spans="1:22" x14ac:dyDescent="0.3">
      <c r="A258">
        <v>257</v>
      </c>
      <c r="B258">
        <v>4</v>
      </c>
      <c r="C258">
        <v>120</v>
      </c>
      <c r="D258">
        <v>19</v>
      </c>
      <c r="E258">
        <v>38</v>
      </c>
      <c r="F258">
        <v>2</v>
      </c>
      <c r="G258">
        <v>71</v>
      </c>
      <c r="H258">
        <v>142</v>
      </c>
      <c r="I258">
        <v>38</v>
      </c>
      <c r="J258">
        <f>[1]Transactions!F258*[1]Transactions!G258</f>
        <v>142</v>
      </c>
      <c r="K258">
        <f>_xlfn.XLOOKUP([1]Transactions!D258,[1]Inventory!$C$2:$C$501,[1]Inventory!$A$2:$A$501)</f>
        <v>7</v>
      </c>
      <c r="L258">
        <f>_xlfn.XLOOKUP(K258,[1]Inventory!$A$2:$A$501,[1]Inventory!$D$2:$D$501)</f>
        <v>88</v>
      </c>
      <c r="M258">
        <f>_xlfn.XLOOKUP(K258,[1]Inventory!$A$2:$A$501,[1]Inventory!$E$2:$E$501)</f>
        <v>158</v>
      </c>
      <c r="N258" t="str">
        <f>_xlfn.XLOOKUP([1]Transactions!C258,[1]Customers!$A$2:$A$201,[1]Customers!$G$2:$G$201)</f>
        <v>Gujarat</v>
      </c>
      <c r="O258" t="str">
        <f>_xlfn.XLOOKUP(C258,[1]Customers!$A$2:$A$201,[1]Customers!$H$2:$H$201)</f>
        <v>West</v>
      </c>
      <c r="P258" t="str">
        <f>_xlfn.XLOOKUP(C258,[1]Customers!$A$2:$A$201,[1]Customers!$F$2:$F$201)</f>
        <v>Ahmedabad</v>
      </c>
      <c r="Q258">
        <f>_xlfn.XLOOKUP(C258,[1]Customers!$A$2:$A$201,[1]Customers!$D$2:$D$201)</f>
        <v>42</v>
      </c>
      <c r="R258" t="str">
        <f>_xlfn.XLOOKUP([1]Transactions!C258,[1]Customers!$A$2:$A$201,[1]Customers!$C$2:$C$201)</f>
        <v>Female</v>
      </c>
      <c r="S258" t="str">
        <f>_xlfn.XLOOKUP(C258,[1]Customers!$A$2:$A$201,[1]Customers!$B$2:$B$201)</f>
        <v>Customer_120</v>
      </c>
      <c r="T258" t="str">
        <f>_xlfn.XLOOKUP(D258,[1]Products!$A$2:$A$101,[1]Products!$C$2:$C$101)</f>
        <v>Snacks</v>
      </c>
      <c r="U258">
        <f>_xlfn.XLOOKUP(D258,[1]Products!$A$2:$A$101,[1]Products!$E$2:$E$101)</f>
        <v>442</v>
      </c>
      <c r="V258">
        <f>[1]Transactions!F258*[1]Transactions!U258</f>
        <v>884</v>
      </c>
    </row>
    <row r="259" spans="1:22" x14ac:dyDescent="0.3">
      <c r="A259">
        <v>258</v>
      </c>
      <c r="B259">
        <v>53</v>
      </c>
      <c r="C259">
        <v>53</v>
      </c>
      <c r="D259">
        <v>15</v>
      </c>
      <c r="E259">
        <v>8</v>
      </c>
      <c r="F259">
        <v>1</v>
      </c>
      <c r="G259">
        <v>137</v>
      </c>
      <c r="H259">
        <v>137</v>
      </c>
      <c r="I259">
        <v>29</v>
      </c>
      <c r="J259">
        <f>[1]Transactions!F259*[1]Transactions!G259</f>
        <v>137</v>
      </c>
      <c r="K259">
        <f>_xlfn.XLOOKUP([1]Transactions!D259,[1]Inventory!$C$2:$C$501,[1]Inventory!$A$2:$A$501)</f>
        <v>407</v>
      </c>
      <c r="L259">
        <f>_xlfn.XLOOKUP(K259,[1]Inventory!$A$2:$A$501,[1]Inventory!$D$2:$D$501)</f>
        <v>248</v>
      </c>
      <c r="M259">
        <f>_xlfn.XLOOKUP(K259,[1]Inventory!$A$2:$A$501,[1]Inventory!$E$2:$E$501)</f>
        <v>87</v>
      </c>
      <c r="N259" t="str">
        <f>_xlfn.XLOOKUP([1]Transactions!C259,[1]Customers!$A$2:$A$201,[1]Customers!$G$2:$G$201)</f>
        <v>Maharashtra</v>
      </c>
      <c r="O259" t="str">
        <f>_xlfn.XLOOKUP(C259,[1]Customers!$A$2:$A$201,[1]Customers!$H$2:$H$201)</f>
        <v>West</v>
      </c>
      <c r="P259" t="str">
        <f>_xlfn.XLOOKUP(C259,[1]Customers!$A$2:$A$201,[1]Customers!$F$2:$F$201)</f>
        <v>Pune</v>
      </c>
      <c r="Q259">
        <f>_xlfn.XLOOKUP(C259,[1]Customers!$A$2:$A$201,[1]Customers!$D$2:$D$201)</f>
        <v>35</v>
      </c>
      <c r="R259" t="str">
        <f>_xlfn.XLOOKUP([1]Transactions!C259,[1]Customers!$A$2:$A$201,[1]Customers!$C$2:$C$201)</f>
        <v>Male</v>
      </c>
      <c r="S259" t="str">
        <f>_xlfn.XLOOKUP(C259,[1]Customers!$A$2:$A$201,[1]Customers!$B$2:$B$201)</f>
        <v>Customer_53</v>
      </c>
      <c r="T259" t="str">
        <f>_xlfn.XLOOKUP(D259,[1]Products!$A$2:$A$101,[1]Products!$C$2:$C$101)</f>
        <v>Snacks</v>
      </c>
      <c r="U259">
        <f>_xlfn.XLOOKUP(D259,[1]Products!$A$2:$A$101,[1]Products!$E$2:$E$101)</f>
        <v>214</v>
      </c>
      <c r="V259">
        <f>[1]Transactions!F259*[1]Transactions!U259</f>
        <v>214</v>
      </c>
    </row>
    <row r="260" spans="1:22" x14ac:dyDescent="0.3">
      <c r="A260">
        <v>259</v>
      </c>
      <c r="B260">
        <v>30</v>
      </c>
      <c r="C260">
        <v>67</v>
      </c>
      <c r="D260">
        <v>32</v>
      </c>
      <c r="E260">
        <v>10</v>
      </c>
      <c r="F260">
        <v>5</v>
      </c>
      <c r="G260">
        <v>500</v>
      </c>
      <c r="H260">
        <v>2500</v>
      </c>
      <c r="I260">
        <v>48</v>
      </c>
      <c r="J260">
        <f>[1]Transactions!F260*[1]Transactions!G260</f>
        <v>2500</v>
      </c>
      <c r="K260">
        <f>_xlfn.XLOOKUP([1]Transactions!D260,[1]Inventory!$C$2:$C$501,[1]Inventory!$A$2:$A$501)</f>
        <v>27</v>
      </c>
      <c r="L260">
        <f>_xlfn.XLOOKUP(K260,[1]Inventory!$A$2:$A$501,[1]Inventory!$D$2:$D$501)</f>
        <v>76</v>
      </c>
      <c r="M260">
        <f>_xlfn.XLOOKUP(K260,[1]Inventory!$A$2:$A$501,[1]Inventory!$E$2:$E$501)</f>
        <v>128</v>
      </c>
      <c r="N260" t="str">
        <f>_xlfn.XLOOKUP([1]Transactions!C260,[1]Customers!$A$2:$A$201,[1]Customers!$G$2:$G$201)</f>
        <v>Rajasthan</v>
      </c>
      <c r="O260" t="str">
        <f>_xlfn.XLOOKUP(C260,[1]Customers!$A$2:$A$201,[1]Customers!$H$2:$H$201)</f>
        <v>North</v>
      </c>
      <c r="P260" t="str">
        <f>_xlfn.XLOOKUP(C260,[1]Customers!$A$2:$A$201,[1]Customers!$F$2:$F$201)</f>
        <v>Jaipur</v>
      </c>
      <c r="Q260">
        <f>_xlfn.XLOOKUP(C260,[1]Customers!$A$2:$A$201,[1]Customers!$D$2:$D$201)</f>
        <v>40</v>
      </c>
      <c r="R260" t="str">
        <f>_xlfn.XLOOKUP([1]Transactions!C260,[1]Customers!$A$2:$A$201,[1]Customers!$C$2:$C$201)</f>
        <v>Male</v>
      </c>
      <c r="S260" t="str">
        <f>_xlfn.XLOOKUP(C260,[1]Customers!$A$2:$A$201,[1]Customers!$B$2:$B$201)</f>
        <v>Customer_67</v>
      </c>
      <c r="T260" t="str">
        <f>_xlfn.XLOOKUP(D260,[1]Products!$A$2:$A$101,[1]Products!$C$2:$C$101)</f>
        <v>Snacks</v>
      </c>
      <c r="U260">
        <f>_xlfn.XLOOKUP(D260,[1]Products!$A$2:$A$101,[1]Products!$E$2:$E$101)</f>
        <v>366</v>
      </c>
      <c r="V260">
        <f>[1]Transactions!F260*[1]Transactions!U260</f>
        <v>1830</v>
      </c>
    </row>
    <row r="261" spans="1:22" x14ac:dyDescent="0.3">
      <c r="A261">
        <v>260</v>
      </c>
      <c r="B261">
        <v>18</v>
      </c>
      <c r="C261">
        <v>188</v>
      </c>
      <c r="D261">
        <v>76</v>
      </c>
      <c r="E261">
        <v>4</v>
      </c>
      <c r="F261">
        <v>4</v>
      </c>
      <c r="G261">
        <v>440</v>
      </c>
      <c r="H261">
        <v>1760</v>
      </c>
      <c r="I261">
        <v>23</v>
      </c>
      <c r="J261">
        <f>[1]Transactions!F261*[1]Transactions!G261</f>
        <v>1760</v>
      </c>
      <c r="K261">
        <f>_xlfn.XLOOKUP([1]Transactions!D261,[1]Inventory!$C$2:$C$501,[1]Inventory!$A$2:$A$501)</f>
        <v>29</v>
      </c>
      <c r="L261">
        <f>_xlfn.XLOOKUP(K261,[1]Inventory!$A$2:$A$501,[1]Inventory!$D$2:$D$501)</f>
        <v>328</v>
      </c>
      <c r="M261">
        <f>_xlfn.XLOOKUP(K261,[1]Inventory!$A$2:$A$501,[1]Inventory!$E$2:$E$501)</f>
        <v>97</v>
      </c>
      <c r="N261" t="str">
        <f>_xlfn.XLOOKUP([1]Transactions!C261,[1]Customers!$A$2:$A$201,[1]Customers!$G$2:$G$201)</f>
        <v>Karnataka</v>
      </c>
      <c r="O261" t="str">
        <f>_xlfn.XLOOKUP(C261,[1]Customers!$A$2:$A$201,[1]Customers!$H$2:$H$201)</f>
        <v>South</v>
      </c>
      <c r="P261" t="str">
        <f>_xlfn.XLOOKUP(C261,[1]Customers!$A$2:$A$201,[1]Customers!$F$2:$F$201)</f>
        <v>Bangalore</v>
      </c>
      <c r="Q261">
        <f>_xlfn.XLOOKUP(C261,[1]Customers!$A$2:$A$201,[1]Customers!$D$2:$D$201)</f>
        <v>29</v>
      </c>
      <c r="R261" t="str">
        <f>_xlfn.XLOOKUP([1]Transactions!C261,[1]Customers!$A$2:$A$201,[1]Customers!$C$2:$C$201)</f>
        <v>Female</v>
      </c>
      <c r="S261" t="str">
        <f>_xlfn.XLOOKUP(C261,[1]Customers!$A$2:$A$201,[1]Customers!$B$2:$B$201)</f>
        <v>Customer_188</v>
      </c>
      <c r="T261" t="str">
        <f>_xlfn.XLOOKUP(D261,[1]Products!$A$2:$A$101,[1]Products!$C$2:$C$101)</f>
        <v>Dairy</v>
      </c>
      <c r="U261">
        <f>_xlfn.XLOOKUP(D261,[1]Products!$A$2:$A$101,[1]Products!$E$2:$E$101)</f>
        <v>164</v>
      </c>
      <c r="V261">
        <f>[1]Transactions!F261*[1]Transactions!U261</f>
        <v>656</v>
      </c>
    </row>
    <row r="262" spans="1:22" x14ac:dyDescent="0.3">
      <c r="A262">
        <v>261</v>
      </c>
      <c r="B262">
        <v>7</v>
      </c>
      <c r="C262">
        <v>47</v>
      </c>
      <c r="D262">
        <v>81</v>
      </c>
      <c r="E262">
        <v>15</v>
      </c>
      <c r="F262">
        <v>5</v>
      </c>
      <c r="G262">
        <v>499</v>
      </c>
      <c r="H262">
        <v>2495</v>
      </c>
      <c r="I262">
        <v>58</v>
      </c>
      <c r="J262">
        <f>[1]Transactions!F262*[1]Transactions!G262</f>
        <v>2495</v>
      </c>
      <c r="K262">
        <f>_xlfn.XLOOKUP([1]Transactions!D262,[1]Inventory!$C$2:$C$501,[1]Inventory!$A$2:$A$501)</f>
        <v>80</v>
      </c>
      <c r="L262">
        <f>_xlfn.XLOOKUP(K262,[1]Inventory!$A$2:$A$501,[1]Inventory!$D$2:$D$501)</f>
        <v>9</v>
      </c>
      <c r="M262">
        <f>_xlfn.XLOOKUP(K262,[1]Inventory!$A$2:$A$501,[1]Inventory!$E$2:$E$501)</f>
        <v>4</v>
      </c>
      <c r="N262" t="str">
        <f>_xlfn.XLOOKUP([1]Transactions!C262,[1]Customers!$A$2:$A$201,[1]Customers!$G$2:$G$201)</f>
        <v>West Bengal</v>
      </c>
      <c r="O262" t="str">
        <f>_xlfn.XLOOKUP(C262,[1]Customers!$A$2:$A$201,[1]Customers!$H$2:$H$201)</f>
        <v>East</v>
      </c>
      <c r="P262" t="str">
        <f>_xlfn.XLOOKUP(C262,[1]Customers!$A$2:$A$201,[1]Customers!$F$2:$F$201)</f>
        <v>Kolkata</v>
      </c>
      <c r="Q262">
        <f>_xlfn.XLOOKUP(C262,[1]Customers!$A$2:$A$201,[1]Customers!$D$2:$D$201)</f>
        <v>33</v>
      </c>
      <c r="R262" t="str">
        <f>_xlfn.XLOOKUP([1]Transactions!C262,[1]Customers!$A$2:$A$201,[1]Customers!$C$2:$C$201)</f>
        <v>Male</v>
      </c>
      <c r="S262" t="str">
        <f>_xlfn.XLOOKUP(C262,[1]Customers!$A$2:$A$201,[1]Customers!$B$2:$B$201)</f>
        <v>Customer_47</v>
      </c>
      <c r="T262" t="str">
        <f>_xlfn.XLOOKUP(D262,[1]Products!$A$2:$A$101,[1]Products!$C$2:$C$101)</f>
        <v>Beverages</v>
      </c>
      <c r="U262">
        <f>_xlfn.XLOOKUP(D262,[1]Products!$A$2:$A$101,[1]Products!$E$2:$E$101)</f>
        <v>262</v>
      </c>
      <c r="V262">
        <f>[1]Transactions!F262*[1]Transactions!U262</f>
        <v>1310</v>
      </c>
    </row>
    <row r="263" spans="1:22" x14ac:dyDescent="0.3">
      <c r="A263">
        <v>262</v>
      </c>
      <c r="B263">
        <v>27</v>
      </c>
      <c r="C263">
        <v>48</v>
      </c>
      <c r="D263">
        <v>21</v>
      </c>
      <c r="E263">
        <v>23</v>
      </c>
      <c r="F263">
        <v>4</v>
      </c>
      <c r="G263">
        <v>442</v>
      </c>
      <c r="H263">
        <v>1768</v>
      </c>
      <c r="I263">
        <v>22</v>
      </c>
      <c r="J263">
        <f>[1]Transactions!F263*[1]Transactions!G263</f>
        <v>1768</v>
      </c>
      <c r="K263">
        <f>_xlfn.XLOOKUP([1]Transactions!D263,[1]Inventory!$C$2:$C$501,[1]Inventory!$A$2:$A$501)</f>
        <v>126</v>
      </c>
      <c r="L263">
        <f>_xlfn.XLOOKUP(K263,[1]Inventory!$A$2:$A$501,[1]Inventory!$D$2:$D$501)</f>
        <v>52</v>
      </c>
      <c r="M263">
        <f>_xlfn.XLOOKUP(K263,[1]Inventory!$A$2:$A$501,[1]Inventory!$E$2:$E$501)</f>
        <v>139</v>
      </c>
      <c r="N263" t="str">
        <f>_xlfn.XLOOKUP([1]Transactions!C263,[1]Customers!$A$2:$A$201,[1]Customers!$G$2:$G$201)</f>
        <v>Gujarat</v>
      </c>
      <c r="O263" t="str">
        <f>_xlfn.XLOOKUP(C263,[1]Customers!$A$2:$A$201,[1]Customers!$H$2:$H$201)</f>
        <v>West</v>
      </c>
      <c r="P263" t="str">
        <f>_xlfn.XLOOKUP(C263,[1]Customers!$A$2:$A$201,[1]Customers!$F$2:$F$201)</f>
        <v>Ahmedabad</v>
      </c>
      <c r="Q263">
        <f>_xlfn.XLOOKUP(C263,[1]Customers!$A$2:$A$201,[1]Customers!$D$2:$D$201)</f>
        <v>30</v>
      </c>
      <c r="R263" t="str">
        <f>_xlfn.XLOOKUP([1]Transactions!C263,[1]Customers!$A$2:$A$201,[1]Customers!$C$2:$C$201)</f>
        <v>Male</v>
      </c>
      <c r="S263" t="str">
        <f>_xlfn.XLOOKUP(C263,[1]Customers!$A$2:$A$201,[1]Customers!$B$2:$B$201)</f>
        <v>Customer_48</v>
      </c>
      <c r="T263" t="str">
        <f>_xlfn.XLOOKUP(D263,[1]Products!$A$2:$A$101,[1]Products!$C$2:$C$101)</f>
        <v>Beverages</v>
      </c>
      <c r="U263">
        <f>_xlfn.XLOOKUP(D263,[1]Products!$A$2:$A$101,[1]Products!$E$2:$E$101)</f>
        <v>327</v>
      </c>
      <c r="V263">
        <f>[1]Transactions!F263*[1]Transactions!U263</f>
        <v>1308</v>
      </c>
    </row>
    <row r="264" spans="1:22" x14ac:dyDescent="0.3">
      <c r="A264">
        <v>263</v>
      </c>
      <c r="B264">
        <v>30</v>
      </c>
      <c r="C264">
        <v>191</v>
      </c>
      <c r="D264">
        <v>37</v>
      </c>
      <c r="E264">
        <v>43</v>
      </c>
      <c r="F264">
        <v>3</v>
      </c>
      <c r="G264">
        <v>70</v>
      </c>
      <c r="H264">
        <v>210</v>
      </c>
      <c r="I264">
        <v>19</v>
      </c>
      <c r="J264">
        <f>[1]Transactions!F264*[1]Transactions!G264</f>
        <v>210</v>
      </c>
      <c r="K264">
        <f>_xlfn.XLOOKUP([1]Transactions!D264,[1]Inventory!$C$2:$C$501,[1]Inventory!$A$2:$A$501)</f>
        <v>23</v>
      </c>
      <c r="L264">
        <f>_xlfn.XLOOKUP(K264,[1]Inventory!$A$2:$A$501,[1]Inventory!$D$2:$D$501)</f>
        <v>485</v>
      </c>
      <c r="M264">
        <f>_xlfn.XLOOKUP(K264,[1]Inventory!$A$2:$A$501,[1]Inventory!$E$2:$E$501)</f>
        <v>129</v>
      </c>
      <c r="N264" t="str">
        <f>_xlfn.XLOOKUP([1]Transactions!C264,[1]Customers!$A$2:$A$201,[1]Customers!$G$2:$G$201)</f>
        <v>Karnataka</v>
      </c>
      <c r="O264" t="str">
        <f>_xlfn.XLOOKUP(C264,[1]Customers!$A$2:$A$201,[1]Customers!$H$2:$H$201)</f>
        <v>South</v>
      </c>
      <c r="P264" t="str">
        <f>_xlfn.XLOOKUP(C264,[1]Customers!$A$2:$A$201,[1]Customers!$F$2:$F$201)</f>
        <v>Bangalore</v>
      </c>
      <c r="Q264">
        <f>_xlfn.XLOOKUP(C264,[1]Customers!$A$2:$A$201,[1]Customers!$D$2:$D$201)</f>
        <v>18</v>
      </c>
      <c r="R264" t="str">
        <f>_xlfn.XLOOKUP([1]Transactions!C264,[1]Customers!$A$2:$A$201,[1]Customers!$C$2:$C$201)</f>
        <v>Female</v>
      </c>
      <c r="S264" t="str">
        <f>_xlfn.XLOOKUP(C264,[1]Customers!$A$2:$A$201,[1]Customers!$B$2:$B$201)</f>
        <v>Customer_191</v>
      </c>
      <c r="T264" t="str">
        <f>_xlfn.XLOOKUP(D264,[1]Products!$A$2:$A$101,[1]Products!$C$2:$C$101)</f>
        <v>Grocery</v>
      </c>
      <c r="U264">
        <f>_xlfn.XLOOKUP(D264,[1]Products!$A$2:$A$101,[1]Products!$E$2:$E$101)</f>
        <v>210</v>
      </c>
      <c r="V264">
        <f>[1]Transactions!F264*[1]Transactions!U264</f>
        <v>630</v>
      </c>
    </row>
    <row r="265" spans="1:22" x14ac:dyDescent="0.3">
      <c r="A265">
        <v>264</v>
      </c>
      <c r="B265">
        <v>178</v>
      </c>
      <c r="C265">
        <v>180</v>
      </c>
      <c r="D265">
        <v>76</v>
      </c>
      <c r="E265">
        <v>18</v>
      </c>
      <c r="F265">
        <v>5</v>
      </c>
      <c r="G265">
        <v>195</v>
      </c>
      <c r="H265">
        <v>975</v>
      </c>
      <c r="I265">
        <v>10</v>
      </c>
      <c r="J265">
        <f>[1]Transactions!F265*[1]Transactions!G265</f>
        <v>975</v>
      </c>
      <c r="K265">
        <f>_xlfn.XLOOKUP([1]Transactions!D265,[1]Inventory!$C$2:$C$501,[1]Inventory!$A$2:$A$501)</f>
        <v>29</v>
      </c>
      <c r="L265">
        <f>_xlfn.XLOOKUP(K265,[1]Inventory!$A$2:$A$501,[1]Inventory!$D$2:$D$501)</f>
        <v>328</v>
      </c>
      <c r="M265">
        <f>_xlfn.XLOOKUP(K265,[1]Inventory!$A$2:$A$501,[1]Inventory!$E$2:$E$501)</f>
        <v>97</v>
      </c>
      <c r="N265" t="str">
        <f>_xlfn.XLOOKUP([1]Transactions!C265,[1]Customers!$A$2:$A$201,[1]Customers!$G$2:$G$201)</f>
        <v>Delhi</v>
      </c>
      <c r="O265" t="str">
        <f>_xlfn.XLOOKUP(C265,[1]Customers!$A$2:$A$201,[1]Customers!$H$2:$H$201)</f>
        <v>North</v>
      </c>
      <c r="P265" t="str">
        <f>_xlfn.XLOOKUP(C265,[1]Customers!$A$2:$A$201,[1]Customers!$F$2:$F$201)</f>
        <v>Delhi</v>
      </c>
      <c r="Q265">
        <f>_xlfn.XLOOKUP(C265,[1]Customers!$A$2:$A$201,[1]Customers!$D$2:$D$201)</f>
        <v>30</v>
      </c>
      <c r="R265" t="str">
        <f>_xlfn.XLOOKUP([1]Transactions!C265,[1]Customers!$A$2:$A$201,[1]Customers!$C$2:$C$201)</f>
        <v>Female</v>
      </c>
      <c r="S265" t="str">
        <f>_xlfn.XLOOKUP(C265,[1]Customers!$A$2:$A$201,[1]Customers!$B$2:$B$201)</f>
        <v>Customer_180</v>
      </c>
      <c r="T265" t="str">
        <f>_xlfn.XLOOKUP(D265,[1]Products!$A$2:$A$101,[1]Products!$C$2:$C$101)</f>
        <v>Dairy</v>
      </c>
      <c r="U265">
        <f>_xlfn.XLOOKUP(D265,[1]Products!$A$2:$A$101,[1]Products!$E$2:$E$101)</f>
        <v>164</v>
      </c>
      <c r="V265">
        <f>[1]Transactions!F265*[1]Transactions!U265</f>
        <v>820</v>
      </c>
    </row>
    <row r="266" spans="1:22" x14ac:dyDescent="0.3">
      <c r="A266">
        <v>265</v>
      </c>
      <c r="B266">
        <v>120</v>
      </c>
      <c r="C266">
        <v>75</v>
      </c>
      <c r="D266">
        <v>30</v>
      </c>
      <c r="E266">
        <v>26</v>
      </c>
      <c r="F266">
        <v>4</v>
      </c>
      <c r="G266">
        <v>158</v>
      </c>
      <c r="H266">
        <v>632</v>
      </c>
      <c r="I266">
        <v>18</v>
      </c>
      <c r="J266">
        <f>[1]Transactions!F266*[1]Transactions!G266</f>
        <v>632</v>
      </c>
      <c r="K266">
        <f>_xlfn.XLOOKUP([1]Transactions!D266,[1]Inventory!$C$2:$C$501,[1]Inventory!$A$2:$A$501)</f>
        <v>68</v>
      </c>
      <c r="L266">
        <f>_xlfn.XLOOKUP(K266,[1]Inventory!$A$2:$A$501,[1]Inventory!$D$2:$D$501)</f>
        <v>179</v>
      </c>
      <c r="M266">
        <f>_xlfn.XLOOKUP(K266,[1]Inventory!$A$2:$A$501,[1]Inventory!$E$2:$E$501)</f>
        <v>103</v>
      </c>
      <c r="N266" t="str">
        <f>_xlfn.XLOOKUP([1]Transactions!C266,[1]Customers!$A$2:$A$201,[1]Customers!$G$2:$G$201)</f>
        <v>Rajasthan</v>
      </c>
      <c r="O266" t="str">
        <f>_xlfn.XLOOKUP(C266,[1]Customers!$A$2:$A$201,[1]Customers!$H$2:$H$201)</f>
        <v>North</v>
      </c>
      <c r="P266" t="str">
        <f>_xlfn.XLOOKUP(C266,[1]Customers!$A$2:$A$201,[1]Customers!$F$2:$F$201)</f>
        <v>Jaipur</v>
      </c>
      <c r="Q266">
        <f>_xlfn.XLOOKUP(C266,[1]Customers!$A$2:$A$201,[1]Customers!$D$2:$D$201)</f>
        <v>35</v>
      </c>
      <c r="R266" t="str">
        <f>_xlfn.XLOOKUP([1]Transactions!C266,[1]Customers!$A$2:$A$201,[1]Customers!$C$2:$C$201)</f>
        <v>Male</v>
      </c>
      <c r="S266" t="str">
        <f>_xlfn.XLOOKUP(C266,[1]Customers!$A$2:$A$201,[1]Customers!$B$2:$B$201)</f>
        <v>Customer_75</v>
      </c>
      <c r="T266" t="str">
        <f>_xlfn.XLOOKUP(D266,[1]Products!$A$2:$A$101,[1]Products!$C$2:$C$101)</f>
        <v>Beverages</v>
      </c>
      <c r="U266">
        <f>_xlfn.XLOOKUP(D266,[1]Products!$A$2:$A$101,[1]Products!$E$2:$E$101)</f>
        <v>230</v>
      </c>
      <c r="V266">
        <f>[1]Transactions!F266*[1]Transactions!U266</f>
        <v>920</v>
      </c>
    </row>
    <row r="267" spans="1:22" x14ac:dyDescent="0.3">
      <c r="A267">
        <v>266</v>
      </c>
      <c r="B267">
        <v>92</v>
      </c>
      <c r="C267">
        <v>32</v>
      </c>
      <c r="D267">
        <v>17</v>
      </c>
      <c r="E267">
        <v>13</v>
      </c>
      <c r="F267">
        <v>2</v>
      </c>
      <c r="G267">
        <v>352</v>
      </c>
      <c r="H267">
        <v>704</v>
      </c>
      <c r="I267">
        <v>29</v>
      </c>
      <c r="J267">
        <f>[1]Transactions!F267*[1]Transactions!G267</f>
        <v>704</v>
      </c>
      <c r="K267">
        <f>_xlfn.XLOOKUP([1]Transactions!D267,[1]Inventory!$C$2:$C$501,[1]Inventory!$A$2:$A$501)</f>
        <v>1</v>
      </c>
      <c r="L267">
        <f>_xlfn.XLOOKUP(K267,[1]Inventory!$A$2:$A$501,[1]Inventory!$D$2:$D$501)</f>
        <v>179</v>
      </c>
      <c r="M267">
        <f>_xlfn.XLOOKUP(K267,[1]Inventory!$A$2:$A$501,[1]Inventory!$E$2:$E$501)</f>
        <v>124</v>
      </c>
      <c r="N267" t="str">
        <f>_xlfn.XLOOKUP([1]Transactions!C267,[1]Customers!$A$2:$A$201,[1]Customers!$G$2:$G$201)</f>
        <v>Gujarat</v>
      </c>
      <c r="O267" t="str">
        <f>_xlfn.XLOOKUP(C267,[1]Customers!$A$2:$A$201,[1]Customers!$H$2:$H$201)</f>
        <v>West</v>
      </c>
      <c r="P267" t="str">
        <f>_xlfn.XLOOKUP(C267,[1]Customers!$A$2:$A$201,[1]Customers!$F$2:$F$201)</f>
        <v>Ahmedabad</v>
      </c>
      <c r="Q267">
        <f>_xlfn.XLOOKUP(C267,[1]Customers!$A$2:$A$201,[1]Customers!$D$2:$D$201)</f>
        <v>46</v>
      </c>
      <c r="R267" t="str">
        <f>_xlfn.XLOOKUP([1]Transactions!C267,[1]Customers!$A$2:$A$201,[1]Customers!$C$2:$C$201)</f>
        <v>Male</v>
      </c>
      <c r="S267" t="str">
        <f>_xlfn.XLOOKUP(C267,[1]Customers!$A$2:$A$201,[1]Customers!$B$2:$B$201)</f>
        <v>Customer_32</v>
      </c>
      <c r="T267" t="str">
        <f>_xlfn.XLOOKUP(D267,[1]Products!$A$2:$A$101,[1]Products!$C$2:$C$101)</f>
        <v>Snacks</v>
      </c>
      <c r="U267">
        <f>_xlfn.XLOOKUP(D267,[1]Products!$A$2:$A$101,[1]Products!$E$2:$E$101)</f>
        <v>55</v>
      </c>
      <c r="V267">
        <f>[1]Transactions!F267*[1]Transactions!U267</f>
        <v>110</v>
      </c>
    </row>
    <row r="268" spans="1:22" x14ac:dyDescent="0.3">
      <c r="A268">
        <v>267</v>
      </c>
      <c r="B268">
        <v>33</v>
      </c>
      <c r="C268">
        <v>123</v>
      </c>
      <c r="D268">
        <v>53</v>
      </c>
      <c r="E268">
        <v>31</v>
      </c>
      <c r="F268">
        <v>2</v>
      </c>
      <c r="G268">
        <v>72</v>
      </c>
      <c r="H268">
        <v>144</v>
      </c>
      <c r="I268">
        <v>54</v>
      </c>
      <c r="J268">
        <f>[1]Transactions!F268*[1]Transactions!G268</f>
        <v>144</v>
      </c>
      <c r="K268">
        <f>_xlfn.XLOOKUP([1]Transactions!D268,[1]Inventory!$C$2:$C$501,[1]Inventory!$A$2:$A$501)</f>
        <v>166</v>
      </c>
      <c r="L268">
        <f>_xlfn.XLOOKUP(K268,[1]Inventory!$A$2:$A$501,[1]Inventory!$D$2:$D$501)</f>
        <v>187</v>
      </c>
      <c r="M268">
        <f>_xlfn.XLOOKUP(K268,[1]Inventory!$A$2:$A$501,[1]Inventory!$E$2:$E$501)</f>
        <v>68</v>
      </c>
      <c r="N268" t="str">
        <f>_xlfn.XLOOKUP([1]Transactions!C268,[1]Customers!$A$2:$A$201,[1]Customers!$G$2:$G$201)</f>
        <v>West Bengal</v>
      </c>
      <c r="O268" t="str">
        <f>_xlfn.XLOOKUP(C268,[1]Customers!$A$2:$A$201,[1]Customers!$H$2:$H$201)</f>
        <v>East</v>
      </c>
      <c r="P268" t="str">
        <f>_xlfn.XLOOKUP(C268,[1]Customers!$A$2:$A$201,[1]Customers!$F$2:$F$201)</f>
        <v>Kolkata</v>
      </c>
      <c r="Q268">
        <f>_xlfn.XLOOKUP(C268,[1]Customers!$A$2:$A$201,[1]Customers!$D$2:$D$201)</f>
        <v>51</v>
      </c>
      <c r="R268" t="str">
        <f>_xlfn.XLOOKUP([1]Transactions!C268,[1]Customers!$A$2:$A$201,[1]Customers!$C$2:$C$201)</f>
        <v>Female</v>
      </c>
      <c r="S268" t="str">
        <f>_xlfn.XLOOKUP(C268,[1]Customers!$A$2:$A$201,[1]Customers!$B$2:$B$201)</f>
        <v>Customer_123</v>
      </c>
      <c r="T268" t="str">
        <f>_xlfn.XLOOKUP(D268,[1]Products!$A$2:$A$101,[1]Products!$C$2:$C$101)</f>
        <v>Beverages</v>
      </c>
      <c r="U268">
        <f>_xlfn.XLOOKUP(D268,[1]Products!$A$2:$A$101,[1]Products!$E$2:$E$101)</f>
        <v>59</v>
      </c>
      <c r="V268">
        <f>[1]Transactions!F268*[1]Transactions!U268</f>
        <v>118</v>
      </c>
    </row>
    <row r="269" spans="1:22" x14ac:dyDescent="0.3">
      <c r="A269">
        <v>268</v>
      </c>
      <c r="B269">
        <v>98</v>
      </c>
      <c r="C269">
        <v>64</v>
      </c>
      <c r="D269">
        <v>56</v>
      </c>
      <c r="E269">
        <v>3</v>
      </c>
      <c r="F269">
        <v>2</v>
      </c>
      <c r="G269">
        <v>119</v>
      </c>
      <c r="H269">
        <v>238</v>
      </c>
      <c r="I269">
        <v>16</v>
      </c>
      <c r="J269">
        <f>[1]Transactions!F269*[1]Transactions!G269</f>
        <v>238</v>
      </c>
      <c r="K269">
        <f>_xlfn.XLOOKUP([1]Transactions!D269,[1]Inventory!$C$2:$C$501,[1]Inventory!$A$2:$A$501)</f>
        <v>70</v>
      </c>
      <c r="L269">
        <f>_xlfn.XLOOKUP(K269,[1]Inventory!$A$2:$A$501,[1]Inventory!$D$2:$D$501)</f>
        <v>197</v>
      </c>
      <c r="M269">
        <f>_xlfn.XLOOKUP(K269,[1]Inventory!$A$2:$A$501,[1]Inventory!$E$2:$E$501)</f>
        <v>102</v>
      </c>
      <c r="N269" t="str">
        <f>_xlfn.XLOOKUP([1]Transactions!C269,[1]Customers!$A$2:$A$201,[1]Customers!$G$2:$G$201)</f>
        <v>Delhi</v>
      </c>
      <c r="O269" t="str">
        <f>_xlfn.XLOOKUP(C269,[1]Customers!$A$2:$A$201,[1]Customers!$H$2:$H$201)</f>
        <v>North</v>
      </c>
      <c r="P269" t="str">
        <f>_xlfn.XLOOKUP(C269,[1]Customers!$A$2:$A$201,[1]Customers!$F$2:$F$201)</f>
        <v>Delhi</v>
      </c>
      <c r="Q269">
        <f>_xlfn.XLOOKUP(C269,[1]Customers!$A$2:$A$201,[1]Customers!$D$2:$D$201)</f>
        <v>22</v>
      </c>
      <c r="R269" t="str">
        <f>_xlfn.XLOOKUP([1]Transactions!C269,[1]Customers!$A$2:$A$201,[1]Customers!$C$2:$C$201)</f>
        <v>Female</v>
      </c>
      <c r="S269" t="str">
        <f>_xlfn.XLOOKUP(C269,[1]Customers!$A$2:$A$201,[1]Customers!$B$2:$B$201)</f>
        <v>Customer_64</v>
      </c>
      <c r="T269" t="str">
        <f>_xlfn.XLOOKUP(D269,[1]Products!$A$2:$A$101,[1]Products!$C$2:$C$101)</f>
        <v>Beverages</v>
      </c>
      <c r="U269">
        <f>_xlfn.XLOOKUP(D269,[1]Products!$A$2:$A$101,[1]Products!$E$2:$E$101)</f>
        <v>64</v>
      </c>
      <c r="V269">
        <f>[1]Transactions!F269*[1]Transactions!U269</f>
        <v>128</v>
      </c>
    </row>
    <row r="270" spans="1:22" x14ac:dyDescent="0.3">
      <c r="A270">
        <v>269</v>
      </c>
      <c r="B270">
        <v>43</v>
      </c>
      <c r="C270">
        <v>163</v>
      </c>
      <c r="D270">
        <v>6</v>
      </c>
      <c r="E270">
        <v>13</v>
      </c>
      <c r="F270">
        <v>1</v>
      </c>
      <c r="G270">
        <v>227</v>
      </c>
      <c r="H270">
        <v>227</v>
      </c>
      <c r="I270">
        <v>13</v>
      </c>
      <c r="J270">
        <f>[1]Transactions!F270*[1]Transactions!G270</f>
        <v>227</v>
      </c>
      <c r="K270">
        <f>_xlfn.XLOOKUP([1]Transactions!D270,[1]Inventory!$C$2:$C$501,[1]Inventory!$A$2:$A$501)</f>
        <v>57</v>
      </c>
      <c r="L270">
        <f>_xlfn.XLOOKUP(K270,[1]Inventory!$A$2:$A$501,[1]Inventory!$D$2:$D$501)</f>
        <v>236</v>
      </c>
      <c r="M270">
        <f>_xlfn.XLOOKUP(K270,[1]Inventory!$A$2:$A$501,[1]Inventory!$E$2:$E$501)</f>
        <v>58</v>
      </c>
      <c r="N270" t="str">
        <f>_xlfn.XLOOKUP([1]Transactions!C270,[1]Customers!$A$2:$A$201,[1]Customers!$G$2:$G$201)</f>
        <v>Karnataka</v>
      </c>
      <c r="O270" t="str">
        <f>_xlfn.XLOOKUP(C270,[1]Customers!$A$2:$A$201,[1]Customers!$H$2:$H$201)</f>
        <v>South</v>
      </c>
      <c r="P270" t="str">
        <f>_xlfn.XLOOKUP(C270,[1]Customers!$A$2:$A$201,[1]Customers!$F$2:$F$201)</f>
        <v>Bangalore</v>
      </c>
      <c r="Q270">
        <f>_xlfn.XLOOKUP(C270,[1]Customers!$A$2:$A$201,[1]Customers!$D$2:$D$201)</f>
        <v>47</v>
      </c>
      <c r="R270" t="str">
        <f>_xlfn.XLOOKUP([1]Transactions!C270,[1]Customers!$A$2:$A$201,[1]Customers!$C$2:$C$201)</f>
        <v>Male</v>
      </c>
      <c r="S270" t="str">
        <f>_xlfn.XLOOKUP(C270,[1]Customers!$A$2:$A$201,[1]Customers!$B$2:$B$201)</f>
        <v>Customer_163</v>
      </c>
      <c r="T270" t="str">
        <f>_xlfn.XLOOKUP(D270,[1]Products!$A$2:$A$101,[1]Products!$C$2:$C$101)</f>
        <v>Snacks</v>
      </c>
      <c r="U270">
        <f>_xlfn.XLOOKUP(D270,[1]Products!$A$2:$A$101,[1]Products!$E$2:$E$101)</f>
        <v>492</v>
      </c>
      <c r="V270">
        <f>[1]Transactions!F270*[1]Transactions!U270</f>
        <v>492</v>
      </c>
    </row>
    <row r="271" spans="1:22" x14ac:dyDescent="0.3">
      <c r="A271">
        <v>270</v>
      </c>
      <c r="B271">
        <v>121</v>
      </c>
      <c r="C271">
        <v>142</v>
      </c>
      <c r="D271">
        <v>15</v>
      </c>
      <c r="E271">
        <v>23</v>
      </c>
      <c r="F271">
        <v>3</v>
      </c>
      <c r="G271">
        <v>91</v>
      </c>
      <c r="H271">
        <v>273</v>
      </c>
      <c r="I271">
        <v>20</v>
      </c>
      <c r="J271">
        <f>[1]Transactions!F271*[1]Transactions!G271</f>
        <v>273</v>
      </c>
      <c r="K271">
        <f>_xlfn.XLOOKUP([1]Transactions!D271,[1]Inventory!$C$2:$C$501,[1]Inventory!$A$2:$A$501)</f>
        <v>407</v>
      </c>
      <c r="L271">
        <f>_xlfn.XLOOKUP(K271,[1]Inventory!$A$2:$A$501,[1]Inventory!$D$2:$D$501)</f>
        <v>248</v>
      </c>
      <c r="M271">
        <f>_xlfn.XLOOKUP(K271,[1]Inventory!$A$2:$A$501,[1]Inventory!$E$2:$E$501)</f>
        <v>87</v>
      </c>
      <c r="N271" t="str">
        <f>_xlfn.XLOOKUP([1]Transactions!C271,[1]Customers!$A$2:$A$201,[1]Customers!$G$2:$G$201)</f>
        <v>Maharashtra</v>
      </c>
      <c r="O271" t="str">
        <f>_xlfn.XLOOKUP(C271,[1]Customers!$A$2:$A$201,[1]Customers!$H$2:$H$201)</f>
        <v>West</v>
      </c>
      <c r="P271" t="str">
        <f>_xlfn.XLOOKUP(C271,[1]Customers!$A$2:$A$201,[1]Customers!$F$2:$F$201)</f>
        <v>Mumbai</v>
      </c>
      <c r="Q271">
        <f>_xlfn.XLOOKUP(C271,[1]Customers!$A$2:$A$201,[1]Customers!$D$2:$D$201)</f>
        <v>22</v>
      </c>
      <c r="R271" t="str">
        <f>_xlfn.XLOOKUP([1]Transactions!C271,[1]Customers!$A$2:$A$201,[1]Customers!$C$2:$C$201)</f>
        <v>Female</v>
      </c>
      <c r="S271" t="str">
        <f>_xlfn.XLOOKUP(C271,[1]Customers!$A$2:$A$201,[1]Customers!$B$2:$B$201)</f>
        <v>Customer_142</v>
      </c>
      <c r="T271" t="str">
        <f>_xlfn.XLOOKUP(D271,[1]Products!$A$2:$A$101,[1]Products!$C$2:$C$101)</f>
        <v>Snacks</v>
      </c>
      <c r="U271">
        <f>_xlfn.XLOOKUP(D271,[1]Products!$A$2:$A$101,[1]Products!$E$2:$E$101)</f>
        <v>214</v>
      </c>
      <c r="V271">
        <f>[1]Transactions!F271*[1]Transactions!U271</f>
        <v>642</v>
      </c>
    </row>
    <row r="272" spans="1:22" x14ac:dyDescent="0.3">
      <c r="A272">
        <v>271</v>
      </c>
      <c r="B272">
        <v>62</v>
      </c>
      <c r="C272">
        <v>130</v>
      </c>
      <c r="D272">
        <v>33</v>
      </c>
      <c r="E272">
        <v>25</v>
      </c>
      <c r="F272">
        <v>4</v>
      </c>
      <c r="G272">
        <v>140</v>
      </c>
      <c r="H272">
        <v>560</v>
      </c>
      <c r="I272">
        <v>16</v>
      </c>
      <c r="J272">
        <f>[1]Transactions!F272*[1]Transactions!G272</f>
        <v>560</v>
      </c>
      <c r="K272">
        <f>_xlfn.XLOOKUP([1]Transactions!D272,[1]Inventory!$C$2:$C$501,[1]Inventory!$A$2:$A$501)</f>
        <v>77</v>
      </c>
      <c r="L272">
        <f>_xlfn.XLOOKUP(K272,[1]Inventory!$A$2:$A$501,[1]Inventory!$D$2:$D$501)</f>
        <v>5</v>
      </c>
      <c r="M272">
        <f>_xlfn.XLOOKUP(K272,[1]Inventory!$A$2:$A$501,[1]Inventory!$E$2:$E$501)</f>
        <v>43</v>
      </c>
      <c r="N272" t="str">
        <f>_xlfn.XLOOKUP([1]Transactions!C272,[1]Customers!$A$2:$A$201,[1]Customers!$G$2:$G$201)</f>
        <v>Telangana</v>
      </c>
      <c r="O272" t="str">
        <f>_xlfn.XLOOKUP(C272,[1]Customers!$A$2:$A$201,[1]Customers!$H$2:$H$201)</f>
        <v>South</v>
      </c>
      <c r="P272" t="str">
        <f>_xlfn.XLOOKUP(C272,[1]Customers!$A$2:$A$201,[1]Customers!$F$2:$F$201)</f>
        <v>Hyderabad</v>
      </c>
      <c r="Q272">
        <f>_xlfn.XLOOKUP(C272,[1]Customers!$A$2:$A$201,[1]Customers!$D$2:$D$201)</f>
        <v>53</v>
      </c>
      <c r="R272" t="str">
        <f>_xlfn.XLOOKUP([1]Transactions!C272,[1]Customers!$A$2:$A$201,[1]Customers!$C$2:$C$201)</f>
        <v>Female</v>
      </c>
      <c r="S272" t="str">
        <f>_xlfn.XLOOKUP(C272,[1]Customers!$A$2:$A$201,[1]Customers!$B$2:$B$201)</f>
        <v>Customer_130</v>
      </c>
      <c r="T272" t="str">
        <f>_xlfn.XLOOKUP(D272,[1]Products!$A$2:$A$101,[1]Products!$C$2:$C$101)</f>
        <v>Beverages</v>
      </c>
      <c r="U272">
        <f>_xlfn.XLOOKUP(D272,[1]Products!$A$2:$A$101,[1]Products!$E$2:$E$101)</f>
        <v>51</v>
      </c>
      <c r="V272">
        <f>[1]Transactions!F272*[1]Transactions!U272</f>
        <v>204</v>
      </c>
    </row>
    <row r="273" spans="1:22" x14ac:dyDescent="0.3">
      <c r="A273">
        <v>272</v>
      </c>
      <c r="B273">
        <v>145</v>
      </c>
      <c r="C273">
        <v>33</v>
      </c>
      <c r="D273">
        <v>40</v>
      </c>
      <c r="E273">
        <v>38</v>
      </c>
      <c r="F273">
        <v>3</v>
      </c>
      <c r="G273">
        <v>210</v>
      </c>
      <c r="H273">
        <v>630</v>
      </c>
      <c r="I273">
        <v>23</v>
      </c>
      <c r="J273">
        <f>[1]Transactions!F273*[1]Transactions!G273</f>
        <v>630</v>
      </c>
      <c r="K273">
        <f>_xlfn.XLOOKUP([1]Transactions!D273,[1]Inventory!$C$2:$C$501,[1]Inventory!$A$2:$A$501)</f>
        <v>113</v>
      </c>
      <c r="L273">
        <f>_xlfn.XLOOKUP(K273,[1]Inventory!$A$2:$A$501,[1]Inventory!$D$2:$D$501)</f>
        <v>462</v>
      </c>
      <c r="M273">
        <f>_xlfn.XLOOKUP(K273,[1]Inventory!$A$2:$A$501,[1]Inventory!$E$2:$E$501)</f>
        <v>68</v>
      </c>
      <c r="N273" t="str">
        <f>_xlfn.XLOOKUP([1]Transactions!C273,[1]Customers!$A$2:$A$201,[1]Customers!$G$2:$G$201)</f>
        <v>West Bengal</v>
      </c>
      <c r="O273" t="str">
        <f>_xlfn.XLOOKUP(C273,[1]Customers!$A$2:$A$201,[1]Customers!$H$2:$H$201)</f>
        <v>East</v>
      </c>
      <c r="P273" t="str">
        <f>_xlfn.XLOOKUP(C273,[1]Customers!$A$2:$A$201,[1]Customers!$F$2:$F$201)</f>
        <v>Kolkata</v>
      </c>
      <c r="Q273">
        <f>_xlfn.XLOOKUP(C273,[1]Customers!$A$2:$A$201,[1]Customers!$D$2:$D$201)</f>
        <v>20</v>
      </c>
      <c r="R273" t="str">
        <f>_xlfn.XLOOKUP([1]Transactions!C273,[1]Customers!$A$2:$A$201,[1]Customers!$C$2:$C$201)</f>
        <v>Female</v>
      </c>
      <c r="S273" t="str">
        <f>_xlfn.XLOOKUP(C273,[1]Customers!$A$2:$A$201,[1]Customers!$B$2:$B$201)</f>
        <v>Customer_33</v>
      </c>
      <c r="T273" t="str">
        <f>_xlfn.XLOOKUP(D273,[1]Products!$A$2:$A$101,[1]Products!$C$2:$C$101)</f>
        <v>Grocery</v>
      </c>
      <c r="U273">
        <f>_xlfn.XLOOKUP(D273,[1]Products!$A$2:$A$101,[1]Products!$E$2:$E$101)</f>
        <v>184</v>
      </c>
      <c r="V273">
        <f>[1]Transactions!F273*[1]Transactions!U273</f>
        <v>552</v>
      </c>
    </row>
    <row r="274" spans="1:22" x14ac:dyDescent="0.3">
      <c r="A274">
        <v>273</v>
      </c>
      <c r="B274">
        <v>32</v>
      </c>
      <c r="C274">
        <v>139</v>
      </c>
      <c r="D274">
        <v>1</v>
      </c>
      <c r="E274">
        <v>7</v>
      </c>
      <c r="F274">
        <v>4</v>
      </c>
      <c r="G274">
        <v>120</v>
      </c>
      <c r="H274">
        <v>480</v>
      </c>
      <c r="I274">
        <v>51</v>
      </c>
      <c r="J274">
        <f>[1]Transactions!F274*[1]Transactions!G274</f>
        <v>480</v>
      </c>
      <c r="K274">
        <f>_xlfn.XLOOKUP([1]Transactions!D274,[1]Inventory!$C$2:$C$501,[1]Inventory!$A$2:$A$501)</f>
        <v>106</v>
      </c>
      <c r="L274">
        <f>_xlfn.XLOOKUP(K274,[1]Inventory!$A$2:$A$501,[1]Inventory!$D$2:$D$501)</f>
        <v>94</v>
      </c>
      <c r="M274">
        <f>_xlfn.XLOOKUP(K274,[1]Inventory!$A$2:$A$501,[1]Inventory!$E$2:$E$501)</f>
        <v>58</v>
      </c>
      <c r="N274" t="str">
        <f>_xlfn.XLOOKUP([1]Transactions!C274,[1]Customers!$A$2:$A$201,[1]Customers!$G$2:$G$201)</f>
        <v>Rajasthan</v>
      </c>
      <c r="O274" t="str">
        <f>_xlfn.XLOOKUP(C274,[1]Customers!$A$2:$A$201,[1]Customers!$H$2:$H$201)</f>
        <v>North</v>
      </c>
      <c r="P274" t="str">
        <f>_xlfn.XLOOKUP(C274,[1]Customers!$A$2:$A$201,[1]Customers!$F$2:$F$201)</f>
        <v>Jaipur</v>
      </c>
      <c r="Q274">
        <f>_xlfn.XLOOKUP(C274,[1]Customers!$A$2:$A$201,[1]Customers!$D$2:$D$201)</f>
        <v>29</v>
      </c>
      <c r="R274" t="str">
        <f>_xlfn.XLOOKUP([1]Transactions!C274,[1]Customers!$A$2:$A$201,[1]Customers!$C$2:$C$201)</f>
        <v>Female</v>
      </c>
      <c r="S274" t="str">
        <f>_xlfn.XLOOKUP(C274,[1]Customers!$A$2:$A$201,[1]Customers!$B$2:$B$201)</f>
        <v>Customer_139</v>
      </c>
      <c r="T274" t="str">
        <f>_xlfn.XLOOKUP(D274,[1]Products!$A$2:$A$101,[1]Products!$C$2:$C$101)</f>
        <v>Snacks</v>
      </c>
      <c r="U274">
        <f>_xlfn.XLOOKUP(D274,[1]Products!$A$2:$A$101,[1]Products!$E$2:$E$101)</f>
        <v>68</v>
      </c>
      <c r="V274">
        <f>[1]Transactions!F274*[1]Transactions!U274</f>
        <v>272</v>
      </c>
    </row>
    <row r="275" spans="1:22" x14ac:dyDescent="0.3">
      <c r="A275">
        <v>274</v>
      </c>
      <c r="B275">
        <v>45</v>
      </c>
      <c r="C275">
        <v>142</v>
      </c>
      <c r="D275">
        <v>3</v>
      </c>
      <c r="E275">
        <v>6</v>
      </c>
      <c r="F275">
        <v>3</v>
      </c>
      <c r="G275">
        <v>157</v>
      </c>
      <c r="H275">
        <v>471</v>
      </c>
      <c r="I275">
        <v>28</v>
      </c>
      <c r="J275">
        <f>[1]Transactions!F275*[1]Transactions!G275</f>
        <v>471</v>
      </c>
      <c r="K275">
        <f>_xlfn.XLOOKUP([1]Transactions!D275,[1]Inventory!$C$2:$C$501,[1]Inventory!$A$2:$A$501)</f>
        <v>147</v>
      </c>
      <c r="L275">
        <f>_xlfn.XLOOKUP(K275,[1]Inventory!$A$2:$A$501,[1]Inventory!$D$2:$D$501)</f>
        <v>137</v>
      </c>
      <c r="M275">
        <f>_xlfn.XLOOKUP(K275,[1]Inventory!$A$2:$A$501,[1]Inventory!$E$2:$E$501)</f>
        <v>160</v>
      </c>
      <c r="N275" t="str">
        <f>_xlfn.XLOOKUP([1]Transactions!C275,[1]Customers!$A$2:$A$201,[1]Customers!$G$2:$G$201)</f>
        <v>Maharashtra</v>
      </c>
      <c r="O275" t="str">
        <f>_xlfn.XLOOKUP(C275,[1]Customers!$A$2:$A$201,[1]Customers!$H$2:$H$201)</f>
        <v>West</v>
      </c>
      <c r="P275" t="str">
        <f>_xlfn.XLOOKUP(C275,[1]Customers!$A$2:$A$201,[1]Customers!$F$2:$F$201)</f>
        <v>Mumbai</v>
      </c>
      <c r="Q275">
        <f>_xlfn.XLOOKUP(C275,[1]Customers!$A$2:$A$201,[1]Customers!$D$2:$D$201)</f>
        <v>22</v>
      </c>
      <c r="R275" t="str">
        <f>_xlfn.XLOOKUP([1]Transactions!C275,[1]Customers!$A$2:$A$201,[1]Customers!$C$2:$C$201)</f>
        <v>Female</v>
      </c>
      <c r="S275" t="str">
        <f>_xlfn.XLOOKUP(C275,[1]Customers!$A$2:$A$201,[1]Customers!$B$2:$B$201)</f>
        <v>Customer_142</v>
      </c>
      <c r="T275" t="str">
        <f>_xlfn.XLOOKUP(D275,[1]Products!$A$2:$A$101,[1]Products!$C$2:$C$101)</f>
        <v>Dairy</v>
      </c>
      <c r="U275">
        <f>_xlfn.XLOOKUP(D275,[1]Products!$A$2:$A$101,[1]Products!$E$2:$E$101)</f>
        <v>357</v>
      </c>
      <c r="V275">
        <f>[1]Transactions!F275*[1]Transactions!U275</f>
        <v>1071</v>
      </c>
    </row>
    <row r="276" spans="1:22" x14ac:dyDescent="0.3">
      <c r="A276">
        <v>275</v>
      </c>
      <c r="B276">
        <v>111</v>
      </c>
      <c r="C276">
        <v>46</v>
      </c>
      <c r="D276">
        <v>53</v>
      </c>
      <c r="E276">
        <v>10</v>
      </c>
      <c r="F276">
        <v>4</v>
      </c>
      <c r="G276">
        <v>337</v>
      </c>
      <c r="H276">
        <v>1348</v>
      </c>
      <c r="I276">
        <v>12</v>
      </c>
      <c r="J276">
        <f>[1]Transactions!F276*[1]Transactions!G276</f>
        <v>1348</v>
      </c>
      <c r="K276">
        <f>_xlfn.XLOOKUP([1]Transactions!D276,[1]Inventory!$C$2:$C$501,[1]Inventory!$A$2:$A$501)</f>
        <v>166</v>
      </c>
      <c r="L276">
        <f>_xlfn.XLOOKUP(K276,[1]Inventory!$A$2:$A$501,[1]Inventory!$D$2:$D$501)</f>
        <v>187</v>
      </c>
      <c r="M276">
        <f>_xlfn.XLOOKUP(K276,[1]Inventory!$A$2:$A$501,[1]Inventory!$E$2:$E$501)</f>
        <v>68</v>
      </c>
      <c r="N276" t="str">
        <f>_xlfn.XLOOKUP([1]Transactions!C276,[1]Customers!$A$2:$A$201,[1]Customers!$G$2:$G$201)</f>
        <v>Maharashtra</v>
      </c>
      <c r="O276" t="str">
        <f>_xlfn.XLOOKUP(C276,[1]Customers!$A$2:$A$201,[1]Customers!$H$2:$H$201)</f>
        <v>West</v>
      </c>
      <c r="P276" t="str">
        <f>_xlfn.XLOOKUP(C276,[1]Customers!$A$2:$A$201,[1]Customers!$F$2:$F$201)</f>
        <v>Pune</v>
      </c>
      <c r="Q276">
        <f>_xlfn.XLOOKUP(C276,[1]Customers!$A$2:$A$201,[1]Customers!$D$2:$D$201)</f>
        <v>42</v>
      </c>
      <c r="R276" t="str">
        <f>_xlfn.XLOOKUP([1]Transactions!C276,[1]Customers!$A$2:$A$201,[1]Customers!$C$2:$C$201)</f>
        <v>Male</v>
      </c>
      <c r="S276" t="str">
        <f>_xlfn.XLOOKUP(C276,[1]Customers!$A$2:$A$201,[1]Customers!$B$2:$B$201)</f>
        <v>Customer_46</v>
      </c>
      <c r="T276" t="str">
        <f>_xlfn.XLOOKUP(D276,[1]Products!$A$2:$A$101,[1]Products!$C$2:$C$101)</f>
        <v>Beverages</v>
      </c>
      <c r="U276">
        <f>_xlfn.XLOOKUP(D276,[1]Products!$A$2:$A$101,[1]Products!$E$2:$E$101)</f>
        <v>59</v>
      </c>
      <c r="V276">
        <f>[1]Transactions!F276*[1]Transactions!U276</f>
        <v>236</v>
      </c>
    </row>
    <row r="277" spans="1:22" x14ac:dyDescent="0.3">
      <c r="A277">
        <v>276</v>
      </c>
      <c r="B277">
        <v>45</v>
      </c>
      <c r="C277">
        <v>198</v>
      </c>
      <c r="D277">
        <v>57</v>
      </c>
      <c r="E277">
        <v>28</v>
      </c>
      <c r="F277">
        <v>5</v>
      </c>
      <c r="G277">
        <v>383</v>
      </c>
      <c r="H277">
        <v>1915</v>
      </c>
      <c r="I277">
        <v>21</v>
      </c>
      <c r="J277">
        <f>[1]Transactions!F277*[1]Transactions!G277</f>
        <v>1915</v>
      </c>
      <c r="K277">
        <f>_xlfn.XLOOKUP([1]Transactions!D277,[1]Inventory!$C$2:$C$501,[1]Inventory!$A$2:$A$501)</f>
        <v>31</v>
      </c>
      <c r="L277">
        <f>_xlfn.XLOOKUP(K277,[1]Inventory!$A$2:$A$501,[1]Inventory!$D$2:$D$501)</f>
        <v>30</v>
      </c>
      <c r="M277">
        <f>_xlfn.XLOOKUP(K277,[1]Inventory!$A$2:$A$501,[1]Inventory!$E$2:$E$501)</f>
        <v>151</v>
      </c>
      <c r="N277" t="str">
        <f>_xlfn.XLOOKUP([1]Transactions!C277,[1]Customers!$A$2:$A$201,[1]Customers!$G$2:$G$201)</f>
        <v>Delhi</v>
      </c>
      <c r="O277" t="str">
        <f>_xlfn.XLOOKUP(C277,[1]Customers!$A$2:$A$201,[1]Customers!$H$2:$H$201)</f>
        <v>North</v>
      </c>
      <c r="P277" t="str">
        <f>_xlfn.XLOOKUP(C277,[1]Customers!$A$2:$A$201,[1]Customers!$F$2:$F$201)</f>
        <v>Delhi</v>
      </c>
      <c r="Q277">
        <f>_xlfn.XLOOKUP(C277,[1]Customers!$A$2:$A$201,[1]Customers!$D$2:$D$201)</f>
        <v>24</v>
      </c>
      <c r="R277" t="str">
        <f>_xlfn.XLOOKUP([1]Transactions!C277,[1]Customers!$A$2:$A$201,[1]Customers!$C$2:$C$201)</f>
        <v>Male</v>
      </c>
      <c r="S277" t="str">
        <f>_xlfn.XLOOKUP(C277,[1]Customers!$A$2:$A$201,[1]Customers!$B$2:$B$201)</f>
        <v>Customer_198</v>
      </c>
      <c r="T277" t="str">
        <f>_xlfn.XLOOKUP(D277,[1]Products!$A$2:$A$101,[1]Products!$C$2:$C$101)</f>
        <v>Snacks</v>
      </c>
      <c r="U277">
        <f>_xlfn.XLOOKUP(D277,[1]Products!$A$2:$A$101,[1]Products!$E$2:$E$101)</f>
        <v>66</v>
      </c>
      <c r="V277">
        <f>[1]Transactions!F277*[1]Transactions!U277</f>
        <v>330</v>
      </c>
    </row>
    <row r="278" spans="1:22" x14ac:dyDescent="0.3">
      <c r="A278">
        <v>277</v>
      </c>
      <c r="B278">
        <v>15</v>
      </c>
      <c r="C278">
        <v>76</v>
      </c>
      <c r="D278">
        <v>17</v>
      </c>
      <c r="E278">
        <v>9</v>
      </c>
      <c r="F278">
        <v>5</v>
      </c>
      <c r="G278">
        <v>340</v>
      </c>
      <c r="H278">
        <v>1700</v>
      </c>
      <c r="I278">
        <v>50</v>
      </c>
      <c r="J278">
        <f>[1]Transactions!F278*[1]Transactions!G278</f>
        <v>1700</v>
      </c>
      <c r="K278">
        <f>_xlfn.XLOOKUP([1]Transactions!D278,[1]Inventory!$C$2:$C$501,[1]Inventory!$A$2:$A$501)</f>
        <v>1</v>
      </c>
      <c r="L278">
        <f>_xlfn.XLOOKUP(K278,[1]Inventory!$A$2:$A$501,[1]Inventory!$D$2:$D$501)</f>
        <v>179</v>
      </c>
      <c r="M278">
        <f>_xlfn.XLOOKUP(K278,[1]Inventory!$A$2:$A$501,[1]Inventory!$E$2:$E$501)</f>
        <v>124</v>
      </c>
      <c r="N278" t="str">
        <f>_xlfn.XLOOKUP([1]Transactions!C278,[1]Customers!$A$2:$A$201,[1]Customers!$G$2:$G$201)</f>
        <v>UP</v>
      </c>
      <c r="O278" t="str">
        <f>_xlfn.XLOOKUP(C278,[1]Customers!$A$2:$A$201,[1]Customers!$H$2:$H$201)</f>
        <v>North</v>
      </c>
      <c r="P278" t="str">
        <f>_xlfn.XLOOKUP(C278,[1]Customers!$A$2:$A$201,[1]Customers!$F$2:$F$201)</f>
        <v>Lucknow</v>
      </c>
      <c r="Q278">
        <f>_xlfn.XLOOKUP(C278,[1]Customers!$A$2:$A$201,[1]Customers!$D$2:$D$201)</f>
        <v>50</v>
      </c>
      <c r="R278" t="str">
        <f>_xlfn.XLOOKUP([1]Transactions!C278,[1]Customers!$A$2:$A$201,[1]Customers!$C$2:$C$201)</f>
        <v>Male</v>
      </c>
      <c r="S278" t="str">
        <f>_xlfn.XLOOKUP(C278,[1]Customers!$A$2:$A$201,[1]Customers!$B$2:$B$201)</f>
        <v>Customer_76</v>
      </c>
      <c r="T278" t="str">
        <f>_xlfn.XLOOKUP(D278,[1]Products!$A$2:$A$101,[1]Products!$C$2:$C$101)</f>
        <v>Snacks</v>
      </c>
      <c r="U278">
        <f>_xlfn.XLOOKUP(D278,[1]Products!$A$2:$A$101,[1]Products!$E$2:$E$101)</f>
        <v>55</v>
      </c>
      <c r="V278">
        <f>[1]Transactions!F278*[1]Transactions!U278</f>
        <v>275</v>
      </c>
    </row>
    <row r="279" spans="1:22" x14ac:dyDescent="0.3">
      <c r="A279">
        <v>278</v>
      </c>
      <c r="B279">
        <v>167</v>
      </c>
      <c r="C279">
        <v>39</v>
      </c>
      <c r="D279">
        <v>35</v>
      </c>
      <c r="E279">
        <v>20</v>
      </c>
      <c r="F279">
        <v>1</v>
      </c>
      <c r="G279">
        <v>119</v>
      </c>
      <c r="H279">
        <v>119</v>
      </c>
      <c r="I279">
        <v>21</v>
      </c>
      <c r="J279">
        <f>[1]Transactions!F279*[1]Transactions!G279</f>
        <v>119</v>
      </c>
      <c r="K279">
        <f>_xlfn.XLOOKUP([1]Transactions!D279,[1]Inventory!$C$2:$C$501,[1]Inventory!$A$2:$A$501)</f>
        <v>115</v>
      </c>
      <c r="L279">
        <f>_xlfn.XLOOKUP(K279,[1]Inventory!$A$2:$A$501,[1]Inventory!$D$2:$D$501)</f>
        <v>33</v>
      </c>
      <c r="M279">
        <f>_xlfn.XLOOKUP(K279,[1]Inventory!$A$2:$A$501,[1]Inventory!$E$2:$E$501)</f>
        <v>66</v>
      </c>
      <c r="N279" t="str">
        <f>_xlfn.XLOOKUP([1]Transactions!C279,[1]Customers!$A$2:$A$201,[1]Customers!$G$2:$G$201)</f>
        <v>Gujarat</v>
      </c>
      <c r="O279" t="str">
        <f>_xlfn.XLOOKUP(C279,[1]Customers!$A$2:$A$201,[1]Customers!$H$2:$H$201)</f>
        <v>West</v>
      </c>
      <c r="P279" t="str">
        <f>_xlfn.XLOOKUP(C279,[1]Customers!$A$2:$A$201,[1]Customers!$F$2:$F$201)</f>
        <v>Ahmedabad</v>
      </c>
      <c r="Q279">
        <f>_xlfn.XLOOKUP(C279,[1]Customers!$A$2:$A$201,[1]Customers!$D$2:$D$201)</f>
        <v>36</v>
      </c>
      <c r="R279" t="str">
        <f>_xlfn.XLOOKUP([1]Transactions!C279,[1]Customers!$A$2:$A$201,[1]Customers!$C$2:$C$201)</f>
        <v>Male</v>
      </c>
      <c r="S279" t="str">
        <f>_xlfn.XLOOKUP(C279,[1]Customers!$A$2:$A$201,[1]Customers!$B$2:$B$201)</f>
        <v>Customer_39</v>
      </c>
      <c r="T279" t="str">
        <f>_xlfn.XLOOKUP(D279,[1]Products!$A$2:$A$101,[1]Products!$C$2:$C$101)</f>
        <v>Grocery</v>
      </c>
      <c r="U279">
        <f>_xlfn.XLOOKUP(D279,[1]Products!$A$2:$A$101,[1]Products!$E$2:$E$101)</f>
        <v>346</v>
      </c>
      <c r="V279">
        <f>[1]Transactions!F279*[1]Transactions!U279</f>
        <v>346</v>
      </c>
    </row>
    <row r="280" spans="1:22" x14ac:dyDescent="0.3">
      <c r="A280">
        <v>279</v>
      </c>
      <c r="B280">
        <v>51</v>
      </c>
      <c r="C280">
        <v>194</v>
      </c>
      <c r="D280">
        <v>37</v>
      </c>
      <c r="E280">
        <v>20</v>
      </c>
      <c r="F280">
        <v>2</v>
      </c>
      <c r="G280">
        <v>155</v>
      </c>
      <c r="H280">
        <v>310</v>
      </c>
      <c r="I280">
        <v>48</v>
      </c>
      <c r="J280">
        <f>[1]Transactions!F280*[1]Transactions!G280</f>
        <v>310</v>
      </c>
      <c r="K280">
        <f>_xlfn.XLOOKUP([1]Transactions!D280,[1]Inventory!$C$2:$C$501,[1]Inventory!$A$2:$A$501)</f>
        <v>23</v>
      </c>
      <c r="L280">
        <f>_xlfn.XLOOKUP(K280,[1]Inventory!$A$2:$A$501,[1]Inventory!$D$2:$D$501)</f>
        <v>485</v>
      </c>
      <c r="M280">
        <f>_xlfn.XLOOKUP(K280,[1]Inventory!$A$2:$A$501,[1]Inventory!$E$2:$E$501)</f>
        <v>129</v>
      </c>
      <c r="N280" t="str">
        <f>_xlfn.XLOOKUP([1]Transactions!C280,[1]Customers!$A$2:$A$201,[1]Customers!$G$2:$G$201)</f>
        <v>Delhi</v>
      </c>
      <c r="O280" t="str">
        <f>_xlfn.XLOOKUP(C280,[1]Customers!$A$2:$A$201,[1]Customers!$H$2:$H$201)</f>
        <v>North</v>
      </c>
      <c r="P280" t="str">
        <f>_xlfn.XLOOKUP(C280,[1]Customers!$A$2:$A$201,[1]Customers!$F$2:$F$201)</f>
        <v>Delhi</v>
      </c>
      <c r="Q280">
        <f>_xlfn.XLOOKUP(C280,[1]Customers!$A$2:$A$201,[1]Customers!$D$2:$D$201)</f>
        <v>31</v>
      </c>
      <c r="R280" t="str">
        <f>_xlfn.XLOOKUP([1]Transactions!C280,[1]Customers!$A$2:$A$201,[1]Customers!$C$2:$C$201)</f>
        <v>Male</v>
      </c>
      <c r="S280" t="str">
        <f>_xlfn.XLOOKUP(C280,[1]Customers!$A$2:$A$201,[1]Customers!$B$2:$B$201)</f>
        <v>Customer_194</v>
      </c>
      <c r="T280" t="str">
        <f>_xlfn.XLOOKUP(D280,[1]Products!$A$2:$A$101,[1]Products!$C$2:$C$101)</f>
        <v>Grocery</v>
      </c>
      <c r="U280">
        <f>_xlfn.XLOOKUP(D280,[1]Products!$A$2:$A$101,[1]Products!$E$2:$E$101)</f>
        <v>210</v>
      </c>
      <c r="V280">
        <f>[1]Transactions!F280*[1]Transactions!U280</f>
        <v>420</v>
      </c>
    </row>
    <row r="281" spans="1:22" x14ac:dyDescent="0.3">
      <c r="A281">
        <v>280</v>
      </c>
      <c r="B281">
        <v>75</v>
      </c>
      <c r="C281">
        <v>149</v>
      </c>
      <c r="D281">
        <v>66</v>
      </c>
      <c r="E281">
        <v>20</v>
      </c>
      <c r="F281">
        <v>3</v>
      </c>
      <c r="G281">
        <v>152</v>
      </c>
      <c r="H281">
        <v>456</v>
      </c>
      <c r="I281">
        <v>24</v>
      </c>
      <c r="J281">
        <f>[1]Transactions!F281*[1]Transactions!G281</f>
        <v>456</v>
      </c>
      <c r="K281">
        <f>_xlfn.XLOOKUP([1]Transactions!D281,[1]Inventory!$C$2:$C$501,[1]Inventory!$A$2:$A$501)</f>
        <v>76</v>
      </c>
      <c r="L281">
        <f>_xlfn.XLOOKUP(K281,[1]Inventory!$A$2:$A$501,[1]Inventory!$D$2:$D$501)</f>
        <v>210</v>
      </c>
      <c r="M281">
        <f>_xlfn.XLOOKUP(K281,[1]Inventory!$A$2:$A$501,[1]Inventory!$E$2:$E$501)</f>
        <v>178</v>
      </c>
      <c r="N281" t="str">
        <f>_xlfn.XLOOKUP([1]Transactions!C281,[1]Customers!$A$2:$A$201,[1]Customers!$G$2:$G$201)</f>
        <v>Maharashtra</v>
      </c>
      <c r="O281" t="str">
        <f>_xlfn.XLOOKUP(C281,[1]Customers!$A$2:$A$201,[1]Customers!$H$2:$H$201)</f>
        <v>West</v>
      </c>
      <c r="P281" t="str">
        <f>_xlfn.XLOOKUP(C281,[1]Customers!$A$2:$A$201,[1]Customers!$F$2:$F$201)</f>
        <v>Mumbai</v>
      </c>
      <c r="Q281">
        <f>_xlfn.XLOOKUP(C281,[1]Customers!$A$2:$A$201,[1]Customers!$D$2:$D$201)</f>
        <v>52</v>
      </c>
      <c r="R281" t="str">
        <f>_xlfn.XLOOKUP([1]Transactions!C281,[1]Customers!$A$2:$A$201,[1]Customers!$C$2:$C$201)</f>
        <v>Female</v>
      </c>
      <c r="S281" t="str">
        <f>_xlfn.XLOOKUP(C281,[1]Customers!$A$2:$A$201,[1]Customers!$B$2:$B$201)</f>
        <v>Customer_149</v>
      </c>
      <c r="T281" t="str">
        <f>_xlfn.XLOOKUP(D281,[1]Products!$A$2:$A$101,[1]Products!$C$2:$C$101)</f>
        <v>Beverages</v>
      </c>
      <c r="U281">
        <f>_xlfn.XLOOKUP(D281,[1]Products!$A$2:$A$101,[1]Products!$E$2:$E$101)</f>
        <v>452</v>
      </c>
      <c r="V281">
        <f>[1]Transactions!F281*[1]Transactions!U281</f>
        <v>1356</v>
      </c>
    </row>
    <row r="282" spans="1:22" x14ac:dyDescent="0.3">
      <c r="A282">
        <v>281</v>
      </c>
      <c r="B282">
        <v>96</v>
      </c>
      <c r="C282">
        <v>109</v>
      </c>
      <c r="D282">
        <v>19</v>
      </c>
      <c r="E282">
        <v>4</v>
      </c>
      <c r="F282">
        <v>3</v>
      </c>
      <c r="G282">
        <v>283</v>
      </c>
      <c r="H282">
        <v>849</v>
      </c>
      <c r="I282">
        <v>16</v>
      </c>
      <c r="J282">
        <f>[1]Transactions!F282*[1]Transactions!G282</f>
        <v>849</v>
      </c>
      <c r="K282">
        <f>_xlfn.XLOOKUP([1]Transactions!D282,[1]Inventory!$C$2:$C$501,[1]Inventory!$A$2:$A$501)</f>
        <v>7</v>
      </c>
      <c r="L282">
        <f>_xlfn.XLOOKUP(K282,[1]Inventory!$A$2:$A$501,[1]Inventory!$D$2:$D$501)</f>
        <v>88</v>
      </c>
      <c r="M282">
        <f>_xlfn.XLOOKUP(K282,[1]Inventory!$A$2:$A$501,[1]Inventory!$E$2:$E$501)</f>
        <v>158</v>
      </c>
      <c r="N282" t="str">
        <f>_xlfn.XLOOKUP([1]Transactions!C282,[1]Customers!$A$2:$A$201,[1]Customers!$G$2:$G$201)</f>
        <v>West Bengal</v>
      </c>
      <c r="O282" t="str">
        <f>_xlfn.XLOOKUP(C282,[1]Customers!$A$2:$A$201,[1]Customers!$H$2:$H$201)</f>
        <v>East</v>
      </c>
      <c r="P282" t="str">
        <f>_xlfn.XLOOKUP(C282,[1]Customers!$A$2:$A$201,[1]Customers!$F$2:$F$201)</f>
        <v>Kolkata</v>
      </c>
      <c r="Q282">
        <f>_xlfn.XLOOKUP(C282,[1]Customers!$A$2:$A$201,[1]Customers!$D$2:$D$201)</f>
        <v>43</v>
      </c>
      <c r="R282" t="str">
        <f>_xlfn.XLOOKUP([1]Transactions!C282,[1]Customers!$A$2:$A$201,[1]Customers!$C$2:$C$201)</f>
        <v>Female</v>
      </c>
      <c r="S282" t="str">
        <f>_xlfn.XLOOKUP(C282,[1]Customers!$A$2:$A$201,[1]Customers!$B$2:$B$201)</f>
        <v>Customer_109</v>
      </c>
      <c r="T282" t="str">
        <f>_xlfn.XLOOKUP(D282,[1]Products!$A$2:$A$101,[1]Products!$C$2:$C$101)</f>
        <v>Snacks</v>
      </c>
      <c r="U282">
        <f>_xlfn.XLOOKUP(D282,[1]Products!$A$2:$A$101,[1]Products!$E$2:$E$101)</f>
        <v>442</v>
      </c>
      <c r="V282">
        <f>[1]Transactions!F282*[1]Transactions!U282</f>
        <v>1326</v>
      </c>
    </row>
    <row r="283" spans="1:22" x14ac:dyDescent="0.3">
      <c r="A283">
        <v>282</v>
      </c>
      <c r="B283">
        <v>136</v>
      </c>
      <c r="C283">
        <v>168</v>
      </c>
      <c r="D283">
        <v>97</v>
      </c>
      <c r="E283">
        <v>22</v>
      </c>
      <c r="F283">
        <v>1</v>
      </c>
      <c r="G283">
        <v>414</v>
      </c>
      <c r="H283">
        <v>414</v>
      </c>
      <c r="I283">
        <v>14</v>
      </c>
      <c r="J283">
        <f>[1]Transactions!F283*[1]Transactions!G283</f>
        <v>414</v>
      </c>
      <c r="K283">
        <f>_xlfn.XLOOKUP([1]Transactions!D283,[1]Inventory!$C$2:$C$501,[1]Inventory!$A$2:$A$501)</f>
        <v>5</v>
      </c>
      <c r="L283">
        <f>_xlfn.XLOOKUP(K283,[1]Inventory!$A$2:$A$501,[1]Inventory!$D$2:$D$501)</f>
        <v>362</v>
      </c>
      <c r="M283">
        <f>_xlfn.XLOOKUP(K283,[1]Inventory!$A$2:$A$501,[1]Inventory!$E$2:$E$501)</f>
        <v>61</v>
      </c>
      <c r="N283" t="str">
        <f>_xlfn.XLOOKUP([1]Transactions!C283,[1]Customers!$A$2:$A$201,[1]Customers!$G$2:$G$201)</f>
        <v>West Bengal</v>
      </c>
      <c r="O283" t="str">
        <f>_xlfn.XLOOKUP(C283,[1]Customers!$A$2:$A$201,[1]Customers!$H$2:$H$201)</f>
        <v>East</v>
      </c>
      <c r="P283" t="str">
        <f>_xlfn.XLOOKUP(C283,[1]Customers!$A$2:$A$201,[1]Customers!$F$2:$F$201)</f>
        <v>Kolkata</v>
      </c>
      <c r="Q283">
        <f>_xlfn.XLOOKUP(C283,[1]Customers!$A$2:$A$201,[1]Customers!$D$2:$D$201)</f>
        <v>27</v>
      </c>
      <c r="R283" t="str">
        <f>_xlfn.XLOOKUP([1]Transactions!C283,[1]Customers!$A$2:$A$201,[1]Customers!$C$2:$C$201)</f>
        <v>Female</v>
      </c>
      <c r="S283" t="str">
        <f>_xlfn.XLOOKUP(C283,[1]Customers!$A$2:$A$201,[1]Customers!$B$2:$B$201)</f>
        <v>Customer_168</v>
      </c>
      <c r="T283" t="str">
        <f>_xlfn.XLOOKUP(D283,[1]Products!$A$2:$A$101,[1]Products!$C$2:$C$101)</f>
        <v>Grocery</v>
      </c>
      <c r="U283">
        <f>_xlfn.XLOOKUP(D283,[1]Products!$A$2:$A$101,[1]Products!$E$2:$E$101)</f>
        <v>419</v>
      </c>
      <c r="V283">
        <f>[1]Transactions!F283*[1]Transactions!U283</f>
        <v>419</v>
      </c>
    </row>
    <row r="284" spans="1:22" x14ac:dyDescent="0.3">
      <c r="A284">
        <v>283</v>
      </c>
      <c r="B284">
        <v>25</v>
      </c>
      <c r="C284">
        <v>10</v>
      </c>
      <c r="D284">
        <v>72</v>
      </c>
      <c r="E284">
        <v>3</v>
      </c>
      <c r="F284">
        <v>1</v>
      </c>
      <c r="G284">
        <v>139</v>
      </c>
      <c r="H284">
        <v>139</v>
      </c>
      <c r="I284">
        <v>25</v>
      </c>
      <c r="J284">
        <f>[1]Transactions!F284*[1]Transactions!G284</f>
        <v>139</v>
      </c>
      <c r="K284">
        <f>_xlfn.XLOOKUP([1]Transactions!D284,[1]Inventory!$C$2:$C$501,[1]Inventory!$A$2:$A$501)</f>
        <v>236</v>
      </c>
      <c r="L284">
        <f>_xlfn.XLOOKUP(K284,[1]Inventory!$A$2:$A$501,[1]Inventory!$D$2:$D$501)</f>
        <v>36</v>
      </c>
      <c r="M284">
        <f>_xlfn.XLOOKUP(K284,[1]Inventory!$A$2:$A$501,[1]Inventory!$E$2:$E$501)</f>
        <v>159</v>
      </c>
      <c r="N284" t="str">
        <f>_xlfn.XLOOKUP([1]Transactions!C284,[1]Customers!$A$2:$A$201,[1]Customers!$G$2:$G$201)</f>
        <v>Maharashtra</v>
      </c>
      <c r="O284" t="str">
        <f>_xlfn.XLOOKUP(C284,[1]Customers!$A$2:$A$201,[1]Customers!$H$2:$H$201)</f>
        <v>West</v>
      </c>
      <c r="P284" t="str">
        <f>_xlfn.XLOOKUP(C284,[1]Customers!$A$2:$A$201,[1]Customers!$F$2:$F$201)</f>
        <v>Mumbai</v>
      </c>
      <c r="Q284">
        <f>_xlfn.XLOOKUP(C284,[1]Customers!$A$2:$A$201,[1]Customers!$D$2:$D$201)</f>
        <v>56</v>
      </c>
      <c r="R284" t="str">
        <f>_xlfn.XLOOKUP([1]Transactions!C284,[1]Customers!$A$2:$A$201,[1]Customers!$C$2:$C$201)</f>
        <v>Male</v>
      </c>
      <c r="S284" t="str">
        <f>_xlfn.XLOOKUP(C284,[1]Customers!$A$2:$A$201,[1]Customers!$B$2:$B$201)</f>
        <v>Customer_10</v>
      </c>
      <c r="T284" t="str">
        <f>_xlfn.XLOOKUP(D284,[1]Products!$A$2:$A$101,[1]Products!$C$2:$C$101)</f>
        <v>Beverages</v>
      </c>
      <c r="U284">
        <f>_xlfn.XLOOKUP(D284,[1]Products!$A$2:$A$101,[1]Products!$E$2:$E$101)</f>
        <v>465</v>
      </c>
      <c r="V284">
        <f>[1]Transactions!F284*[1]Transactions!U284</f>
        <v>465</v>
      </c>
    </row>
    <row r="285" spans="1:22" x14ac:dyDescent="0.3">
      <c r="A285">
        <v>284</v>
      </c>
      <c r="B285">
        <v>74</v>
      </c>
      <c r="C285">
        <v>25</v>
      </c>
      <c r="D285">
        <v>39</v>
      </c>
      <c r="E285">
        <v>16</v>
      </c>
      <c r="F285">
        <v>4</v>
      </c>
      <c r="G285">
        <v>315</v>
      </c>
      <c r="H285">
        <v>1260</v>
      </c>
      <c r="I285">
        <v>55</v>
      </c>
      <c r="J285">
        <f>[1]Transactions!F285*[1]Transactions!G285</f>
        <v>1260</v>
      </c>
      <c r="K285">
        <f>_xlfn.XLOOKUP([1]Transactions!D285,[1]Inventory!$C$2:$C$501,[1]Inventory!$A$2:$A$501)</f>
        <v>122</v>
      </c>
      <c r="L285">
        <f>_xlfn.XLOOKUP(K285,[1]Inventory!$A$2:$A$501,[1]Inventory!$D$2:$D$501)</f>
        <v>220</v>
      </c>
      <c r="M285">
        <f>_xlfn.XLOOKUP(K285,[1]Inventory!$A$2:$A$501,[1]Inventory!$E$2:$E$501)</f>
        <v>113</v>
      </c>
      <c r="N285" t="str">
        <f>_xlfn.XLOOKUP([1]Transactions!C285,[1]Customers!$A$2:$A$201,[1]Customers!$G$2:$G$201)</f>
        <v>Maharashtra</v>
      </c>
      <c r="O285" t="str">
        <f>_xlfn.XLOOKUP(C285,[1]Customers!$A$2:$A$201,[1]Customers!$H$2:$H$201)</f>
        <v>West</v>
      </c>
      <c r="P285" t="str">
        <f>_xlfn.XLOOKUP(C285,[1]Customers!$A$2:$A$201,[1]Customers!$F$2:$F$201)</f>
        <v>Mumbai</v>
      </c>
      <c r="Q285">
        <f>_xlfn.XLOOKUP(C285,[1]Customers!$A$2:$A$201,[1]Customers!$D$2:$D$201)</f>
        <v>58</v>
      </c>
      <c r="R285" t="str">
        <f>_xlfn.XLOOKUP([1]Transactions!C285,[1]Customers!$A$2:$A$201,[1]Customers!$C$2:$C$201)</f>
        <v>Female</v>
      </c>
      <c r="S285" t="str">
        <f>_xlfn.XLOOKUP(C285,[1]Customers!$A$2:$A$201,[1]Customers!$B$2:$B$201)</f>
        <v>Customer_25</v>
      </c>
      <c r="T285" t="str">
        <f>_xlfn.XLOOKUP(D285,[1]Products!$A$2:$A$101,[1]Products!$C$2:$C$101)</f>
        <v>Grocery</v>
      </c>
      <c r="U285">
        <f>_xlfn.XLOOKUP(D285,[1]Products!$A$2:$A$101,[1]Products!$E$2:$E$101)</f>
        <v>50</v>
      </c>
      <c r="V285">
        <f>[1]Transactions!F285*[1]Transactions!U285</f>
        <v>200</v>
      </c>
    </row>
    <row r="286" spans="1:22" x14ac:dyDescent="0.3">
      <c r="A286">
        <v>285</v>
      </c>
      <c r="B286">
        <v>141</v>
      </c>
      <c r="C286">
        <v>119</v>
      </c>
      <c r="D286">
        <v>69</v>
      </c>
      <c r="E286">
        <v>15</v>
      </c>
      <c r="F286">
        <v>4</v>
      </c>
      <c r="G286">
        <v>483</v>
      </c>
      <c r="H286">
        <v>1932</v>
      </c>
      <c r="I286">
        <v>26</v>
      </c>
      <c r="J286">
        <f>[1]Transactions!F286*[1]Transactions!G286</f>
        <v>1932</v>
      </c>
      <c r="K286">
        <f>_xlfn.XLOOKUP([1]Transactions!D286,[1]Inventory!$C$2:$C$501,[1]Inventory!$A$2:$A$501)</f>
        <v>15</v>
      </c>
      <c r="L286">
        <f>_xlfn.XLOOKUP(K286,[1]Inventory!$A$2:$A$501,[1]Inventory!$D$2:$D$501)</f>
        <v>190</v>
      </c>
      <c r="M286">
        <f>_xlfn.XLOOKUP(K286,[1]Inventory!$A$2:$A$501,[1]Inventory!$E$2:$E$501)</f>
        <v>91</v>
      </c>
      <c r="N286" t="str">
        <f>_xlfn.XLOOKUP([1]Transactions!C286,[1]Customers!$A$2:$A$201,[1]Customers!$G$2:$G$201)</f>
        <v>Karnataka</v>
      </c>
      <c r="O286" t="str">
        <f>_xlfn.XLOOKUP(C286,[1]Customers!$A$2:$A$201,[1]Customers!$H$2:$H$201)</f>
        <v>South</v>
      </c>
      <c r="P286" t="str">
        <f>_xlfn.XLOOKUP(C286,[1]Customers!$A$2:$A$201,[1]Customers!$F$2:$F$201)</f>
        <v>Bangalore</v>
      </c>
      <c r="Q286">
        <f>_xlfn.XLOOKUP(C286,[1]Customers!$A$2:$A$201,[1]Customers!$D$2:$D$201)</f>
        <v>27</v>
      </c>
      <c r="R286" t="str">
        <f>_xlfn.XLOOKUP([1]Transactions!C286,[1]Customers!$A$2:$A$201,[1]Customers!$C$2:$C$201)</f>
        <v>Male</v>
      </c>
      <c r="S286" t="str">
        <f>_xlfn.XLOOKUP(C286,[1]Customers!$A$2:$A$201,[1]Customers!$B$2:$B$201)</f>
        <v>Customer_119</v>
      </c>
      <c r="T286" t="str">
        <f>_xlfn.XLOOKUP(D286,[1]Products!$A$2:$A$101,[1]Products!$C$2:$C$101)</f>
        <v>Grocery</v>
      </c>
      <c r="U286">
        <f>_xlfn.XLOOKUP(D286,[1]Products!$A$2:$A$101,[1]Products!$E$2:$E$101)</f>
        <v>460</v>
      </c>
      <c r="V286">
        <f>[1]Transactions!F286*[1]Transactions!U286</f>
        <v>1840</v>
      </c>
    </row>
    <row r="287" spans="1:22" x14ac:dyDescent="0.3">
      <c r="A287">
        <v>286</v>
      </c>
      <c r="B287">
        <v>45</v>
      </c>
      <c r="C287">
        <v>157</v>
      </c>
      <c r="D287">
        <v>23</v>
      </c>
      <c r="E287">
        <v>11</v>
      </c>
      <c r="F287">
        <v>1</v>
      </c>
      <c r="G287">
        <v>348</v>
      </c>
      <c r="H287">
        <v>348</v>
      </c>
      <c r="I287">
        <v>42</v>
      </c>
      <c r="J287">
        <f>[1]Transactions!F287*[1]Transactions!G287</f>
        <v>348</v>
      </c>
      <c r="K287">
        <f>_xlfn.XLOOKUP([1]Transactions!D287,[1]Inventory!$C$2:$C$501,[1]Inventory!$A$2:$A$501)</f>
        <v>127</v>
      </c>
      <c r="L287">
        <f>_xlfn.XLOOKUP(K287,[1]Inventory!$A$2:$A$501,[1]Inventory!$D$2:$D$501)</f>
        <v>144</v>
      </c>
      <c r="M287">
        <f>_xlfn.XLOOKUP(K287,[1]Inventory!$A$2:$A$501,[1]Inventory!$E$2:$E$501)</f>
        <v>95</v>
      </c>
      <c r="N287" t="str">
        <f>_xlfn.XLOOKUP([1]Transactions!C287,[1]Customers!$A$2:$A$201,[1]Customers!$G$2:$G$201)</f>
        <v>Tamil Nadu</v>
      </c>
      <c r="O287" t="str">
        <f>_xlfn.XLOOKUP(C287,[1]Customers!$A$2:$A$201,[1]Customers!$H$2:$H$201)</f>
        <v>South</v>
      </c>
      <c r="P287" t="str">
        <f>_xlfn.XLOOKUP(C287,[1]Customers!$A$2:$A$201,[1]Customers!$F$2:$F$201)</f>
        <v>Chennai</v>
      </c>
      <c r="Q287">
        <f>_xlfn.XLOOKUP(C287,[1]Customers!$A$2:$A$201,[1]Customers!$D$2:$D$201)</f>
        <v>30</v>
      </c>
      <c r="R287" t="str">
        <f>_xlfn.XLOOKUP([1]Transactions!C287,[1]Customers!$A$2:$A$201,[1]Customers!$C$2:$C$201)</f>
        <v>Female</v>
      </c>
      <c r="S287" t="str">
        <f>_xlfn.XLOOKUP(C287,[1]Customers!$A$2:$A$201,[1]Customers!$B$2:$B$201)</f>
        <v>Customer_157</v>
      </c>
      <c r="T287" t="str">
        <f>_xlfn.XLOOKUP(D287,[1]Products!$A$2:$A$101,[1]Products!$C$2:$C$101)</f>
        <v>Grocery</v>
      </c>
      <c r="U287">
        <f>_xlfn.XLOOKUP(D287,[1]Products!$A$2:$A$101,[1]Products!$E$2:$E$101)</f>
        <v>370</v>
      </c>
      <c r="V287">
        <f>[1]Transactions!F287*[1]Transactions!U287</f>
        <v>370</v>
      </c>
    </row>
    <row r="288" spans="1:22" x14ac:dyDescent="0.3">
      <c r="A288">
        <v>287</v>
      </c>
      <c r="B288">
        <v>68</v>
      </c>
      <c r="C288">
        <v>83</v>
      </c>
      <c r="D288">
        <v>86</v>
      </c>
      <c r="E288">
        <v>10</v>
      </c>
      <c r="F288">
        <v>1</v>
      </c>
      <c r="G288">
        <v>286</v>
      </c>
      <c r="H288">
        <v>286</v>
      </c>
      <c r="I288">
        <v>26</v>
      </c>
      <c r="J288">
        <f>[1]Transactions!F288*[1]Transactions!G288</f>
        <v>286</v>
      </c>
      <c r="K288">
        <f>_xlfn.XLOOKUP([1]Transactions!D288,[1]Inventory!$C$2:$C$501,[1]Inventory!$A$2:$A$501)</f>
        <v>84</v>
      </c>
      <c r="L288">
        <f>_xlfn.XLOOKUP(K288,[1]Inventory!$A$2:$A$501,[1]Inventory!$D$2:$D$501)</f>
        <v>450</v>
      </c>
      <c r="M288">
        <f>_xlfn.XLOOKUP(K288,[1]Inventory!$A$2:$A$501,[1]Inventory!$E$2:$E$501)</f>
        <v>85</v>
      </c>
      <c r="N288" t="str">
        <f>_xlfn.XLOOKUP([1]Transactions!C288,[1]Customers!$A$2:$A$201,[1]Customers!$G$2:$G$201)</f>
        <v>Maharashtra</v>
      </c>
      <c r="O288" t="str">
        <f>_xlfn.XLOOKUP(C288,[1]Customers!$A$2:$A$201,[1]Customers!$H$2:$H$201)</f>
        <v>West</v>
      </c>
      <c r="P288" t="str">
        <f>_xlfn.XLOOKUP(C288,[1]Customers!$A$2:$A$201,[1]Customers!$F$2:$F$201)</f>
        <v>Mumbai</v>
      </c>
      <c r="Q288">
        <f>_xlfn.XLOOKUP(C288,[1]Customers!$A$2:$A$201,[1]Customers!$D$2:$D$201)</f>
        <v>48</v>
      </c>
      <c r="R288" t="str">
        <f>_xlfn.XLOOKUP([1]Transactions!C288,[1]Customers!$A$2:$A$201,[1]Customers!$C$2:$C$201)</f>
        <v>Female</v>
      </c>
      <c r="S288" t="str">
        <f>_xlfn.XLOOKUP(C288,[1]Customers!$A$2:$A$201,[1]Customers!$B$2:$B$201)</f>
        <v>Customer_83</v>
      </c>
      <c r="T288" t="str">
        <f>_xlfn.XLOOKUP(D288,[1]Products!$A$2:$A$101,[1]Products!$C$2:$C$101)</f>
        <v>Snacks</v>
      </c>
      <c r="U288">
        <f>_xlfn.XLOOKUP(D288,[1]Products!$A$2:$A$101,[1]Products!$E$2:$E$101)</f>
        <v>405</v>
      </c>
      <c r="V288">
        <f>[1]Transactions!F288*[1]Transactions!U288</f>
        <v>405</v>
      </c>
    </row>
    <row r="289" spans="1:22" x14ac:dyDescent="0.3">
      <c r="A289">
        <v>288</v>
      </c>
      <c r="B289">
        <v>76</v>
      </c>
      <c r="C289">
        <v>60</v>
      </c>
      <c r="D289">
        <v>63</v>
      </c>
      <c r="E289">
        <v>12</v>
      </c>
      <c r="F289">
        <v>2</v>
      </c>
      <c r="G289">
        <v>469</v>
      </c>
      <c r="H289">
        <v>938</v>
      </c>
      <c r="I289">
        <v>54</v>
      </c>
      <c r="J289">
        <f>[1]Transactions!F289*[1]Transactions!G289</f>
        <v>938</v>
      </c>
      <c r="K289">
        <f>_xlfn.XLOOKUP([1]Transactions!D289,[1]Inventory!$C$2:$C$501,[1]Inventory!$A$2:$A$501)</f>
        <v>36</v>
      </c>
      <c r="L289">
        <f>_xlfn.XLOOKUP(K289,[1]Inventory!$A$2:$A$501,[1]Inventory!$D$2:$D$501)</f>
        <v>75</v>
      </c>
      <c r="M289">
        <f>_xlfn.XLOOKUP(K289,[1]Inventory!$A$2:$A$501,[1]Inventory!$E$2:$E$501)</f>
        <v>177</v>
      </c>
      <c r="N289" t="str">
        <f>_xlfn.XLOOKUP([1]Transactions!C289,[1]Customers!$A$2:$A$201,[1]Customers!$G$2:$G$201)</f>
        <v>Rajasthan</v>
      </c>
      <c r="O289" t="str">
        <f>_xlfn.XLOOKUP(C289,[1]Customers!$A$2:$A$201,[1]Customers!$H$2:$H$201)</f>
        <v>North</v>
      </c>
      <c r="P289" t="str">
        <f>_xlfn.XLOOKUP(C289,[1]Customers!$A$2:$A$201,[1]Customers!$F$2:$F$201)</f>
        <v>Jaipur</v>
      </c>
      <c r="Q289">
        <f>_xlfn.XLOOKUP(C289,[1]Customers!$A$2:$A$201,[1]Customers!$D$2:$D$201)</f>
        <v>54</v>
      </c>
      <c r="R289" t="str">
        <f>_xlfn.XLOOKUP([1]Transactions!C289,[1]Customers!$A$2:$A$201,[1]Customers!$C$2:$C$201)</f>
        <v>Male</v>
      </c>
      <c r="S289" t="str">
        <f>_xlfn.XLOOKUP(C289,[1]Customers!$A$2:$A$201,[1]Customers!$B$2:$B$201)</f>
        <v>Customer_60</v>
      </c>
      <c r="T289" t="str">
        <f>_xlfn.XLOOKUP(D289,[1]Products!$A$2:$A$101,[1]Products!$C$2:$C$101)</f>
        <v>Grocery</v>
      </c>
      <c r="U289">
        <f>_xlfn.XLOOKUP(D289,[1]Products!$A$2:$A$101,[1]Products!$E$2:$E$101)</f>
        <v>171</v>
      </c>
      <c r="V289">
        <f>[1]Transactions!F289*[1]Transactions!U289</f>
        <v>342</v>
      </c>
    </row>
    <row r="290" spans="1:22" x14ac:dyDescent="0.3">
      <c r="A290">
        <v>289</v>
      </c>
      <c r="B290">
        <v>128</v>
      </c>
      <c r="C290">
        <v>164</v>
      </c>
      <c r="D290">
        <v>72</v>
      </c>
      <c r="E290">
        <v>24</v>
      </c>
      <c r="F290">
        <v>5</v>
      </c>
      <c r="G290">
        <v>58</v>
      </c>
      <c r="H290">
        <v>290</v>
      </c>
      <c r="I290">
        <v>18</v>
      </c>
      <c r="J290">
        <f>[1]Transactions!F290*[1]Transactions!G290</f>
        <v>290</v>
      </c>
      <c r="K290">
        <f>_xlfn.XLOOKUP([1]Transactions!D290,[1]Inventory!$C$2:$C$501,[1]Inventory!$A$2:$A$501)</f>
        <v>236</v>
      </c>
      <c r="L290">
        <f>_xlfn.XLOOKUP(K290,[1]Inventory!$A$2:$A$501,[1]Inventory!$D$2:$D$501)</f>
        <v>36</v>
      </c>
      <c r="M290">
        <f>_xlfn.XLOOKUP(K290,[1]Inventory!$A$2:$A$501,[1]Inventory!$E$2:$E$501)</f>
        <v>159</v>
      </c>
      <c r="N290" t="str">
        <f>_xlfn.XLOOKUP([1]Transactions!C290,[1]Customers!$A$2:$A$201,[1]Customers!$G$2:$G$201)</f>
        <v>Maharashtra</v>
      </c>
      <c r="O290" t="str">
        <f>_xlfn.XLOOKUP(C290,[1]Customers!$A$2:$A$201,[1]Customers!$H$2:$H$201)</f>
        <v>West</v>
      </c>
      <c r="P290" t="str">
        <f>_xlfn.XLOOKUP(C290,[1]Customers!$A$2:$A$201,[1]Customers!$F$2:$F$201)</f>
        <v>Pune</v>
      </c>
      <c r="Q290">
        <f>_xlfn.XLOOKUP(C290,[1]Customers!$A$2:$A$201,[1]Customers!$D$2:$D$201)</f>
        <v>49</v>
      </c>
      <c r="R290" t="str">
        <f>_xlfn.XLOOKUP([1]Transactions!C290,[1]Customers!$A$2:$A$201,[1]Customers!$C$2:$C$201)</f>
        <v>Male</v>
      </c>
      <c r="S290" t="str">
        <f>_xlfn.XLOOKUP(C290,[1]Customers!$A$2:$A$201,[1]Customers!$B$2:$B$201)</f>
        <v>Customer_164</v>
      </c>
      <c r="T290" t="str">
        <f>_xlfn.XLOOKUP(D290,[1]Products!$A$2:$A$101,[1]Products!$C$2:$C$101)</f>
        <v>Beverages</v>
      </c>
      <c r="U290">
        <f>_xlfn.XLOOKUP(D290,[1]Products!$A$2:$A$101,[1]Products!$E$2:$E$101)</f>
        <v>465</v>
      </c>
      <c r="V290">
        <f>[1]Transactions!F290*[1]Transactions!U290</f>
        <v>2325</v>
      </c>
    </row>
    <row r="291" spans="1:22" x14ac:dyDescent="0.3">
      <c r="A291">
        <v>290</v>
      </c>
      <c r="B291">
        <v>128</v>
      </c>
      <c r="C291">
        <v>184</v>
      </c>
      <c r="D291">
        <v>15</v>
      </c>
      <c r="E291">
        <v>44</v>
      </c>
      <c r="F291">
        <v>5</v>
      </c>
      <c r="G291">
        <v>308</v>
      </c>
      <c r="H291">
        <v>1540</v>
      </c>
      <c r="I291">
        <v>60</v>
      </c>
      <c r="J291">
        <f>[1]Transactions!F291*[1]Transactions!G291</f>
        <v>1540</v>
      </c>
      <c r="K291">
        <f>_xlfn.XLOOKUP([1]Transactions!D291,[1]Inventory!$C$2:$C$501,[1]Inventory!$A$2:$A$501)</f>
        <v>407</v>
      </c>
      <c r="L291">
        <f>_xlfn.XLOOKUP(K291,[1]Inventory!$A$2:$A$501,[1]Inventory!$D$2:$D$501)</f>
        <v>248</v>
      </c>
      <c r="M291">
        <f>_xlfn.XLOOKUP(K291,[1]Inventory!$A$2:$A$501,[1]Inventory!$E$2:$E$501)</f>
        <v>87</v>
      </c>
      <c r="N291" t="str">
        <f>_xlfn.XLOOKUP([1]Transactions!C291,[1]Customers!$A$2:$A$201,[1]Customers!$G$2:$G$201)</f>
        <v>Gujarat</v>
      </c>
      <c r="O291" t="str">
        <f>_xlfn.XLOOKUP(C291,[1]Customers!$A$2:$A$201,[1]Customers!$H$2:$H$201)</f>
        <v>West</v>
      </c>
      <c r="P291" t="str">
        <f>_xlfn.XLOOKUP(C291,[1]Customers!$A$2:$A$201,[1]Customers!$F$2:$F$201)</f>
        <v>Ahmedabad</v>
      </c>
      <c r="Q291">
        <f>_xlfn.XLOOKUP(C291,[1]Customers!$A$2:$A$201,[1]Customers!$D$2:$D$201)</f>
        <v>43</v>
      </c>
      <c r="R291" t="str">
        <f>_xlfn.XLOOKUP([1]Transactions!C291,[1]Customers!$A$2:$A$201,[1]Customers!$C$2:$C$201)</f>
        <v>Female</v>
      </c>
      <c r="S291" t="str">
        <f>_xlfn.XLOOKUP(C291,[1]Customers!$A$2:$A$201,[1]Customers!$B$2:$B$201)</f>
        <v>Customer_184</v>
      </c>
      <c r="T291" t="str">
        <f>_xlfn.XLOOKUP(D291,[1]Products!$A$2:$A$101,[1]Products!$C$2:$C$101)</f>
        <v>Snacks</v>
      </c>
      <c r="U291">
        <f>_xlfn.XLOOKUP(D291,[1]Products!$A$2:$A$101,[1]Products!$E$2:$E$101)</f>
        <v>214</v>
      </c>
      <c r="V291">
        <f>[1]Transactions!F291*[1]Transactions!U291</f>
        <v>1070</v>
      </c>
    </row>
    <row r="292" spans="1:22" x14ac:dyDescent="0.3">
      <c r="A292">
        <v>291</v>
      </c>
      <c r="B292">
        <v>140</v>
      </c>
      <c r="C292">
        <v>183</v>
      </c>
      <c r="D292">
        <v>4</v>
      </c>
      <c r="E292">
        <v>43</v>
      </c>
      <c r="F292">
        <v>4</v>
      </c>
      <c r="G292">
        <v>178</v>
      </c>
      <c r="H292">
        <v>712</v>
      </c>
      <c r="I292">
        <v>39</v>
      </c>
      <c r="J292">
        <f>[1]Transactions!F292*[1]Transactions!G292</f>
        <v>712</v>
      </c>
      <c r="K292">
        <f>_xlfn.XLOOKUP([1]Transactions!D292,[1]Inventory!$C$2:$C$501,[1]Inventory!$A$2:$A$501)</f>
        <v>130</v>
      </c>
      <c r="L292">
        <f>_xlfn.XLOOKUP(K292,[1]Inventory!$A$2:$A$501,[1]Inventory!$D$2:$D$501)</f>
        <v>14</v>
      </c>
      <c r="M292">
        <f>_xlfn.XLOOKUP(K292,[1]Inventory!$A$2:$A$501,[1]Inventory!$E$2:$E$501)</f>
        <v>97</v>
      </c>
      <c r="N292" t="str">
        <f>_xlfn.XLOOKUP([1]Transactions!C292,[1]Customers!$A$2:$A$201,[1]Customers!$G$2:$G$201)</f>
        <v>Gujarat</v>
      </c>
      <c r="O292" t="str">
        <f>_xlfn.XLOOKUP(C292,[1]Customers!$A$2:$A$201,[1]Customers!$H$2:$H$201)</f>
        <v>West</v>
      </c>
      <c r="P292" t="str">
        <f>_xlfn.XLOOKUP(C292,[1]Customers!$A$2:$A$201,[1]Customers!$F$2:$F$201)</f>
        <v>Ahmedabad</v>
      </c>
      <c r="Q292">
        <f>_xlfn.XLOOKUP(C292,[1]Customers!$A$2:$A$201,[1]Customers!$D$2:$D$201)</f>
        <v>59</v>
      </c>
      <c r="R292" t="str">
        <f>_xlfn.XLOOKUP([1]Transactions!C292,[1]Customers!$A$2:$A$201,[1]Customers!$C$2:$C$201)</f>
        <v>Male</v>
      </c>
      <c r="S292" t="str">
        <f>_xlfn.XLOOKUP(C292,[1]Customers!$A$2:$A$201,[1]Customers!$B$2:$B$201)</f>
        <v>Customer_183</v>
      </c>
      <c r="T292" t="str">
        <f>_xlfn.XLOOKUP(D292,[1]Products!$A$2:$A$101,[1]Products!$C$2:$C$101)</f>
        <v>Grocery</v>
      </c>
      <c r="U292">
        <f>_xlfn.XLOOKUP(D292,[1]Products!$A$2:$A$101,[1]Products!$E$2:$E$101)</f>
        <v>459</v>
      </c>
      <c r="V292">
        <f>[1]Transactions!F292*[1]Transactions!U292</f>
        <v>1836</v>
      </c>
    </row>
    <row r="293" spans="1:22" x14ac:dyDescent="0.3">
      <c r="A293">
        <v>292</v>
      </c>
      <c r="B293">
        <v>136</v>
      </c>
      <c r="C293">
        <v>114</v>
      </c>
      <c r="D293">
        <v>59</v>
      </c>
      <c r="E293">
        <v>18</v>
      </c>
      <c r="F293">
        <v>5</v>
      </c>
      <c r="G293">
        <v>204</v>
      </c>
      <c r="H293">
        <v>1020</v>
      </c>
      <c r="I293">
        <v>25</v>
      </c>
      <c r="J293">
        <f>[1]Transactions!F293*[1]Transactions!G293</f>
        <v>1020</v>
      </c>
      <c r="K293">
        <f>_xlfn.XLOOKUP([1]Transactions!D293,[1]Inventory!$C$2:$C$501,[1]Inventory!$A$2:$A$501)</f>
        <v>148</v>
      </c>
      <c r="L293">
        <f>_xlfn.XLOOKUP(K293,[1]Inventory!$A$2:$A$501,[1]Inventory!$D$2:$D$501)</f>
        <v>410</v>
      </c>
      <c r="M293">
        <f>_xlfn.XLOOKUP(K293,[1]Inventory!$A$2:$A$501,[1]Inventory!$E$2:$E$501)</f>
        <v>25</v>
      </c>
      <c r="N293" t="str">
        <f>_xlfn.XLOOKUP([1]Transactions!C293,[1]Customers!$A$2:$A$201,[1]Customers!$G$2:$G$201)</f>
        <v>Delhi</v>
      </c>
      <c r="O293" t="str">
        <f>_xlfn.XLOOKUP(C293,[1]Customers!$A$2:$A$201,[1]Customers!$H$2:$H$201)</f>
        <v>North</v>
      </c>
      <c r="P293" t="str">
        <f>_xlfn.XLOOKUP(C293,[1]Customers!$A$2:$A$201,[1]Customers!$F$2:$F$201)</f>
        <v>Delhi</v>
      </c>
      <c r="Q293">
        <f>_xlfn.XLOOKUP(C293,[1]Customers!$A$2:$A$201,[1]Customers!$D$2:$D$201)</f>
        <v>38</v>
      </c>
      <c r="R293" t="str">
        <f>_xlfn.XLOOKUP([1]Transactions!C293,[1]Customers!$A$2:$A$201,[1]Customers!$C$2:$C$201)</f>
        <v>Male</v>
      </c>
      <c r="S293" t="str">
        <f>_xlfn.XLOOKUP(C293,[1]Customers!$A$2:$A$201,[1]Customers!$B$2:$B$201)</f>
        <v>Customer_114</v>
      </c>
      <c r="T293" t="str">
        <f>_xlfn.XLOOKUP(D293,[1]Products!$A$2:$A$101,[1]Products!$C$2:$C$101)</f>
        <v>Dairy</v>
      </c>
      <c r="U293">
        <f>_xlfn.XLOOKUP(D293,[1]Products!$A$2:$A$101,[1]Products!$E$2:$E$101)</f>
        <v>183</v>
      </c>
      <c r="V293">
        <f>[1]Transactions!F293*[1]Transactions!U293</f>
        <v>915</v>
      </c>
    </row>
    <row r="294" spans="1:22" x14ac:dyDescent="0.3">
      <c r="A294">
        <v>293</v>
      </c>
      <c r="B294">
        <v>57</v>
      </c>
      <c r="C294">
        <v>173</v>
      </c>
      <c r="D294">
        <v>10</v>
      </c>
      <c r="E294">
        <v>35</v>
      </c>
      <c r="F294">
        <v>2</v>
      </c>
      <c r="G294">
        <v>47</v>
      </c>
      <c r="H294">
        <v>94</v>
      </c>
      <c r="I294">
        <v>42</v>
      </c>
      <c r="J294">
        <f>[1]Transactions!F294*[1]Transactions!G294</f>
        <v>94</v>
      </c>
      <c r="K294">
        <f>_xlfn.XLOOKUP([1]Transactions!D294,[1]Inventory!$C$2:$C$501,[1]Inventory!$A$2:$A$501)</f>
        <v>3</v>
      </c>
      <c r="L294">
        <f>_xlfn.XLOOKUP(K294,[1]Inventory!$A$2:$A$501,[1]Inventory!$D$2:$D$501)</f>
        <v>471</v>
      </c>
      <c r="M294">
        <f>_xlfn.XLOOKUP(K294,[1]Inventory!$A$2:$A$501,[1]Inventory!$E$2:$E$501)</f>
        <v>23</v>
      </c>
      <c r="N294" t="str">
        <f>_xlfn.XLOOKUP([1]Transactions!C294,[1]Customers!$A$2:$A$201,[1]Customers!$G$2:$G$201)</f>
        <v>Delhi</v>
      </c>
      <c r="O294" t="str">
        <f>_xlfn.XLOOKUP(C294,[1]Customers!$A$2:$A$201,[1]Customers!$H$2:$H$201)</f>
        <v>North</v>
      </c>
      <c r="P294" t="str">
        <f>_xlfn.XLOOKUP(C294,[1]Customers!$A$2:$A$201,[1]Customers!$F$2:$F$201)</f>
        <v>Delhi</v>
      </c>
      <c r="Q294">
        <f>_xlfn.XLOOKUP(C294,[1]Customers!$A$2:$A$201,[1]Customers!$D$2:$D$201)</f>
        <v>50</v>
      </c>
      <c r="R294" t="str">
        <f>_xlfn.XLOOKUP([1]Transactions!C294,[1]Customers!$A$2:$A$201,[1]Customers!$C$2:$C$201)</f>
        <v>Female</v>
      </c>
      <c r="S294" t="str">
        <f>_xlfn.XLOOKUP(C294,[1]Customers!$A$2:$A$201,[1]Customers!$B$2:$B$201)</f>
        <v>Customer_173</v>
      </c>
      <c r="T294" t="str">
        <f>_xlfn.XLOOKUP(D294,[1]Products!$A$2:$A$101,[1]Products!$C$2:$C$101)</f>
        <v>Beverages</v>
      </c>
      <c r="U294">
        <f>_xlfn.XLOOKUP(D294,[1]Products!$A$2:$A$101,[1]Products!$E$2:$E$101)</f>
        <v>268</v>
      </c>
      <c r="V294">
        <f>[1]Transactions!F294*[1]Transactions!U294</f>
        <v>536</v>
      </c>
    </row>
    <row r="295" spans="1:22" x14ac:dyDescent="0.3">
      <c r="A295">
        <v>294</v>
      </c>
      <c r="B295">
        <v>10</v>
      </c>
      <c r="C295">
        <v>189</v>
      </c>
      <c r="D295">
        <v>82</v>
      </c>
      <c r="E295">
        <v>6</v>
      </c>
      <c r="F295">
        <v>5</v>
      </c>
      <c r="G295">
        <v>431</v>
      </c>
      <c r="H295">
        <v>2155</v>
      </c>
      <c r="I295">
        <v>21</v>
      </c>
      <c r="J295">
        <f>[1]Transactions!F295*[1]Transactions!G295</f>
        <v>2155</v>
      </c>
      <c r="K295">
        <f>_xlfn.XLOOKUP([1]Transactions!D295,[1]Inventory!$C$2:$C$501,[1]Inventory!$A$2:$A$501)</f>
        <v>291</v>
      </c>
      <c r="L295">
        <f>_xlfn.XLOOKUP(K295,[1]Inventory!$A$2:$A$501,[1]Inventory!$D$2:$D$501)</f>
        <v>179</v>
      </c>
      <c r="M295">
        <f>_xlfn.XLOOKUP(K295,[1]Inventory!$A$2:$A$501,[1]Inventory!$E$2:$E$501)</f>
        <v>60</v>
      </c>
      <c r="N295" t="str">
        <f>_xlfn.XLOOKUP([1]Transactions!C295,[1]Customers!$A$2:$A$201,[1]Customers!$G$2:$G$201)</f>
        <v>Delhi</v>
      </c>
      <c r="O295" t="str">
        <f>_xlfn.XLOOKUP(C295,[1]Customers!$A$2:$A$201,[1]Customers!$H$2:$H$201)</f>
        <v>North</v>
      </c>
      <c r="P295" t="str">
        <f>_xlfn.XLOOKUP(C295,[1]Customers!$A$2:$A$201,[1]Customers!$F$2:$F$201)</f>
        <v>Delhi</v>
      </c>
      <c r="Q295">
        <f>_xlfn.XLOOKUP(C295,[1]Customers!$A$2:$A$201,[1]Customers!$D$2:$D$201)</f>
        <v>20</v>
      </c>
      <c r="R295" t="str">
        <f>_xlfn.XLOOKUP([1]Transactions!C295,[1]Customers!$A$2:$A$201,[1]Customers!$C$2:$C$201)</f>
        <v>Female</v>
      </c>
      <c r="S295" t="str">
        <f>_xlfn.XLOOKUP(C295,[1]Customers!$A$2:$A$201,[1]Customers!$B$2:$B$201)</f>
        <v>Customer_189</v>
      </c>
      <c r="T295" t="str">
        <f>_xlfn.XLOOKUP(D295,[1]Products!$A$2:$A$101,[1]Products!$C$2:$C$101)</f>
        <v>Grocery</v>
      </c>
      <c r="U295">
        <f>_xlfn.XLOOKUP(D295,[1]Products!$A$2:$A$101,[1]Products!$E$2:$E$101)</f>
        <v>358</v>
      </c>
      <c r="V295">
        <f>[1]Transactions!F295*[1]Transactions!U295</f>
        <v>1790</v>
      </c>
    </row>
    <row r="296" spans="1:22" x14ac:dyDescent="0.3">
      <c r="A296">
        <v>295</v>
      </c>
      <c r="B296">
        <v>79</v>
      </c>
      <c r="C296">
        <v>126</v>
      </c>
      <c r="D296">
        <v>35</v>
      </c>
      <c r="E296">
        <v>47</v>
      </c>
      <c r="F296">
        <v>1</v>
      </c>
      <c r="G296">
        <v>22</v>
      </c>
      <c r="H296">
        <v>22</v>
      </c>
      <c r="I296">
        <v>56</v>
      </c>
      <c r="J296">
        <f>[1]Transactions!F296*[1]Transactions!G296</f>
        <v>22</v>
      </c>
      <c r="K296">
        <f>_xlfn.XLOOKUP([1]Transactions!D296,[1]Inventory!$C$2:$C$501,[1]Inventory!$A$2:$A$501)</f>
        <v>115</v>
      </c>
      <c r="L296">
        <f>_xlfn.XLOOKUP(K296,[1]Inventory!$A$2:$A$501,[1]Inventory!$D$2:$D$501)</f>
        <v>33</v>
      </c>
      <c r="M296">
        <f>_xlfn.XLOOKUP(K296,[1]Inventory!$A$2:$A$501,[1]Inventory!$E$2:$E$501)</f>
        <v>66</v>
      </c>
      <c r="N296" t="str">
        <f>_xlfn.XLOOKUP([1]Transactions!C296,[1]Customers!$A$2:$A$201,[1]Customers!$G$2:$G$201)</f>
        <v>Tamil Nadu</v>
      </c>
      <c r="O296" t="str">
        <f>_xlfn.XLOOKUP(C296,[1]Customers!$A$2:$A$201,[1]Customers!$H$2:$H$201)</f>
        <v>South</v>
      </c>
      <c r="P296" t="str">
        <f>_xlfn.XLOOKUP(C296,[1]Customers!$A$2:$A$201,[1]Customers!$F$2:$F$201)</f>
        <v>Chennai</v>
      </c>
      <c r="Q296">
        <f>_xlfn.XLOOKUP(C296,[1]Customers!$A$2:$A$201,[1]Customers!$D$2:$D$201)</f>
        <v>52</v>
      </c>
      <c r="R296" t="str">
        <f>_xlfn.XLOOKUP([1]Transactions!C296,[1]Customers!$A$2:$A$201,[1]Customers!$C$2:$C$201)</f>
        <v>Female</v>
      </c>
      <c r="S296" t="str">
        <f>_xlfn.XLOOKUP(C296,[1]Customers!$A$2:$A$201,[1]Customers!$B$2:$B$201)</f>
        <v>Customer_126</v>
      </c>
      <c r="T296" t="str">
        <f>_xlfn.XLOOKUP(D296,[1]Products!$A$2:$A$101,[1]Products!$C$2:$C$101)</f>
        <v>Grocery</v>
      </c>
      <c r="U296">
        <f>_xlfn.XLOOKUP(D296,[1]Products!$A$2:$A$101,[1]Products!$E$2:$E$101)</f>
        <v>346</v>
      </c>
      <c r="V296">
        <f>[1]Transactions!F296*[1]Transactions!U296</f>
        <v>346</v>
      </c>
    </row>
    <row r="297" spans="1:22" x14ac:dyDescent="0.3">
      <c r="A297">
        <v>296</v>
      </c>
      <c r="B297">
        <v>30</v>
      </c>
      <c r="C297">
        <v>39</v>
      </c>
      <c r="D297">
        <v>71</v>
      </c>
      <c r="E297">
        <v>42</v>
      </c>
      <c r="F297">
        <v>1</v>
      </c>
      <c r="G297">
        <v>154</v>
      </c>
      <c r="H297">
        <v>154</v>
      </c>
      <c r="I297">
        <v>31</v>
      </c>
      <c r="J297">
        <f>[1]Transactions!F297*[1]Transactions!G297</f>
        <v>154</v>
      </c>
      <c r="K297">
        <f>_xlfn.XLOOKUP([1]Transactions!D297,[1]Inventory!$C$2:$C$501,[1]Inventory!$A$2:$A$501)</f>
        <v>30</v>
      </c>
      <c r="L297">
        <f>_xlfn.XLOOKUP(K297,[1]Inventory!$A$2:$A$501,[1]Inventory!$D$2:$D$501)</f>
        <v>155</v>
      </c>
      <c r="M297">
        <f>_xlfn.XLOOKUP(K297,[1]Inventory!$A$2:$A$501,[1]Inventory!$E$2:$E$501)</f>
        <v>79</v>
      </c>
      <c r="N297" t="str">
        <f>_xlfn.XLOOKUP([1]Transactions!C297,[1]Customers!$A$2:$A$201,[1]Customers!$G$2:$G$201)</f>
        <v>Gujarat</v>
      </c>
      <c r="O297" t="str">
        <f>_xlfn.XLOOKUP(C297,[1]Customers!$A$2:$A$201,[1]Customers!$H$2:$H$201)</f>
        <v>West</v>
      </c>
      <c r="P297" t="str">
        <f>_xlfn.XLOOKUP(C297,[1]Customers!$A$2:$A$201,[1]Customers!$F$2:$F$201)</f>
        <v>Ahmedabad</v>
      </c>
      <c r="Q297">
        <f>_xlfn.XLOOKUP(C297,[1]Customers!$A$2:$A$201,[1]Customers!$D$2:$D$201)</f>
        <v>36</v>
      </c>
      <c r="R297" t="str">
        <f>_xlfn.XLOOKUP([1]Transactions!C297,[1]Customers!$A$2:$A$201,[1]Customers!$C$2:$C$201)</f>
        <v>Male</v>
      </c>
      <c r="S297" t="str">
        <f>_xlfn.XLOOKUP(C297,[1]Customers!$A$2:$A$201,[1]Customers!$B$2:$B$201)</f>
        <v>Customer_39</v>
      </c>
      <c r="T297" t="str">
        <f>_xlfn.XLOOKUP(D297,[1]Products!$A$2:$A$101,[1]Products!$C$2:$C$101)</f>
        <v>Snacks</v>
      </c>
      <c r="U297">
        <f>_xlfn.XLOOKUP(D297,[1]Products!$A$2:$A$101,[1]Products!$E$2:$E$101)</f>
        <v>389</v>
      </c>
      <c r="V297">
        <f>[1]Transactions!F297*[1]Transactions!U297</f>
        <v>389</v>
      </c>
    </row>
    <row r="298" spans="1:22" x14ac:dyDescent="0.3">
      <c r="A298">
        <v>297</v>
      </c>
      <c r="B298">
        <v>109</v>
      </c>
      <c r="C298">
        <v>155</v>
      </c>
      <c r="D298">
        <v>40</v>
      </c>
      <c r="E298">
        <v>1</v>
      </c>
      <c r="F298">
        <v>4</v>
      </c>
      <c r="G298">
        <v>21</v>
      </c>
      <c r="H298">
        <v>84</v>
      </c>
      <c r="I298">
        <v>49</v>
      </c>
      <c r="J298">
        <f>[1]Transactions!F298*[1]Transactions!G298</f>
        <v>84</v>
      </c>
      <c r="K298">
        <f>_xlfn.XLOOKUP([1]Transactions!D298,[1]Inventory!$C$2:$C$501,[1]Inventory!$A$2:$A$501)</f>
        <v>113</v>
      </c>
      <c r="L298">
        <f>_xlfn.XLOOKUP(K298,[1]Inventory!$A$2:$A$501,[1]Inventory!$D$2:$D$501)</f>
        <v>462</v>
      </c>
      <c r="M298">
        <f>_xlfn.XLOOKUP(K298,[1]Inventory!$A$2:$A$501,[1]Inventory!$E$2:$E$501)</f>
        <v>68</v>
      </c>
      <c r="N298" t="str">
        <f>_xlfn.XLOOKUP([1]Transactions!C298,[1]Customers!$A$2:$A$201,[1]Customers!$G$2:$G$201)</f>
        <v>UP</v>
      </c>
      <c r="O298" t="str">
        <f>_xlfn.XLOOKUP(C298,[1]Customers!$A$2:$A$201,[1]Customers!$H$2:$H$201)</f>
        <v>North</v>
      </c>
      <c r="P298" t="str">
        <f>_xlfn.XLOOKUP(C298,[1]Customers!$A$2:$A$201,[1]Customers!$F$2:$F$201)</f>
        <v>Lucknow</v>
      </c>
      <c r="Q298">
        <f>_xlfn.XLOOKUP(C298,[1]Customers!$A$2:$A$201,[1]Customers!$D$2:$D$201)</f>
        <v>29</v>
      </c>
      <c r="R298" t="str">
        <f>_xlfn.XLOOKUP([1]Transactions!C298,[1]Customers!$A$2:$A$201,[1]Customers!$C$2:$C$201)</f>
        <v>Female</v>
      </c>
      <c r="S298" t="str">
        <f>_xlfn.XLOOKUP(C298,[1]Customers!$A$2:$A$201,[1]Customers!$B$2:$B$201)</f>
        <v>Customer_155</v>
      </c>
      <c r="T298" t="str">
        <f>_xlfn.XLOOKUP(D298,[1]Products!$A$2:$A$101,[1]Products!$C$2:$C$101)</f>
        <v>Grocery</v>
      </c>
      <c r="U298">
        <f>_xlfn.XLOOKUP(D298,[1]Products!$A$2:$A$101,[1]Products!$E$2:$E$101)</f>
        <v>184</v>
      </c>
      <c r="V298">
        <f>[1]Transactions!F298*[1]Transactions!U298</f>
        <v>736</v>
      </c>
    </row>
    <row r="299" spans="1:22" x14ac:dyDescent="0.3">
      <c r="A299">
        <v>298</v>
      </c>
      <c r="B299">
        <v>159</v>
      </c>
      <c r="C299">
        <v>169</v>
      </c>
      <c r="D299">
        <v>94</v>
      </c>
      <c r="E299">
        <v>31</v>
      </c>
      <c r="F299">
        <v>5</v>
      </c>
      <c r="G299">
        <v>309</v>
      </c>
      <c r="H299">
        <v>1545</v>
      </c>
      <c r="I299">
        <v>51</v>
      </c>
      <c r="J299">
        <f>[1]Transactions!F299*[1]Transactions!G299</f>
        <v>1545</v>
      </c>
      <c r="K299">
        <f>_xlfn.XLOOKUP([1]Transactions!D299,[1]Inventory!$C$2:$C$501,[1]Inventory!$A$2:$A$501)</f>
        <v>6</v>
      </c>
      <c r="L299">
        <f>_xlfn.XLOOKUP(K299,[1]Inventory!$A$2:$A$501,[1]Inventory!$D$2:$D$501)</f>
        <v>395</v>
      </c>
      <c r="M299">
        <f>_xlfn.XLOOKUP(K299,[1]Inventory!$A$2:$A$501,[1]Inventory!$E$2:$E$501)</f>
        <v>100</v>
      </c>
      <c r="N299" t="str">
        <f>_xlfn.XLOOKUP([1]Transactions!C299,[1]Customers!$A$2:$A$201,[1]Customers!$G$2:$G$201)</f>
        <v>UP</v>
      </c>
      <c r="O299" t="str">
        <f>_xlfn.XLOOKUP(C299,[1]Customers!$A$2:$A$201,[1]Customers!$H$2:$H$201)</f>
        <v>North</v>
      </c>
      <c r="P299" t="str">
        <f>_xlfn.XLOOKUP(C299,[1]Customers!$A$2:$A$201,[1]Customers!$F$2:$F$201)</f>
        <v>Lucknow</v>
      </c>
      <c r="Q299">
        <f>_xlfn.XLOOKUP(C299,[1]Customers!$A$2:$A$201,[1]Customers!$D$2:$D$201)</f>
        <v>45</v>
      </c>
      <c r="R299" t="str">
        <f>_xlfn.XLOOKUP([1]Transactions!C299,[1]Customers!$A$2:$A$201,[1]Customers!$C$2:$C$201)</f>
        <v>Male</v>
      </c>
      <c r="S299" t="str">
        <f>_xlfn.XLOOKUP(C299,[1]Customers!$A$2:$A$201,[1]Customers!$B$2:$B$201)</f>
        <v>Customer_169</v>
      </c>
      <c r="T299" t="str">
        <f>_xlfn.XLOOKUP(D299,[1]Products!$A$2:$A$101,[1]Products!$C$2:$C$101)</f>
        <v>Grocery</v>
      </c>
      <c r="U299">
        <f>_xlfn.XLOOKUP(D299,[1]Products!$A$2:$A$101,[1]Products!$E$2:$E$101)</f>
        <v>234</v>
      </c>
      <c r="V299">
        <f>[1]Transactions!F299*[1]Transactions!U299</f>
        <v>1170</v>
      </c>
    </row>
    <row r="300" spans="1:22" x14ac:dyDescent="0.3">
      <c r="A300">
        <v>299</v>
      </c>
      <c r="B300">
        <v>132</v>
      </c>
      <c r="C300">
        <v>148</v>
      </c>
      <c r="D300">
        <v>17</v>
      </c>
      <c r="E300">
        <v>5</v>
      </c>
      <c r="F300">
        <v>5</v>
      </c>
      <c r="G300">
        <v>240</v>
      </c>
      <c r="H300">
        <v>1200</v>
      </c>
      <c r="I300">
        <v>10</v>
      </c>
      <c r="J300">
        <f>[1]Transactions!F300*[1]Transactions!G300</f>
        <v>1200</v>
      </c>
      <c r="K300">
        <f>_xlfn.XLOOKUP([1]Transactions!D300,[1]Inventory!$C$2:$C$501,[1]Inventory!$A$2:$A$501)</f>
        <v>1</v>
      </c>
      <c r="L300">
        <f>_xlfn.XLOOKUP(K300,[1]Inventory!$A$2:$A$501,[1]Inventory!$D$2:$D$501)</f>
        <v>179</v>
      </c>
      <c r="M300">
        <f>_xlfn.XLOOKUP(K300,[1]Inventory!$A$2:$A$501,[1]Inventory!$E$2:$E$501)</f>
        <v>124</v>
      </c>
      <c r="N300" t="str">
        <f>_xlfn.XLOOKUP([1]Transactions!C300,[1]Customers!$A$2:$A$201,[1]Customers!$G$2:$G$201)</f>
        <v>Rajasthan</v>
      </c>
      <c r="O300" t="str">
        <f>_xlfn.XLOOKUP(C300,[1]Customers!$A$2:$A$201,[1]Customers!$H$2:$H$201)</f>
        <v>North</v>
      </c>
      <c r="P300" t="str">
        <f>_xlfn.XLOOKUP(C300,[1]Customers!$A$2:$A$201,[1]Customers!$F$2:$F$201)</f>
        <v>Jaipur</v>
      </c>
      <c r="Q300">
        <f>_xlfn.XLOOKUP(C300,[1]Customers!$A$2:$A$201,[1]Customers!$D$2:$D$201)</f>
        <v>42</v>
      </c>
      <c r="R300" t="str">
        <f>_xlfn.XLOOKUP([1]Transactions!C300,[1]Customers!$A$2:$A$201,[1]Customers!$C$2:$C$201)</f>
        <v>Female</v>
      </c>
      <c r="S300" t="str">
        <f>_xlfn.XLOOKUP(C300,[1]Customers!$A$2:$A$201,[1]Customers!$B$2:$B$201)</f>
        <v>Customer_148</v>
      </c>
      <c r="T300" t="str">
        <f>_xlfn.XLOOKUP(D300,[1]Products!$A$2:$A$101,[1]Products!$C$2:$C$101)</f>
        <v>Snacks</v>
      </c>
      <c r="U300">
        <f>_xlfn.XLOOKUP(D300,[1]Products!$A$2:$A$101,[1]Products!$E$2:$E$101)</f>
        <v>55</v>
      </c>
      <c r="V300">
        <f>[1]Transactions!F300*[1]Transactions!U300</f>
        <v>275</v>
      </c>
    </row>
    <row r="301" spans="1:22" x14ac:dyDescent="0.3">
      <c r="A301">
        <v>300</v>
      </c>
      <c r="B301">
        <v>85</v>
      </c>
      <c r="C301">
        <v>72</v>
      </c>
      <c r="D301">
        <v>22</v>
      </c>
      <c r="E301">
        <v>8</v>
      </c>
      <c r="F301">
        <v>1</v>
      </c>
      <c r="G301">
        <v>405</v>
      </c>
      <c r="H301">
        <v>405</v>
      </c>
      <c r="I301">
        <v>33</v>
      </c>
      <c r="J301">
        <f>[1]Transactions!F301*[1]Transactions!G301</f>
        <v>405</v>
      </c>
      <c r="K301">
        <f>_xlfn.XLOOKUP([1]Transactions!D301,[1]Inventory!$C$2:$C$501,[1]Inventory!$A$2:$A$501)</f>
        <v>9</v>
      </c>
      <c r="L301">
        <f>_xlfn.XLOOKUP(K301,[1]Inventory!$A$2:$A$501,[1]Inventory!$D$2:$D$501)</f>
        <v>177</v>
      </c>
      <c r="M301">
        <f>_xlfn.XLOOKUP(K301,[1]Inventory!$A$2:$A$501,[1]Inventory!$E$2:$E$501)</f>
        <v>107</v>
      </c>
      <c r="N301" t="str">
        <f>_xlfn.XLOOKUP([1]Transactions!C301,[1]Customers!$A$2:$A$201,[1]Customers!$G$2:$G$201)</f>
        <v>Tamil Nadu</v>
      </c>
      <c r="O301" t="str">
        <f>_xlfn.XLOOKUP(C301,[1]Customers!$A$2:$A$201,[1]Customers!$H$2:$H$201)</f>
        <v>South</v>
      </c>
      <c r="P301" t="str">
        <f>_xlfn.XLOOKUP(C301,[1]Customers!$A$2:$A$201,[1]Customers!$F$2:$F$201)</f>
        <v>Chennai</v>
      </c>
      <c r="Q301">
        <f>_xlfn.XLOOKUP(C301,[1]Customers!$A$2:$A$201,[1]Customers!$D$2:$D$201)</f>
        <v>46</v>
      </c>
      <c r="R301" t="str">
        <f>_xlfn.XLOOKUP([1]Transactions!C301,[1]Customers!$A$2:$A$201,[1]Customers!$C$2:$C$201)</f>
        <v>Female</v>
      </c>
      <c r="S301" t="str">
        <f>_xlfn.XLOOKUP(C301,[1]Customers!$A$2:$A$201,[1]Customers!$B$2:$B$201)</f>
        <v>Customer_72</v>
      </c>
      <c r="T301" t="str">
        <f>_xlfn.XLOOKUP(D301,[1]Products!$A$2:$A$101,[1]Products!$C$2:$C$101)</f>
        <v>Snacks</v>
      </c>
      <c r="U301">
        <f>_xlfn.XLOOKUP(D301,[1]Products!$A$2:$A$101,[1]Products!$E$2:$E$101)</f>
        <v>482</v>
      </c>
      <c r="V301">
        <f>[1]Transactions!F301*[1]Transactions!U301</f>
        <v>482</v>
      </c>
    </row>
    <row r="302" spans="1:22" x14ac:dyDescent="0.3">
      <c r="A302">
        <v>301</v>
      </c>
      <c r="B302">
        <v>81</v>
      </c>
      <c r="C302">
        <v>185</v>
      </c>
      <c r="D302">
        <v>18</v>
      </c>
      <c r="E302">
        <v>45</v>
      </c>
      <c r="F302">
        <v>3</v>
      </c>
      <c r="G302">
        <v>20</v>
      </c>
      <c r="H302">
        <v>60</v>
      </c>
      <c r="I302">
        <v>43</v>
      </c>
      <c r="J302">
        <f>[1]Transactions!F302*[1]Transactions!G302</f>
        <v>60</v>
      </c>
      <c r="K302">
        <f>_xlfn.XLOOKUP([1]Transactions!D302,[1]Inventory!$C$2:$C$501,[1]Inventory!$A$2:$A$501)</f>
        <v>78</v>
      </c>
      <c r="L302">
        <f>_xlfn.XLOOKUP(K302,[1]Inventory!$A$2:$A$501,[1]Inventory!$D$2:$D$501)</f>
        <v>109</v>
      </c>
      <c r="M302">
        <f>_xlfn.XLOOKUP(K302,[1]Inventory!$A$2:$A$501,[1]Inventory!$E$2:$E$501)</f>
        <v>51</v>
      </c>
      <c r="N302" t="str">
        <f>_xlfn.XLOOKUP([1]Transactions!C302,[1]Customers!$A$2:$A$201,[1]Customers!$G$2:$G$201)</f>
        <v>Delhi</v>
      </c>
      <c r="O302" t="str">
        <f>_xlfn.XLOOKUP(C302,[1]Customers!$A$2:$A$201,[1]Customers!$H$2:$H$201)</f>
        <v>North</v>
      </c>
      <c r="P302" t="str">
        <f>_xlfn.XLOOKUP(C302,[1]Customers!$A$2:$A$201,[1]Customers!$F$2:$F$201)</f>
        <v>Delhi</v>
      </c>
      <c r="Q302">
        <f>_xlfn.XLOOKUP(C302,[1]Customers!$A$2:$A$201,[1]Customers!$D$2:$D$201)</f>
        <v>32</v>
      </c>
      <c r="R302" t="str">
        <f>_xlfn.XLOOKUP([1]Transactions!C302,[1]Customers!$A$2:$A$201,[1]Customers!$C$2:$C$201)</f>
        <v>Female</v>
      </c>
      <c r="S302" t="str">
        <f>_xlfn.XLOOKUP(C302,[1]Customers!$A$2:$A$201,[1]Customers!$B$2:$B$201)</f>
        <v>Customer_185</v>
      </c>
      <c r="T302" t="str">
        <f>_xlfn.XLOOKUP(D302,[1]Products!$A$2:$A$101,[1]Products!$C$2:$C$101)</f>
        <v>Snacks</v>
      </c>
      <c r="U302">
        <f>_xlfn.XLOOKUP(D302,[1]Products!$A$2:$A$101,[1]Products!$E$2:$E$101)</f>
        <v>460</v>
      </c>
      <c r="V302">
        <f>[1]Transactions!F302*[1]Transactions!U302</f>
        <v>1380</v>
      </c>
    </row>
    <row r="303" spans="1:22" x14ac:dyDescent="0.3">
      <c r="A303">
        <v>302</v>
      </c>
      <c r="B303">
        <v>140</v>
      </c>
      <c r="C303">
        <v>40</v>
      </c>
      <c r="D303">
        <v>44</v>
      </c>
      <c r="E303">
        <v>41</v>
      </c>
      <c r="F303">
        <v>2</v>
      </c>
      <c r="G303">
        <v>246</v>
      </c>
      <c r="H303">
        <v>492</v>
      </c>
      <c r="I303">
        <v>35</v>
      </c>
      <c r="J303">
        <f>[1]Transactions!F303*[1]Transactions!G303</f>
        <v>492</v>
      </c>
      <c r="K303">
        <f>_xlfn.XLOOKUP([1]Transactions!D303,[1]Inventory!$C$2:$C$501,[1]Inventory!$A$2:$A$501)</f>
        <v>72</v>
      </c>
      <c r="L303">
        <f>_xlfn.XLOOKUP(K303,[1]Inventory!$A$2:$A$501,[1]Inventory!$D$2:$D$501)</f>
        <v>462</v>
      </c>
      <c r="M303">
        <f>_xlfn.XLOOKUP(K303,[1]Inventory!$A$2:$A$501,[1]Inventory!$E$2:$E$501)</f>
        <v>9</v>
      </c>
      <c r="N303" t="str">
        <f>_xlfn.XLOOKUP([1]Transactions!C303,[1]Customers!$A$2:$A$201,[1]Customers!$G$2:$G$201)</f>
        <v>Maharashtra</v>
      </c>
      <c r="O303" t="str">
        <f>_xlfn.XLOOKUP(C303,[1]Customers!$A$2:$A$201,[1]Customers!$H$2:$H$201)</f>
        <v>West</v>
      </c>
      <c r="P303" t="str">
        <f>_xlfn.XLOOKUP(C303,[1]Customers!$A$2:$A$201,[1]Customers!$F$2:$F$201)</f>
        <v>Mumbai</v>
      </c>
      <c r="Q303">
        <f>_xlfn.XLOOKUP(C303,[1]Customers!$A$2:$A$201,[1]Customers!$D$2:$D$201)</f>
        <v>51</v>
      </c>
      <c r="R303" t="str">
        <f>_xlfn.XLOOKUP([1]Transactions!C303,[1]Customers!$A$2:$A$201,[1]Customers!$C$2:$C$201)</f>
        <v>Male</v>
      </c>
      <c r="S303" t="str">
        <f>_xlfn.XLOOKUP(C303,[1]Customers!$A$2:$A$201,[1]Customers!$B$2:$B$201)</f>
        <v>Customer_40</v>
      </c>
      <c r="T303" t="str">
        <f>_xlfn.XLOOKUP(D303,[1]Products!$A$2:$A$101,[1]Products!$C$2:$C$101)</f>
        <v>Dairy</v>
      </c>
      <c r="U303">
        <f>_xlfn.XLOOKUP(D303,[1]Products!$A$2:$A$101,[1]Products!$E$2:$E$101)</f>
        <v>181</v>
      </c>
      <c r="V303">
        <f>[1]Transactions!F303*[1]Transactions!U303</f>
        <v>362</v>
      </c>
    </row>
    <row r="304" spans="1:22" x14ac:dyDescent="0.3">
      <c r="A304">
        <v>303</v>
      </c>
      <c r="B304">
        <v>21</v>
      </c>
      <c r="C304">
        <v>189</v>
      </c>
      <c r="D304">
        <v>54</v>
      </c>
      <c r="E304">
        <v>27</v>
      </c>
      <c r="F304">
        <v>1</v>
      </c>
      <c r="G304">
        <v>118</v>
      </c>
      <c r="H304">
        <v>118</v>
      </c>
      <c r="I304">
        <v>17</v>
      </c>
      <c r="J304">
        <f>[1]Transactions!F304*[1]Transactions!G304</f>
        <v>118</v>
      </c>
      <c r="K304">
        <f>_xlfn.XLOOKUP([1]Transactions!D304,[1]Inventory!$C$2:$C$501,[1]Inventory!$A$2:$A$501)</f>
        <v>21</v>
      </c>
      <c r="L304">
        <f>_xlfn.XLOOKUP(K304,[1]Inventory!$A$2:$A$501,[1]Inventory!$D$2:$D$501)</f>
        <v>124</v>
      </c>
      <c r="M304">
        <f>_xlfn.XLOOKUP(K304,[1]Inventory!$A$2:$A$501,[1]Inventory!$E$2:$E$501)</f>
        <v>101</v>
      </c>
      <c r="N304" t="str">
        <f>_xlfn.XLOOKUP([1]Transactions!C304,[1]Customers!$A$2:$A$201,[1]Customers!$G$2:$G$201)</f>
        <v>Delhi</v>
      </c>
      <c r="O304" t="str">
        <f>_xlfn.XLOOKUP(C304,[1]Customers!$A$2:$A$201,[1]Customers!$H$2:$H$201)</f>
        <v>North</v>
      </c>
      <c r="P304" t="str">
        <f>_xlfn.XLOOKUP(C304,[1]Customers!$A$2:$A$201,[1]Customers!$F$2:$F$201)</f>
        <v>Delhi</v>
      </c>
      <c r="Q304">
        <f>_xlfn.XLOOKUP(C304,[1]Customers!$A$2:$A$201,[1]Customers!$D$2:$D$201)</f>
        <v>20</v>
      </c>
      <c r="R304" t="str">
        <f>_xlfn.XLOOKUP([1]Transactions!C304,[1]Customers!$A$2:$A$201,[1]Customers!$C$2:$C$201)</f>
        <v>Female</v>
      </c>
      <c r="S304" t="str">
        <f>_xlfn.XLOOKUP(C304,[1]Customers!$A$2:$A$201,[1]Customers!$B$2:$B$201)</f>
        <v>Customer_189</v>
      </c>
      <c r="T304" t="str">
        <f>_xlfn.XLOOKUP(D304,[1]Products!$A$2:$A$101,[1]Products!$C$2:$C$101)</f>
        <v>Beverages</v>
      </c>
      <c r="U304">
        <f>_xlfn.XLOOKUP(D304,[1]Products!$A$2:$A$101,[1]Products!$E$2:$E$101)</f>
        <v>426</v>
      </c>
      <c r="V304">
        <f>[1]Transactions!F304*[1]Transactions!U304</f>
        <v>426</v>
      </c>
    </row>
    <row r="305" spans="1:22" x14ac:dyDescent="0.3">
      <c r="A305">
        <v>304</v>
      </c>
      <c r="B305">
        <v>14</v>
      </c>
      <c r="C305">
        <v>33</v>
      </c>
      <c r="D305">
        <v>9</v>
      </c>
      <c r="E305">
        <v>40</v>
      </c>
      <c r="F305">
        <v>2</v>
      </c>
      <c r="G305">
        <v>33</v>
      </c>
      <c r="H305">
        <v>66</v>
      </c>
      <c r="I305">
        <v>52</v>
      </c>
      <c r="J305">
        <f>[1]Transactions!F305*[1]Transactions!G305</f>
        <v>66</v>
      </c>
      <c r="K305">
        <f>_xlfn.XLOOKUP([1]Transactions!D305,[1]Inventory!$C$2:$C$501,[1]Inventory!$A$2:$A$501)</f>
        <v>185</v>
      </c>
      <c r="L305">
        <f>_xlfn.XLOOKUP(K305,[1]Inventory!$A$2:$A$501,[1]Inventory!$D$2:$D$501)</f>
        <v>464</v>
      </c>
      <c r="M305">
        <f>_xlfn.XLOOKUP(K305,[1]Inventory!$A$2:$A$501,[1]Inventory!$E$2:$E$501)</f>
        <v>34</v>
      </c>
      <c r="N305" t="str">
        <f>_xlfn.XLOOKUP([1]Transactions!C305,[1]Customers!$A$2:$A$201,[1]Customers!$G$2:$G$201)</f>
        <v>West Bengal</v>
      </c>
      <c r="O305" t="str">
        <f>_xlfn.XLOOKUP(C305,[1]Customers!$A$2:$A$201,[1]Customers!$H$2:$H$201)</f>
        <v>East</v>
      </c>
      <c r="P305" t="str">
        <f>_xlfn.XLOOKUP(C305,[1]Customers!$A$2:$A$201,[1]Customers!$F$2:$F$201)</f>
        <v>Kolkata</v>
      </c>
      <c r="Q305">
        <f>_xlfn.XLOOKUP(C305,[1]Customers!$A$2:$A$201,[1]Customers!$D$2:$D$201)</f>
        <v>20</v>
      </c>
      <c r="R305" t="str">
        <f>_xlfn.XLOOKUP([1]Transactions!C305,[1]Customers!$A$2:$A$201,[1]Customers!$C$2:$C$201)</f>
        <v>Female</v>
      </c>
      <c r="S305" t="str">
        <f>_xlfn.XLOOKUP(C305,[1]Customers!$A$2:$A$201,[1]Customers!$B$2:$B$201)</f>
        <v>Customer_33</v>
      </c>
      <c r="T305" t="str">
        <f>_xlfn.XLOOKUP(D305,[1]Products!$A$2:$A$101,[1]Products!$C$2:$C$101)</f>
        <v>Personal Care</v>
      </c>
      <c r="U305">
        <f>_xlfn.XLOOKUP(D305,[1]Products!$A$2:$A$101,[1]Products!$E$2:$E$101)</f>
        <v>121</v>
      </c>
      <c r="V305">
        <f>[1]Transactions!F305*[1]Transactions!U305</f>
        <v>242</v>
      </c>
    </row>
    <row r="306" spans="1:22" x14ac:dyDescent="0.3">
      <c r="A306">
        <v>305</v>
      </c>
      <c r="B306">
        <v>119</v>
      </c>
      <c r="C306">
        <v>194</v>
      </c>
      <c r="D306">
        <v>89</v>
      </c>
      <c r="E306">
        <v>50</v>
      </c>
      <c r="F306">
        <v>1</v>
      </c>
      <c r="G306">
        <v>140</v>
      </c>
      <c r="H306">
        <v>140</v>
      </c>
      <c r="I306">
        <v>41</v>
      </c>
      <c r="J306">
        <f>[1]Transactions!F306*[1]Transactions!G306</f>
        <v>140</v>
      </c>
      <c r="K306">
        <f>_xlfn.XLOOKUP([1]Transactions!D306,[1]Inventory!$C$2:$C$501,[1]Inventory!$A$2:$A$501)</f>
        <v>10</v>
      </c>
      <c r="L306">
        <f>_xlfn.XLOOKUP(K306,[1]Inventory!$A$2:$A$501,[1]Inventory!$D$2:$D$501)</f>
        <v>340</v>
      </c>
      <c r="M306">
        <f>_xlfn.XLOOKUP(K306,[1]Inventory!$A$2:$A$501,[1]Inventory!$E$2:$E$501)</f>
        <v>121</v>
      </c>
      <c r="N306" t="str">
        <f>_xlfn.XLOOKUP([1]Transactions!C306,[1]Customers!$A$2:$A$201,[1]Customers!$G$2:$G$201)</f>
        <v>Delhi</v>
      </c>
      <c r="O306" t="str">
        <f>_xlfn.XLOOKUP(C306,[1]Customers!$A$2:$A$201,[1]Customers!$H$2:$H$201)</f>
        <v>North</v>
      </c>
      <c r="P306" t="str">
        <f>_xlfn.XLOOKUP(C306,[1]Customers!$A$2:$A$201,[1]Customers!$F$2:$F$201)</f>
        <v>Delhi</v>
      </c>
      <c r="Q306">
        <f>_xlfn.XLOOKUP(C306,[1]Customers!$A$2:$A$201,[1]Customers!$D$2:$D$201)</f>
        <v>31</v>
      </c>
      <c r="R306" t="str">
        <f>_xlfn.XLOOKUP([1]Transactions!C306,[1]Customers!$A$2:$A$201,[1]Customers!$C$2:$C$201)</f>
        <v>Male</v>
      </c>
      <c r="S306" t="str">
        <f>_xlfn.XLOOKUP(C306,[1]Customers!$A$2:$A$201,[1]Customers!$B$2:$B$201)</f>
        <v>Customer_194</v>
      </c>
      <c r="T306" t="str">
        <f>_xlfn.XLOOKUP(D306,[1]Products!$A$2:$A$101,[1]Products!$C$2:$C$101)</f>
        <v>Snacks</v>
      </c>
      <c r="U306">
        <f>_xlfn.XLOOKUP(D306,[1]Products!$A$2:$A$101,[1]Products!$E$2:$E$101)</f>
        <v>387</v>
      </c>
      <c r="V306">
        <f>[1]Transactions!F306*[1]Transactions!U306</f>
        <v>387</v>
      </c>
    </row>
    <row r="307" spans="1:22" x14ac:dyDescent="0.3">
      <c r="A307">
        <v>306</v>
      </c>
      <c r="B307">
        <v>99</v>
      </c>
      <c r="C307">
        <v>121</v>
      </c>
      <c r="D307">
        <v>31</v>
      </c>
      <c r="E307">
        <v>19</v>
      </c>
      <c r="F307">
        <v>4</v>
      </c>
      <c r="G307">
        <v>44</v>
      </c>
      <c r="H307">
        <v>176</v>
      </c>
      <c r="I307">
        <v>18</v>
      </c>
      <c r="J307">
        <f>[1]Transactions!F307*[1]Transactions!G307</f>
        <v>176</v>
      </c>
      <c r="K307">
        <f>_xlfn.XLOOKUP([1]Transactions!D307,[1]Inventory!$C$2:$C$501,[1]Inventory!$A$2:$A$501)</f>
        <v>61</v>
      </c>
      <c r="L307">
        <f>_xlfn.XLOOKUP(K307,[1]Inventory!$A$2:$A$501,[1]Inventory!$D$2:$D$501)</f>
        <v>342</v>
      </c>
      <c r="M307">
        <f>_xlfn.XLOOKUP(K307,[1]Inventory!$A$2:$A$501,[1]Inventory!$E$2:$E$501)</f>
        <v>35</v>
      </c>
      <c r="N307" t="str">
        <f>_xlfn.XLOOKUP([1]Transactions!C307,[1]Customers!$A$2:$A$201,[1]Customers!$G$2:$G$201)</f>
        <v>Tamil Nadu</v>
      </c>
      <c r="O307" t="str">
        <f>_xlfn.XLOOKUP(C307,[1]Customers!$A$2:$A$201,[1]Customers!$H$2:$H$201)</f>
        <v>South</v>
      </c>
      <c r="P307" t="str">
        <f>_xlfn.XLOOKUP(C307,[1]Customers!$A$2:$A$201,[1]Customers!$F$2:$F$201)</f>
        <v>Chennai</v>
      </c>
      <c r="Q307">
        <f>_xlfn.XLOOKUP(C307,[1]Customers!$A$2:$A$201,[1]Customers!$D$2:$D$201)</f>
        <v>47</v>
      </c>
      <c r="R307" t="str">
        <f>_xlfn.XLOOKUP([1]Transactions!C307,[1]Customers!$A$2:$A$201,[1]Customers!$C$2:$C$201)</f>
        <v>Female</v>
      </c>
      <c r="S307" t="str">
        <f>_xlfn.XLOOKUP(C307,[1]Customers!$A$2:$A$201,[1]Customers!$B$2:$B$201)</f>
        <v>Customer_121</v>
      </c>
      <c r="T307" t="str">
        <f>_xlfn.XLOOKUP(D307,[1]Products!$A$2:$A$101,[1]Products!$C$2:$C$101)</f>
        <v>Grocery</v>
      </c>
      <c r="U307">
        <f>_xlfn.XLOOKUP(D307,[1]Products!$A$2:$A$101,[1]Products!$E$2:$E$101)</f>
        <v>254</v>
      </c>
      <c r="V307">
        <f>[1]Transactions!F307*[1]Transactions!U307</f>
        <v>1016</v>
      </c>
    </row>
    <row r="308" spans="1:22" x14ac:dyDescent="0.3">
      <c r="A308">
        <v>307</v>
      </c>
      <c r="B308">
        <v>55</v>
      </c>
      <c r="C308">
        <v>86</v>
      </c>
      <c r="D308">
        <v>10</v>
      </c>
      <c r="E308">
        <v>8</v>
      </c>
      <c r="F308">
        <v>5</v>
      </c>
      <c r="G308">
        <v>500</v>
      </c>
      <c r="H308">
        <v>2500</v>
      </c>
      <c r="I308">
        <v>34</v>
      </c>
      <c r="J308">
        <f>[1]Transactions!F308*[1]Transactions!G308</f>
        <v>2500</v>
      </c>
      <c r="K308">
        <f>_xlfn.XLOOKUP([1]Transactions!D308,[1]Inventory!$C$2:$C$501,[1]Inventory!$A$2:$A$501)</f>
        <v>3</v>
      </c>
      <c r="L308">
        <f>_xlfn.XLOOKUP(K308,[1]Inventory!$A$2:$A$501,[1]Inventory!$D$2:$D$501)</f>
        <v>471</v>
      </c>
      <c r="M308">
        <f>_xlfn.XLOOKUP(K308,[1]Inventory!$A$2:$A$501,[1]Inventory!$E$2:$E$501)</f>
        <v>23</v>
      </c>
      <c r="N308" t="str">
        <f>_xlfn.XLOOKUP([1]Transactions!C308,[1]Customers!$A$2:$A$201,[1]Customers!$G$2:$G$201)</f>
        <v>Rajasthan</v>
      </c>
      <c r="O308" t="str">
        <f>_xlfn.XLOOKUP(C308,[1]Customers!$A$2:$A$201,[1]Customers!$H$2:$H$201)</f>
        <v>North</v>
      </c>
      <c r="P308" t="str">
        <f>_xlfn.XLOOKUP(C308,[1]Customers!$A$2:$A$201,[1]Customers!$F$2:$F$201)</f>
        <v>Jaipur</v>
      </c>
      <c r="Q308">
        <f>_xlfn.XLOOKUP(C308,[1]Customers!$A$2:$A$201,[1]Customers!$D$2:$D$201)</f>
        <v>50</v>
      </c>
      <c r="R308" t="str">
        <f>_xlfn.XLOOKUP([1]Transactions!C308,[1]Customers!$A$2:$A$201,[1]Customers!$C$2:$C$201)</f>
        <v>Female</v>
      </c>
      <c r="S308" t="str">
        <f>_xlfn.XLOOKUP(C308,[1]Customers!$A$2:$A$201,[1]Customers!$B$2:$B$201)</f>
        <v>Customer_86</v>
      </c>
      <c r="T308" t="str">
        <f>_xlfn.XLOOKUP(D308,[1]Products!$A$2:$A$101,[1]Products!$C$2:$C$101)</f>
        <v>Beverages</v>
      </c>
      <c r="U308">
        <f>_xlfn.XLOOKUP(D308,[1]Products!$A$2:$A$101,[1]Products!$E$2:$E$101)</f>
        <v>268</v>
      </c>
      <c r="V308">
        <f>[1]Transactions!F308*[1]Transactions!U308</f>
        <v>1340</v>
      </c>
    </row>
    <row r="309" spans="1:22" x14ac:dyDescent="0.3">
      <c r="A309">
        <v>308</v>
      </c>
      <c r="B309">
        <v>52</v>
      </c>
      <c r="C309">
        <v>54</v>
      </c>
      <c r="D309">
        <v>69</v>
      </c>
      <c r="E309">
        <v>48</v>
      </c>
      <c r="F309">
        <v>3</v>
      </c>
      <c r="G309">
        <v>232</v>
      </c>
      <c r="H309">
        <v>696</v>
      </c>
      <c r="I309">
        <v>22</v>
      </c>
      <c r="J309">
        <f>[1]Transactions!F309*[1]Transactions!G309</f>
        <v>696</v>
      </c>
      <c r="K309">
        <f>_xlfn.XLOOKUP([1]Transactions!D309,[1]Inventory!$C$2:$C$501,[1]Inventory!$A$2:$A$501)</f>
        <v>15</v>
      </c>
      <c r="L309">
        <f>_xlfn.XLOOKUP(K309,[1]Inventory!$A$2:$A$501,[1]Inventory!$D$2:$D$501)</f>
        <v>190</v>
      </c>
      <c r="M309">
        <f>_xlfn.XLOOKUP(K309,[1]Inventory!$A$2:$A$501,[1]Inventory!$E$2:$E$501)</f>
        <v>91</v>
      </c>
      <c r="N309" t="str">
        <f>_xlfn.XLOOKUP([1]Transactions!C309,[1]Customers!$A$2:$A$201,[1]Customers!$G$2:$G$201)</f>
        <v>Maharashtra</v>
      </c>
      <c r="O309" t="str">
        <f>_xlfn.XLOOKUP(C309,[1]Customers!$A$2:$A$201,[1]Customers!$H$2:$H$201)</f>
        <v>West</v>
      </c>
      <c r="P309" t="str">
        <f>_xlfn.XLOOKUP(C309,[1]Customers!$A$2:$A$201,[1]Customers!$F$2:$F$201)</f>
        <v>Mumbai</v>
      </c>
      <c r="Q309">
        <f>_xlfn.XLOOKUP(C309,[1]Customers!$A$2:$A$201,[1]Customers!$D$2:$D$201)</f>
        <v>23</v>
      </c>
      <c r="R309" t="str">
        <f>_xlfn.XLOOKUP([1]Transactions!C309,[1]Customers!$A$2:$A$201,[1]Customers!$C$2:$C$201)</f>
        <v>Male</v>
      </c>
      <c r="S309" t="str">
        <f>_xlfn.XLOOKUP(C309,[1]Customers!$A$2:$A$201,[1]Customers!$B$2:$B$201)</f>
        <v>Customer_54</v>
      </c>
      <c r="T309" t="str">
        <f>_xlfn.XLOOKUP(D309,[1]Products!$A$2:$A$101,[1]Products!$C$2:$C$101)</f>
        <v>Grocery</v>
      </c>
      <c r="U309">
        <f>_xlfn.XLOOKUP(D309,[1]Products!$A$2:$A$101,[1]Products!$E$2:$E$101)</f>
        <v>460</v>
      </c>
      <c r="V309">
        <f>[1]Transactions!F309*[1]Transactions!U309</f>
        <v>1380</v>
      </c>
    </row>
    <row r="310" spans="1:22" x14ac:dyDescent="0.3">
      <c r="A310">
        <v>309</v>
      </c>
      <c r="B310">
        <v>10</v>
      </c>
      <c r="C310">
        <v>63</v>
      </c>
      <c r="D310">
        <v>77</v>
      </c>
      <c r="E310">
        <v>39</v>
      </c>
      <c r="F310">
        <v>3</v>
      </c>
      <c r="G310">
        <v>278</v>
      </c>
      <c r="H310">
        <v>834</v>
      </c>
      <c r="I310">
        <v>46</v>
      </c>
      <c r="J310">
        <f>[1]Transactions!F310*[1]Transactions!G310</f>
        <v>834</v>
      </c>
      <c r="K310">
        <f>_xlfn.XLOOKUP([1]Transactions!D310,[1]Inventory!$C$2:$C$501,[1]Inventory!$A$2:$A$501)</f>
        <v>243</v>
      </c>
      <c r="L310">
        <f>_xlfn.XLOOKUP(K310,[1]Inventory!$A$2:$A$501,[1]Inventory!$D$2:$D$501)</f>
        <v>97</v>
      </c>
      <c r="M310">
        <f>_xlfn.XLOOKUP(K310,[1]Inventory!$A$2:$A$501,[1]Inventory!$E$2:$E$501)</f>
        <v>107</v>
      </c>
      <c r="N310" t="str">
        <f>_xlfn.XLOOKUP([1]Transactions!C310,[1]Customers!$A$2:$A$201,[1]Customers!$G$2:$G$201)</f>
        <v>Rajasthan</v>
      </c>
      <c r="O310" t="str">
        <f>_xlfn.XLOOKUP(C310,[1]Customers!$A$2:$A$201,[1]Customers!$H$2:$H$201)</f>
        <v>North</v>
      </c>
      <c r="P310" t="str">
        <f>_xlfn.XLOOKUP(C310,[1]Customers!$A$2:$A$201,[1]Customers!$F$2:$F$201)</f>
        <v>Jaipur</v>
      </c>
      <c r="Q310">
        <f>_xlfn.XLOOKUP(C310,[1]Customers!$A$2:$A$201,[1]Customers!$D$2:$D$201)</f>
        <v>19</v>
      </c>
      <c r="R310" t="str">
        <f>_xlfn.XLOOKUP([1]Transactions!C310,[1]Customers!$A$2:$A$201,[1]Customers!$C$2:$C$201)</f>
        <v>Male</v>
      </c>
      <c r="S310" t="str">
        <f>_xlfn.XLOOKUP(C310,[1]Customers!$A$2:$A$201,[1]Customers!$B$2:$B$201)</f>
        <v>Customer_63</v>
      </c>
      <c r="T310" t="str">
        <f>_xlfn.XLOOKUP(D310,[1]Products!$A$2:$A$101,[1]Products!$C$2:$C$101)</f>
        <v>Grocery</v>
      </c>
      <c r="U310">
        <f>_xlfn.XLOOKUP(D310,[1]Products!$A$2:$A$101,[1]Products!$E$2:$E$101)</f>
        <v>389</v>
      </c>
      <c r="V310">
        <f>[1]Transactions!F310*[1]Transactions!U310</f>
        <v>1167</v>
      </c>
    </row>
    <row r="311" spans="1:22" x14ac:dyDescent="0.3">
      <c r="A311">
        <v>310</v>
      </c>
      <c r="B311">
        <v>158</v>
      </c>
      <c r="C311">
        <v>80</v>
      </c>
      <c r="D311">
        <v>50</v>
      </c>
      <c r="E311">
        <v>40</v>
      </c>
      <c r="F311">
        <v>5</v>
      </c>
      <c r="G311">
        <v>173</v>
      </c>
      <c r="H311">
        <v>865</v>
      </c>
      <c r="I311">
        <v>14</v>
      </c>
      <c r="J311">
        <f>[1]Transactions!F311*[1]Transactions!G311</f>
        <v>865</v>
      </c>
      <c r="K311">
        <f>_xlfn.XLOOKUP([1]Transactions!D311,[1]Inventory!$C$2:$C$501,[1]Inventory!$A$2:$A$501)</f>
        <v>50</v>
      </c>
      <c r="L311">
        <f>_xlfn.XLOOKUP(K311,[1]Inventory!$A$2:$A$501,[1]Inventory!$D$2:$D$501)</f>
        <v>220</v>
      </c>
      <c r="M311">
        <f>_xlfn.XLOOKUP(K311,[1]Inventory!$A$2:$A$501,[1]Inventory!$E$2:$E$501)</f>
        <v>144</v>
      </c>
      <c r="N311" t="str">
        <f>_xlfn.XLOOKUP([1]Transactions!C311,[1]Customers!$A$2:$A$201,[1]Customers!$G$2:$G$201)</f>
        <v>Delhi</v>
      </c>
      <c r="O311" t="str">
        <f>_xlfn.XLOOKUP(C311,[1]Customers!$A$2:$A$201,[1]Customers!$H$2:$H$201)</f>
        <v>North</v>
      </c>
      <c r="P311" t="str">
        <f>_xlfn.XLOOKUP(C311,[1]Customers!$A$2:$A$201,[1]Customers!$F$2:$F$201)</f>
        <v>Delhi</v>
      </c>
      <c r="Q311">
        <f>_xlfn.XLOOKUP(C311,[1]Customers!$A$2:$A$201,[1]Customers!$D$2:$D$201)</f>
        <v>28</v>
      </c>
      <c r="R311" t="str">
        <f>_xlfn.XLOOKUP([1]Transactions!C311,[1]Customers!$A$2:$A$201,[1]Customers!$C$2:$C$201)</f>
        <v>Male</v>
      </c>
      <c r="S311" t="str">
        <f>_xlfn.XLOOKUP(C311,[1]Customers!$A$2:$A$201,[1]Customers!$B$2:$B$201)</f>
        <v>Customer_80</v>
      </c>
      <c r="T311" t="str">
        <f>_xlfn.XLOOKUP(D311,[1]Products!$A$2:$A$101,[1]Products!$C$2:$C$101)</f>
        <v>Personal Care</v>
      </c>
      <c r="U311">
        <f>_xlfn.XLOOKUP(D311,[1]Products!$A$2:$A$101,[1]Products!$E$2:$E$101)</f>
        <v>407</v>
      </c>
      <c r="V311">
        <f>[1]Transactions!F311*[1]Transactions!U311</f>
        <v>2035</v>
      </c>
    </row>
    <row r="312" spans="1:22" x14ac:dyDescent="0.3">
      <c r="A312">
        <v>311</v>
      </c>
      <c r="B312">
        <v>100</v>
      </c>
      <c r="C312">
        <v>100</v>
      </c>
      <c r="D312">
        <v>47</v>
      </c>
      <c r="E312">
        <v>11</v>
      </c>
      <c r="F312">
        <v>4</v>
      </c>
      <c r="G312">
        <v>346</v>
      </c>
      <c r="H312">
        <v>1384</v>
      </c>
      <c r="I312">
        <v>29</v>
      </c>
      <c r="J312">
        <f>[1]Transactions!F312*[1]Transactions!G312</f>
        <v>1384</v>
      </c>
      <c r="K312">
        <f>_xlfn.XLOOKUP([1]Transactions!D312,[1]Inventory!$C$2:$C$501,[1]Inventory!$A$2:$A$501)</f>
        <v>276</v>
      </c>
      <c r="L312">
        <f>_xlfn.XLOOKUP(K312,[1]Inventory!$A$2:$A$501,[1]Inventory!$D$2:$D$501)</f>
        <v>245</v>
      </c>
      <c r="M312">
        <f>_xlfn.XLOOKUP(K312,[1]Inventory!$A$2:$A$501,[1]Inventory!$E$2:$E$501)</f>
        <v>166</v>
      </c>
      <c r="N312" t="str">
        <f>_xlfn.XLOOKUP([1]Transactions!C312,[1]Customers!$A$2:$A$201,[1]Customers!$G$2:$G$201)</f>
        <v>Delhi</v>
      </c>
      <c r="O312" t="str">
        <f>_xlfn.XLOOKUP(C312,[1]Customers!$A$2:$A$201,[1]Customers!$H$2:$H$201)</f>
        <v>North</v>
      </c>
      <c r="P312" t="str">
        <f>_xlfn.XLOOKUP(C312,[1]Customers!$A$2:$A$201,[1]Customers!$F$2:$F$201)</f>
        <v>Delhi</v>
      </c>
      <c r="Q312">
        <f>_xlfn.XLOOKUP(C312,[1]Customers!$A$2:$A$201,[1]Customers!$D$2:$D$201)</f>
        <v>46</v>
      </c>
      <c r="R312" t="str">
        <f>_xlfn.XLOOKUP([1]Transactions!C312,[1]Customers!$A$2:$A$201,[1]Customers!$C$2:$C$201)</f>
        <v>Male</v>
      </c>
      <c r="S312" t="str">
        <f>_xlfn.XLOOKUP(C312,[1]Customers!$A$2:$A$201,[1]Customers!$B$2:$B$201)</f>
        <v>Customer_100</v>
      </c>
      <c r="T312" t="str">
        <f>_xlfn.XLOOKUP(D312,[1]Products!$A$2:$A$101,[1]Products!$C$2:$C$101)</f>
        <v>Snacks</v>
      </c>
      <c r="U312">
        <f>_xlfn.XLOOKUP(D312,[1]Products!$A$2:$A$101,[1]Products!$E$2:$E$101)</f>
        <v>441</v>
      </c>
      <c r="V312">
        <f>[1]Transactions!F312*[1]Transactions!U312</f>
        <v>1764</v>
      </c>
    </row>
    <row r="313" spans="1:22" x14ac:dyDescent="0.3">
      <c r="A313">
        <v>312</v>
      </c>
      <c r="B313">
        <v>35</v>
      </c>
      <c r="C313">
        <v>54</v>
      </c>
      <c r="D313">
        <v>82</v>
      </c>
      <c r="E313">
        <v>39</v>
      </c>
      <c r="F313">
        <v>1</v>
      </c>
      <c r="G313">
        <v>367</v>
      </c>
      <c r="H313">
        <v>367</v>
      </c>
      <c r="I313">
        <v>20</v>
      </c>
      <c r="J313">
        <f>[1]Transactions!F313*[1]Transactions!G313</f>
        <v>367</v>
      </c>
      <c r="K313">
        <f>_xlfn.XLOOKUP([1]Transactions!D313,[1]Inventory!$C$2:$C$501,[1]Inventory!$A$2:$A$501)</f>
        <v>291</v>
      </c>
      <c r="L313">
        <f>_xlfn.XLOOKUP(K313,[1]Inventory!$A$2:$A$501,[1]Inventory!$D$2:$D$501)</f>
        <v>179</v>
      </c>
      <c r="M313">
        <f>_xlfn.XLOOKUP(K313,[1]Inventory!$A$2:$A$501,[1]Inventory!$E$2:$E$501)</f>
        <v>60</v>
      </c>
      <c r="N313" t="str">
        <f>_xlfn.XLOOKUP([1]Transactions!C313,[1]Customers!$A$2:$A$201,[1]Customers!$G$2:$G$201)</f>
        <v>Maharashtra</v>
      </c>
      <c r="O313" t="str">
        <f>_xlfn.XLOOKUP(C313,[1]Customers!$A$2:$A$201,[1]Customers!$H$2:$H$201)</f>
        <v>West</v>
      </c>
      <c r="P313" t="str">
        <f>_xlfn.XLOOKUP(C313,[1]Customers!$A$2:$A$201,[1]Customers!$F$2:$F$201)</f>
        <v>Mumbai</v>
      </c>
      <c r="Q313">
        <f>_xlfn.XLOOKUP(C313,[1]Customers!$A$2:$A$201,[1]Customers!$D$2:$D$201)</f>
        <v>23</v>
      </c>
      <c r="R313" t="str">
        <f>_xlfn.XLOOKUP([1]Transactions!C313,[1]Customers!$A$2:$A$201,[1]Customers!$C$2:$C$201)</f>
        <v>Male</v>
      </c>
      <c r="S313" t="str">
        <f>_xlfn.XLOOKUP(C313,[1]Customers!$A$2:$A$201,[1]Customers!$B$2:$B$201)</f>
        <v>Customer_54</v>
      </c>
      <c r="T313" t="str">
        <f>_xlfn.XLOOKUP(D313,[1]Products!$A$2:$A$101,[1]Products!$C$2:$C$101)</f>
        <v>Grocery</v>
      </c>
      <c r="U313">
        <f>_xlfn.XLOOKUP(D313,[1]Products!$A$2:$A$101,[1]Products!$E$2:$E$101)</f>
        <v>358</v>
      </c>
      <c r="V313">
        <f>[1]Transactions!F313*[1]Transactions!U313</f>
        <v>358</v>
      </c>
    </row>
    <row r="314" spans="1:22" x14ac:dyDescent="0.3">
      <c r="A314">
        <v>313</v>
      </c>
      <c r="B314">
        <v>16</v>
      </c>
      <c r="C314">
        <v>131</v>
      </c>
      <c r="D314">
        <v>78</v>
      </c>
      <c r="E314">
        <v>20</v>
      </c>
      <c r="F314">
        <v>4</v>
      </c>
      <c r="G314">
        <v>347</v>
      </c>
      <c r="H314">
        <v>1388</v>
      </c>
      <c r="I314">
        <v>10</v>
      </c>
      <c r="J314">
        <f>[1]Transactions!F314*[1]Transactions!G314</f>
        <v>1388</v>
      </c>
      <c r="K314">
        <f>_xlfn.XLOOKUP([1]Transactions!D314,[1]Inventory!$C$2:$C$501,[1]Inventory!$A$2:$A$501)</f>
        <v>41</v>
      </c>
      <c r="L314">
        <f>_xlfn.XLOOKUP(K314,[1]Inventory!$A$2:$A$501,[1]Inventory!$D$2:$D$501)</f>
        <v>262</v>
      </c>
      <c r="M314">
        <f>_xlfn.XLOOKUP(K314,[1]Inventory!$A$2:$A$501,[1]Inventory!$E$2:$E$501)</f>
        <v>25</v>
      </c>
      <c r="N314" t="str">
        <f>_xlfn.XLOOKUP([1]Transactions!C314,[1]Customers!$A$2:$A$201,[1]Customers!$G$2:$G$201)</f>
        <v>Gujarat</v>
      </c>
      <c r="O314" t="str">
        <f>_xlfn.XLOOKUP(C314,[1]Customers!$A$2:$A$201,[1]Customers!$H$2:$H$201)</f>
        <v>West</v>
      </c>
      <c r="P314" t="str">
        <f>_xlfn.XLOOKUP(C314,[1]Customers!$A$2:$A$201,[1]Customers!$F$2:$F$201)</f>
        <v>Ahmedabad</v>
      </c>
      <c r="Q314">
        <f>_xlfn.XLOOKUP(C314,[1]Customers!$A$2:$A$201,[1]Customers!$D$2:$D$201)</f>
        <v>40</v>
      </c>
      <c r="R314" t="str">
        <f>_xlfn.XLOOKUP([1]Transactions!C314,[1]Customers!$A$2:$A$201,[1]Customers!$C$2:$C$201)</f>
        <v>Female</v>
      </c>
      <c r="S314" t="str">
        <f>_xlfn.XLOOKUP(C314,[1]Customers!$A$2:$A$201,[1]Customers!$B$2:$B$201)</f>
        <v>Customer_131</v>
      </c>
      <c r="T314" t="str">
        <f>_xlfn.XLOOKUP(D314,[1]Products!$A$2:$A$101,[1]Products!$C$2:$C$101)</f>
        <v>Grocery</v>
      </c>
      <c r="U314">
        <f>_xlfn.XLOOKUP(D314,[1]Products!$A$2:$A$101,[1]Products!$E$2:$E$101)</f>
        <v>88</v>
      </c>
      <c r="V314">
        <f>[1]Transactions!F314*[1]Transactions!U314</f>
        <v>352</v>
      </c>
    </row>
    <row r="315" spans="1:22" x14ac:dyDescent="0.3">
      <c r="A315">
        <v>314</v>
      </c>
      <c r="B315">
        <v>132</v>
      </c>
      <c r="C315">
        <v>106</v>
      </c>
      <c r="D315">
        <v>33</v>
      </c>
      <c r="E315">
        <v>17</v>
      </c>
      <c r="F315">
        <v>1</v>
      </c>
      <c r="G315">
        <v>172</v>
      </c>
      <c r="H315">
        <v>172</v>
      </c>
      <c r="I315">
        <v>40</v>
      </c>
      <c r="J315">
        <f>[1]Transactions!F315*[1]Transactions!G315</f>
        <v>172</v>
      </c>
      <c r="K315">
        <f>_xlfn.XLOOKUP([1]Transactions!D315,[1]Inventory!$C$2:$C$501,[1]Inventory!$A$2:$A$501)</f>
        <v>77</v>
      </c>
      <c r="L315">
        <f>_xlfn.XLOOKUP(K315,[1]Inventory!$A$2:$A$501,[1]Inventory!$D$2:$D$501)</f>
        <v>5</v>
      </c>
      <c r="M315">
        <f>_xlfn.XLOOKUP(K315,[1]Inventory!$A$2:$A$501,[1]Inventory!$E$2:$E$501)</f>
        <v>43</v>
      </c>
      <c r="N315" t="str">
        <f>_xlfn.XLOOKUP([1]Transactions!C315,[1]Customers!$A$2:$A$201,[1]Customers!$G$2:$G$201)</f>
        <v>Rajasthan</v>
      </c>
      <c r="O315" t="str">
        <f>_xlfn.XLOOKUP(C315,[1]Customers!$A$2:$A$201,[1]Customers!$H$2:$H$201)</f>
        <v>North</v>
      </c>
      <c r="P315" t="str">
        <f>_xlfn.XLOOKUP(C315,[1]Customers!$A$2:$A$201,[1]Customers!$F$2:$F$201)</f>
        <v>Jaipur</v>
      </c>
      <c r="Q315">
        <f>_xlfn.XLOOKUP(C315,[1]Customers!$A$2:$A$201,[1]Customers!$D$2:$D$201)</f>
        <v>60</v>
      </c>
      <c r="R315" t="str">
        <f>_xlfn.XLOOKUP([1]Transactions!C315,[1]Customers!$A$2:$A$201,[1]Customers!$C$2:$C$201)</f>
        <v>Male</v>
      </c>
      <c r="S315" t="str">
        <f>_xlfn.XLOOKUP(C315,[1]Customers!$A$2:$A$201,[1]Customers!$B$2:$B$201)</f>
        <v>Customer_106</v>
      </c>
      <c r="T315" t="str">
        <f>_xlfn.XLOOKUP(D315,[1]Products!$A$2:$A$101,[1]Products!$C$2:$C$101)</f>
        <v>Beverages</v>
      </c>
      <c r="U315">
        <f>_xlfn.XLOOKUP(D315,[1]Products!$A$2:$A$101,[1]Products!$E$2:$E$101)</f>
        <v>51</v>
      </c>
      <c r="V315">
        <f>[1]Transactions!F315*[1]Transactions!U315</f>
        <v>51</v>
      </c>
    </row>
    <row r="316" spans="1:22" x14ac:dyDescent="0.3">
      <c r="A316">
        <v>315</v>
      </c>
      <c r="B316">
        <v>19</v>
      </c>
      <c r="C316">
        <v>175</v>
      </c>
      <c r="D316">
        <v>93</v>
      </c>
      <c r="E316">
        <v>9</v>
      </c>
      <c r="F316">
        <v>3</v>
      </c>
      <c r="G316">
        <v>221</v>
      </c>
      <c r="H316">
        <v>663</v>
      </c>
      <c r="I316">
        <v>37</v>
      </c>
      <c r="J316">
        <f>[1]Transactions!F316*[1]Transactions!G316</f>
        <v>663</v>
      </c>
      <c r="K316">
        <f>_xlfn.XLOOKUP([1]Transactions!D316,[1]Inventory!$C$2:$C$501,[1]Inventory!$A$2:$A$501)</f>
        <v>35</v>
      </c>
      <c r="L316">
        <f>_xlfn.XLOOKUP(K316,[1]Inventory!$A$2:$A$501,[1]Inventory!$D$2:$D$501)</f>
        <v>402</v>
      </c>
      <c r="M316">
        <f>_xlfn.XLOOKUP(K316,[1]Inventory!$A$2:$A$501,[1]Inventory!$E$2:$E$501)</f>
        <v>94</v>
      </c>
      <c r="N316" t="str">
        <f>_xlfn.XLOOKUP([1]Transactions!C316,[1]Customers!$A$2:$A$201,[1]Customers!$G$2:$G$201)</f>
        <v>Karnataka</v>
      </c>
      <c r="O316" t="str">
        <f>_xlfn.XLOOKUP(C316,[1]Customers!$A$2:$A$201,[1]Customers!$H$2:$H$201)</f>
        <v>South</v>
      </c>
      <c r="P316" t="str">
        <f>_xlfn.XLOOKUP(C316,[1]Customers!$A$2:$A$201,[1]Customers!$F$2:$F$201)</f>
        <v>Bangalore</v>
      </c>
      <c r="Q316">
        <f>_xlfn.XLOOKUP(C316,[1]Customers!$A$2:$A$201,[1]Customers!$D$2:$D$201)</f>
        <v>40</v>
      </c>
      <c r="R316" t="str">
        <f>_xlfn.XLOOKUP([1]Transactions!C316,[1]Customers!$A$2:$A$201,[1]Customers!$C$2:$C$201)</f>
        <v>Male</v>
      </c>
      <c r="S316" t="str">
        <f>_xlfn.XLOOKUP(C316,[1]Customers!$A$2:$A$201,[1]Customers!$B$2:$B$201)</f>
        <v>Customer_175</v>
      </c>
      <c r="T316" t="str">
        <f>_xlfn.XLOOKUP(D316,[1]Products!$A$2:$A$101,[1]Products!$C$2:$C$101)</f>
        <v>Beverages</v>
      </c>
      <c r="U316">
        <f>_xlfn.XLOOKUP(D316,[1]Products!$A$2:$A$101,[1]Products!$E$2:$E$101)</f>
        <v>423</v>
      </c>
      <c r="V316">
        <f>[1]Transactions!F316*[1]Transactions!U316</f>
        <v>1269</v>
      </c>
    </row>
    <row r="317" spans="1:22" x14ac:dyDescent="0.3">
      <c r="A317">
        <v>316</v>
      </c>
      <c r="B317">
        <v>94</v>
      </c>
      <c r="C317">
        <v>54</v>
      </c>
      <c r="D317">
        <v>98</v>
      </c>
      <c r="E317">
        <v>3</v>
      </c>
      <c r="F317">
        <v>4</v>
      </c>
      <c r="G317">
        <v>63</v>
      </c>
      <c r="H317">
        <v>252</v>
      </c>
      <c r="I317">
        <v>60</v>
      </c>
      <c r="J317">
        <f>[1]Transactions!F317*[1]Transactions!G317</f>
        <v>252</v>
      </c>
      <c r="K317">
        <f>_xlfn.XLOOKUP([1]Transactions!D317,[1]Inventory!$C$2:$C$501,[1]Inventory!$A$2:$A$501)</f>
        <v>139</v>
      </c>
      <c r="L317">
        <f>_xlfn.XLOOKUP(K317,[1]Inventory!$A$2:$A$501,[1]Inventory!$D$2:$D$501)</f>
        <v>374</v>
      </c>
      <c r="M317">
        <f>_xlfn.XLOOKUP(K317,[1]Inventory!$A$2:$A$501,[1]Inventory!$E$2:$E$501)</f>
        <v>174</v>
      </c>
      <c r="N317" t="str">
        <f>_xlfn.XLOOKUP([1]Transactions!C317,[1]Customers!$A$2:$A$201,[1]Customers!$G$2:$G$201)</f>
        <v>Maharashtra</v>
      </c>
      <c r="O317" t="str">
        <f>_xlfn.XLOOKUP(C317,[1]Customers!$A$2:$A$201,[1]Customers!$H$2:$H$201)</f>
        <v>West</v>
      </c>
      <c r="P317" t="str">
        <f>_xlfn.XLOOKUP(C317,[1]Customers!$A$2:$A$201,[1]Customers!$F$2:$F$201)</f>
        <v>Mumbai</v>
      </c>
      <c r="Q317">
        <f>_xlfn.XLOOKUP(C317,[1]Customers!$A$2:$A$201,[1]Customers!$D$2:$D$201)</f>
        <v>23</v>
      </c>
      <c r="R317" t="str">
        <f>_xlfn.XLOOKUP([1]Transactions!C317,[1]Customers!$A$2:$A$201,[1]Customers!$C$2:$C$201)</f>
        <v>Male</v>
      </c>
      <c r="S317" t="str">
        <f>_xlfn.XLOOKUP(C317,[1]Customers!$A$2:$A$201,[1]Customers!$B$2:$B$201)</f>
        <v>Customer_54</v>
      </c>
      <c r="T317" t="str">
        <f>_xlfn.XLOOKUP(D317,[1]Products!$A$2:$A$101,[1]Products!$C$2:$C$101)</f>
        <v>Snacks</v>
      </c>
      <c r="U317">
        <f>_xlfn.XLOOKUP(D317,[1]Products!$A$2:$A$101,[1]Products!$E$2:$E$101)</f>
        <v>460</v>
      </c>
      <c r="V317">
        <f>[1]Transactions!F317*[1]Transactions!U317</f>
        <v>1840</v>
      </c>
    </row>
    <row r="318" spans="1:22" x14ac:dyDescent="0.3">
      <c r="A318">
        <v>317</v>
      </c>
      <c r="B318">
        <v>76</v>
      </c>
      <c r="C318">
        <v>63</v>
      </c>
      <c r="D318">
        <v>19</v>
      </c>
      <c r="E318">
        <v>24</v>
      </c>
      <c r="F318">
        <v>4</v>
      </c>
      <c r="G318">
        <v>372</v>
      </c>
      <c r="H318">
        <v>1488</v>
      </c>
      <c r="I318">
        <v>58</v>
      </c>
      <c r="J318">
        <f>[1]Transactions!F318*[1]Transactions!G318</f>
        <v>1488</v>
      </c>
      <c r="K318">
        <f>_xlfn.XLOOKUP([1]Transactions!D318,[1]Inventory!$C$2:$C$501,[1]Inventory!$A$2:$A$501)</f>
        <v>7</v>
      </c>
      <c r="L318">
        <f>_xlfn.XLOOKUP(K318,[1]Inventory!$A$2:$A$501,[1]Inventory!$D$2:$D$501)</f>
        <v>88</v>
      </c>
      <c r="M318">
        <f>_xlfn.XLOOKUP(K318,[1]Inventory!$A$2:$A$501,[1]Inventory!$E$2:$E$501)</f>
        <v>158</v>
      </c>
      <c r="N318" t="str">
        <f>_xlfn.XLOOKUP([1]Transactions!C318,[1]Customers!$A$2:$A$201,[1]Customers!$G$2:$G$201)</f>
        <v>Rajasthan</v>
      </c>
      <c r="O318" t="str">
        <f>_xlfn.XLOOKUP(C318,[1]Customers!$A$2:$A$201,[1]Customers!$H$2:$H$201)</f>
        <v>North</v>
      </c>
      <c r="P318" t="str">
        <f>_xlfn.XLOOKUP(C318,[1]Customers!$A$2:$A$201,[1]Customers!$F$2:$F$201)</f>
        <v>Jaipur</v>
      </c>
      <c r="Q318">
        <f>_xlfn.XLOOKUP(C318,[1]Customers!$A$2:$A$201,[1]Customers!$D$2:$D$201)</f>
        <v>19</v>
      </c>
      <c r="R318" t="str">
        <f>_xlfn.XLOOKUP([1]Transactions!C318,[1]Customers!$A$2:$A$201,[1]Customers!$C$2:$C$201)</f>
        <v>Male</v>
      </c>
      <c r="S318" t="str">
        <f>_xlfn.XLOOKUP(C318,[1]Customers!$A$2:$A$201,[1]Customers!$B$2:$B$201)</f>
        <v>Customer_63</v>
      </c>
      <c r="T318" t="str">
        <f>_xlfn.XLOOKUP(D318,[1]Products!$A$2:$A$101,[1]Products!$C$2:$C$101)</f>
        <v>Snacks</v>
      </c>
      <c r="U318">
        <f>_xlfn.XLOOKUP(D318,[1]Products!$A$2:$A$101,[1]Products!$E$2:$E$101)</f>
        <v>442</v>
      </c>
      <c r="V318">
        <f>[1]Transactions!F318*[1]Transactions!U318</f>
        <v>1768</v>
      </c>
    </row>
    <row r="319" spans="1:22" x14ac:dyDescent="0.3">
      <c r="A319">
        <v>318</v>
      </c>
      <c r="B319">
        <v>116</v>
      </c>
      <c r="C319">
        <v>28</v>
      </c>
      <c r="D319">
        <v>43</v>
      </c>
      <c r="E319">
        <v>21</v>
      </c>
      <c r="F319">
        <v>3</v>
      </c>
      <c r="G319">
        <v>171</v>
      </c>
      <c r="H319">
        <v>513</v>
      </c>
      <c r="I319">
        <v>35</v>
      </c>
      <c r="J319">
        <f>[1]Transactions!F319*[1]Transactions!G319</f>
        <v>513</v>
      </c>
      <c r="K319">
        <f>_xlfn.XLOOKUP([1]Transactions!D319,[1]Inventory!$C$2:$C$501,[1]Inventory!$A$2:$A$501)</f>
        <v>34</v>
      </c>
      <c r="L319">
        <f>_xlfn.XLOOKUP(K319,[1]Inventory!$A$2:$A$501,[1]Inventory!$D$2:$D$501)</f>
        <v>211</v>
      </c>
      <c r="M319">
        <f>_xlfn.XLOOKUP(K319,[1]Inventory!$A$2:$A$501,[1]Inventory!$E$2:$E$501)</f>
        <v>50</v>
      </c>
      <c r="N319" t="str">
        <f>_xlfn.XLOOKUP([1]Transactions!C319,[1]Customers!$A$2:$A$201,[1]Customers!$G$2:$G$201)</f>
        <v>Delhi</v>
      </c>
      <c r="O319" t="str">
        <f>_xlfn.XLOOKUP(C319,[1]Customers!$A$2:$A$201,[1]Customers!$H$2:$H$201)</f>
        <v>North</v>
      </c>
      <c r="P319" t="str">
        <f>_xlfn.XLOOKUP(C319,[1]Customers!$A$2:$A$201,[1]Customers!$F$2:$F$201)</f>
        <v>Delhi</v>
      </c>
      <c r="Q319">
        <f>_xlfn.XLOOKUP(C319,[1]Customers!$A$2:$A$201,[1]Customers!$D$2:$D$201)</f>
        <v>31</v>
      </c>
      <c r="R319" t="str">
        <f>_xlfn.XLOOKUP([1]Transactions!C319,[1]Customers!$A$2:$A$201,[1]Customers!$C$2:$C$201)</f>
        <v>Female</v>
      </c>
      <c r="S319" t="str">
        <f>_xlfn.XLOOKUP(C319,[1]Customers!$A$2:$A$201,[1]Customers!$B$2:$B$201)</f>
        <v>Customer_28</v>
      </c>
      <c r="T319" t="str">
        <f>_xlfn.XLOOKUP(D319,[1]Products!$A$2:$A$101,[1]Products!$C$2:$C$101)</f>
        <v>Grocery</v>
      </c>
      <c r="U319">
        <f>_xlfn.XLOOKUP(D319,[1]Products!$A$2:$A$101,[1]Products!$E$2:$E$101)</f>
        <v>293</v>
      </c>
      <c r="V319">
        <f>[1]Transactions!F319*[1]Transactions!U319</f>
        <v>879</v>
      </c>
    </row>
    <row r="320" spans="1:22" x14ac:dyDescent="0.3">
      <c r="A320">
        <v>319</v>
      </c>
      <c r="B320">
        <v>126</v>
      </c>
      <c r="C320">
        <v>92</v>
      </c>
      <c r="D320">
        <v>65</v>
      </c>
      <c r="E320">
        <v>1</v>
      </c>
      <c r="F320">
        <v>5</v>
      </c>
      <c r="G320">
        <v>163</v>
      </c>
      <c r="H320">
        <v>815</v>
      </c>
      <c r="I320">
        <v>54</v>
      </c>
      <c r="J320">
        <f>[1]Transactions!F320*[1]Transactions!G320</f>
        <v>815</v>
      </c>
      <c r="K320">
        <f>_xlfn.XLOOKUP([1]Transactions!D320,[1]Inventory!$C$2:$C$501,[1]Inventory!$A$2:$A$501)</f>
        <v>175</v>
      </c>
      <c r="L320">
        <f>_xlfn.XLOOKUP(K320,[1]Inventory!$A$2:$A$501,[1]Inventory!$D$2:$D$501)</f>
        <v>111</v>
      </c>
      <c r="M320">
        <f>_xlfn.XLOOKUP(K320,[1]Inventory!$A$2:$A$501,[1]Inventory!$E$2:$E$501)</f>
        <v>27</v>
      </c>
      <c r="N320" t="str">
        <f>_xlfn.XLOOKUP([1]Transactions!C320,[1]Customers!$A$2:$A$201,[1]Customers!$G$2:$G$201)</f>
        <v>Maharashtra</v>
      </c>
      <c r="O320" t="str">
        <f>_xlfn.XLOOKUP(C320,[1]Customers!$A$2:$A$201,[1]Customers!$H$2:$H$201)</f>
        <v>West</v>
      </c>
      <c r="P320" t="str">
        <f>_xlfn.XLOOKUP(C320,[1]Customers!$A$2:$A$201,[1]Customers!$F$2:$F$201)</f>
        <v>Mumbai</v>
      </c>
      <c r="Q320">
        <f>_xlfn.XLOOKUP(C320,[1]Customers!$A$2:$A$201,[1]Customers!$D$2:$D$201)</f>
        <v>47</v>
      </c>
      <c r="R320" t="str">
        <f>_xlfn.XLOOKUP([1]Transactions!C320,[1]Customers!$A$2:$A$201,[1]Customers!$C$2:$C$201)</f>
        <v>Female</v>
      </c>
      <c r="S320" t="str">
        <f>_xlfn.XLOOKUP(C320,[1]Customers!$A$2:$A$201,[1]Customers!$B$2:$B$201)</f>
        <v>Customer_92</v>
      </c>
      <c r="T320" t="str">
        <f>_xlfn.XLOOKUP(D320,[1]Products!$A$2:$A$101,[1]Products!$C$2:$C$101)</f>
        <v>Snacks</v>
      </c>
      <c r="U320">
        <f>_xlfn.XLOOKUP(D320,[1]Products!$A$2:$A$101,[1]Products!$E$2:$E$101)</f>
        <v>309</v>
      </c>
      <c r="V320">
        <f>[1]Transactions!F320*[1]Transactions!U320</f>
        <v>1545</v>
      </c>
    </row>
    <row r="321" spans="1:22" x14ac:dyDescent="0.3">
      <c r="A321">
        <v>320</v>
      </c>
      <c r="B321">
        <v>53</v>
      </c>
      <c r="C321">
        <v>191</v>
      </c>
      <c r="D321">
        <v>14</v>
      </c>
      <c r="E321">
        <v>24</v>
      </c>
      <c r="F321">
        <v>4</v>
      </c>
      <c r="G321">
        <v>161</v>
      </c>
      <c r="H321">
        <v>644</v>
      </c>
      <c r="I321">
        <v>43</v>
      </c>
      <c r="J321">
        <f>[1]Transactions!F321*[1]Transactions!G321</f>
        <v>644</v>
      </c>
      <c r="K321">
        <f>_xlfn.XLOOKUP([1]Transactions!D321,[1]Inventory!$C$2:$C$501,[1]Inventory!$A$2:$A$501)</f>
        <v>8</v>
      </c>
      <c r="L321">
        <f>_xlfn.XLOOKUP(K321,[1]Inventory!$A$2:$A$501,[1]Inventory!$D$2:$D$501)</f>
        <v>197</v>
      </c>
      <c r="M321">
        <f>_xlfn.XLOOKUP(K321,[1]Inventory!$A$2:$A$501,[1]Inventory!$E$2:$E$501)</f>
        <v>82</v>
      </c>
      <c r="N321" t="str">
        <f>_xlfn.XLOOKUP([1]Transactions!C321,[1]Customers!$A$2:$A$201,[1]Customers!$G$2:$G$201)</f>
        <v>Karnataka</v>
      </c>
      <c r="O321" t="str">
        <f>_xlfn.XLOOKUP(C321,[1]Customers!$A$2:$A$201,[1]Customers!$H$2:$H$201)</f>
        <v>South</v>
      </c>
      <c r="P321" t="str">
        <f>_xlfn.XLOOKUP(C321,[1]Customers!$A$2:$A$201,[1]Customers!$F$2:$F$201)</f>
        <v>Bangalore</v>
      </c>
      <c r="Q321">
        <f>_xlfn.XLOOKUP(C321,[1]Customers!$A$2:$A$201,[1]Customers!$D$2:$D$201)</f>
        <v>18</v>
      </c>
      <c r="R321" t="str">
        <f>_xlfn.XLOOKUP([1]Transactions!C321,[1]Customers!$A$2:$A$201,[1]Customers!$C$2:$C$201)</f>
        <v>Female</v>
      </c>
      <c r="S321" t="str">
        <f>_xlfn.XLOOKUP(C321,[1]Customers!$A$2:$A$201,[1]Customers!$B$2:$B$201)</f>
        <v>Customer_191</v>
      </c>
      <c r="T321" t="str">
        <f>_xlfn.XLOOKUP(D321,[1]Products!$A$2:$A$101,[1]Products!$C$2:$C$101)</f>
        <v>Beverages</v>
      </c>
      <c r="U321">
        <f>_xlfn.XLOOKUP(D321,[1]Products!$A$2:$A$101,[1]Products!$E$2:$E$101)</f>
        <v>290</v>
      </c>
      <c r="V321">
        <f>[1]Transactions!F321*[1]Transactions!U321</f>
        <v>1160</v>
      </c>
    </row>
    <row r="322" spans="1:22" x14ac:dyDescent="0.3">
      <c r="A322">
        <v>321</v>
      </c>
      <c r="B322">
        <v>176</v>
      </c>
      <c r="C322">
        <v>185</v>
      </c>
      <c r="D322">
        <v>16</v>
      </c>
      <c r="E322">
        <v>34</v>
      </c>
      <c r="F322">
        <v>5</v>
      </c>
      <c r="G322">
        <v>492</v>
      </c>
      <c r="H322">
        <v>2460</v>
      </c>
      <c r="I322">
        <v>53</v>
      </c>
      <c r="J322">
        <f>[1]Transactions!F322*[1]Transactions!G322</f>
        <v>2460</v>
      </c>
      <c r="K322">
        <f>_xlfn.XLOOKUP([1]Transactions!D322,[1]Inventory!$C$2:$C$501,[1]Inventory!$A$2:$A$501)</f>
        <v>42</v>
      </c>
      <c r="L322">
        <f>_xlfn.XLOOKUP(K322,[1]Inventory!$A$2:$A$501,[1]Inventory!$D$2:$D$501)</f>
        <v>76</v>
      </c>
      <c r="M322">
        <f>_xlfn.XLOOKUP(K322,[1]Inventory!$A$2:$A$501,[1]Inventory!$E$2:$E$501)</f>
        <v>109</v>
      </c>
      <c r="N322" t="str">
        <f>_xlfn.XLOOKUP([1]Transactions!C322,[1]Customers!$A$2:$A$201,[1]Customers!$G$2:$G$201)</f>
        <v>Delhi</v>
      </c>
      <c r="O322" t="str">
        <f>_xlfn.XLOOKUP(C322,[1]Customers!$A$2:$A$201,[1]Customers!$H$2:$H$201)</f>
        <v>North</v>
      </c>
      <c r="P322" t="str">
        <f>_xlfn.XLOOKUP(C322,[1]Customers!$A$2:$A$201,[1]Customers!$F$2:$F$201)</f>
        <v>Delhi</v>
      </c>
      <c r="Q322">
        <f>_xlfn.XLOOKUP(C322,[1]Customers!$A$2:$A$201,[1]Customers!$D$2:$D$201)</f>
        <v>32</v>
      </c>
      <c r="R322" t="str">
        <f>_xlfn.XLOOKUP([1]Transactions!C322,[1]Customers!$A$2:$A$201,[1]Customers!$C$2:$C$201)</f>
        <v>Female</v>
      </c>
      <c r="S322" t="str">
        <f>_xlfn.XLOOKUP(C322,[1]Customers!$A$2:$A$201,[1]Customers!$B$2:$B$201)</f>
        <v>Customer_185</v>
      </c>
      <c r="T322" t="str">
        <f>_xlfn.XLOOKUP(D322,[1]Products!$A$2:$A$101,[1]Products!$C$2:$C$101)</f>
        <v>Beverages</v>
      </c>
      <c r="U322">
        <f>_xlfn.XLOOKUP(D322,[1]Products!$A$2:$A$101,[1]Products!$E$2:$E$101)</f>
        <v>440</v>
      </c>
      <c r="V322">
        <f>[1]Transactions!F322*[1]Transactions!U322</f>
        <v>2200</v>
      </c>
    </row>
    <row r="323" spans="1:22" x14ac:dyDescent="0.3">
      <c r="A323">
        <v>322</v>
      </c>
      <c r="B323">
        <v>70</v>
      </c>
      <c r="C323">
        <v>88</v>
      </c>
      <c r="D323">
        <v>22</v>
      </c>
      <c r="E323">
        <v>36</v>
      </c>
      <c r="F323">
        <v>3</v>
      </c>
      <c r="G323">
        <v>240</v>
      </c>
      <c r="H323">
        <v>720</v>
      </c>
      <c r="I323">
        <v>39</v>
      </c>
      <c r="J323">
        <f>[1]Transactions!F323*[1]Transactions!G323</f>
        <v>720</v>
      </c>
      <c r="K323">
        <f>_xlfn.XLOOKUP([1]Transactions!D323,[1]Inventory!$C$2:$C$501,[1]Inventory!$A$2:$A$501)</f>
        <v>9</v>
      </c>
      <c r="L323">
        <f>_xlfn.XLOOKUP(K323,[1]Inventory!$A$2:$A$501,[1]Inventory!$D$2:$D$501)</f>
        <v>177</v>
      </c>
      <c r="M323">
        <f>_xlfn.XLOOKUP(K323,[1]Inventory!$A$2:$A$501,[1]Inventory!$E$2:$E$501)</f>
        <v>107</v>
      </c>
      <c r="N323" t="str">
        <f>_xlfn.XLOOKUP([1]Transactions!C323,[1]Customers!$A$2:$A$201,[1]Customers!$G$2:$G$201)</f>
        <v>West Bengal</v>
      </c>
      <c r="O323" t="str">
        <f>_xlfn.XLOOKUP(C323,[1]Customers!$A$2:$A$201,[1]Customers!$H$2:$H$201)</f>
        <v>East</v>
      </c>
      <c r="P323" t="str">
        <f>_xlfn.XLOOKUP(C323,[1]Customers!$A$2:$A$201,[1]Customers!$F$2:$F$201)</f>
        <v>Kolkata</v>
      </c>
      <c r="Q323">
        <f>_xlfn.XLOOKUP(C323,[1]Customers!$A$2:$A$201,[1]Customers!$D$2:$D$201)</f>
        <v>36</v>
      </c>
      <c r="R323" t="str">
        <f>_xlfn.XLOOKUP([1]Transactions!C323,[1]Customers!$A$2:$A$201,[1]Customers!$C$2:$C$201)</f>
        <v>Female</v>
      </c>
      <c r="S323" t="str">
        <f>_xlfn.XLOOKUP(C323,[1]Customers!$A$2:$A$201,[1]Customers!$B$2:$B$201)</f>
        <v>Customer_88</v>
      </c>
      <c r="T323" t="str">
        <f>_xlfn.XLOOKUP(D323,[1]Products!$A$2:$A$101,[1]Products!$C$2:$C$101)</f>
        <v>Snacks</v>
      </c>
      <c r="U323">
        <f>_xlfn.XLOOKUP(D323,[1]Products!$A$2:$A$101,[1]Products!$E$2:$E$101)</f>
        <v>482</v>
      </c>
      <c r="V323">
        <f>[1]Transactions!F323*[1]Transactions!U323</f>
        <v>1446</v>
      </c>
    </row>
    <row r="324" spans="1:22" x14ac:dyDescent="0.3">
      <c r="A324">
        <v>323</v>
      </c>
      <c r="B324">
        <v>92</v>
      </c>
      <c r="C324">
        <v>135</v>
      </c>
      <c r="D324">
        <v>6</v>
      </c>
      <c r="E324">
        <v>32</v>
      </c>
      <c r="F324">
        <v>3</v>
      </c>
      <c r="G324">
        <v>66</v>
      </c>
      <c r="H324">
        <v>198</v>
      </c>
      <c r="I324">
        <v>57</v>
      </c>
      <c r="J324">
        <f>[1]Transactions!F324*[1]Transactions!G324</f>
        <v>198</v>
      </c>
      <c r="K324">
        <f>_xlfn.XLOOKUP([1]Transactions!D324,[1]Inventory!$C$2:$C$501,[1]Inventory!$A$2:$A$501)</f>
        <v>57</v>
      </c>
      <c r="L324">
        <f>_xlfn.XLOOKUP(K324,[1]Inventory!$A$2:$A$501,[1]Inventory!$D$2:$D$501)</f>
        <v>236</v>
      </c>
      <c r="M324">
        <f>_xlfn.XLOOKUP(K324,[1]Inventory!$A$2:$A$501,[1]Inventory!$E$2:$E$501)</f>
        <v>58</v>
      </c>
      <c r="N324" t="str">
        <f>_xlfn.XLOOKUP([1]Transactions!C324,[1]Customers!$A$2:$A$201,[1]Customers!$G$2:$G$201)</f>
        <v>UP</v>
      </c>
      <c r="O324" t="str">
        <f>_xlfn.XLOOKUP(C324,[1]Customers!$A$2:$A$201,[1]Customers!$H$2:$H$201)</f>
        <v>North</v>
      </c>
      <c r="P324" t="str">
        <f>_xlfn.XLOOKUP(C324,[1]Customers!$A$2:$A$201,[1]Customers!$F$2:$F$201)</f>
        <v>Lucknow</v>
      </c>
      <c r="Q324">
        <f>_xlfn.XLOOKUP(C324,[1]Customers!$A$2:$A$201,[1]Customers!$D$2:$D$201)</f>
        <v>25</v>
      </c>
      <c r="R324" t="str">
        <f>_xlfn.XLOOKUP([1]Transactions!C324,[1]Customers!$A$2:$A$201,[1]Customers!$C$2:$C$201)</f>
        <v>Male</v>
      </c>
      <c r="S324" t="str">
        <f>_xlfn.XLOOKUP(C324,[1]Customers!$A$2:$A$201,[1]Customers!$B$2:$B$201)</f>
        <v>Customer_135</v>
      </c>
      <c r="T324" t="str">
        <f>_xlfn.XLOOKUP(D324,[1]Products!$A$2:$A$101,[1]Products!$C$2:$C$101)</f>
        <v>Snacks</v>
      </c>
      <c r="U324">
        <f>_xlfn.XLOOKUP(D324,[1]Products!$A$2:$A$101,[1]Products!$E$2:$E$101)</f>
        <v>492</v>
      </c>
      <c r="V324">
        <f>[1]Transactions!F324*[1]Transactions!U324</f>
        <v>1476</v>
      </c>
    </row>
    <row r="325" spans="1:22" x14ac:dyDescent="0.3">
      <c r="A325">
        <v>324</v>
      </c>
      <c r="B325">
        <v>22</v>
      </c>
      <c r="C325">
        <v>142</v>
      </c>
      <c r="D325">
        <v>8</v>
      </c>
      <c r="E325">
        <v>23</v>
      </c>
      <c r="F325">
        <v>2</v>
      </c>
      <c r="G325">
        <v>425</v>
      </c>
      <c r="H325">
        <v>850</v>
      </c>
      <c r="I325">
        <v>43</v>
      </c>
      <c r="J325">
        <f>[1]Transactions!F325*[1]Transactions!G325</f>
        <v>850</v>
      </c>
      <c r="K325">
        <f>_xlfn.XLOOKUP([1]Transactions!D325,[1]Inventory!$C$2:$C$501,[1]Inventory!$A$2:$A$501)</f>
        <v>67</v>
      </c>
      <c r="L325">
        <f>_xlfn.XLOOKUP(K325,[1]Inventory!$A$2:$A$501,[1]Inventory!$D$2:$D$501)</f>
        <v>378</v>
      </c>
      <c r="M325">
        <f>_xlfn.XLOOKUP(K325,[1]Inventory!$A$2:$A$501,[1]Inventory!$E$2:$E$501)</f>
        <v>151</v>
      </c>
      <c r="N325" t="str">
        <f>_xlfn.XLOOKUP([1]Transactions!C325,[1]Customers!$A$2:$A$201,[1]Customers!$G$2:$G$201)</f>
        <v>Maharashtra</v>
      </c>
      <c r="O325" t="str">
        <f>_xlfn.XLOOKUP(C325,[1]Customers!$A$2:$A$201,[1]Customers!$H$2:$H$201)</f>
        <v>West</v>
      </c>
      <c r="P325" t="str">
        <f>_xlfn.XLOOKUP(C325,[1]Customers!$A$2:$A$201,[1]Customers!$F$2:$F$201)</f>
        <v>Mumbai</v>
      </c>
      <c r="Q325">
        <f>_xlfn.XLOOKUP(C325,[1]Customers!$A$2:$A$201,[1]Customers!$D$2:$D$201)</f>
        <v>22</v>
      </c>
      <c r="R325" t="str">
        <f>_xlfn.XLOOKUP([1]Transactions!C325,[1]Customers!$A$2:$A$201,[1]Customers!$C$2:$C$201)</f>
        <v>Female</v>
      </c>
      <c r="S325" t="str">
        <f>_xlfn.XLOOKUP(C325,[1]Customers!$A$2:$A$201,[1]Customers!$B$2:$B$201)</f>
        <v>Customer_142</v>
      </c>
      <c r="T325" t="str">
        <f>_xlfn.XLOOKUP(D325,[1]Products!$A$2:$A$101,[1]Products!$C$2:$C$101)</f>
        <v>Dairy</v>
      </c>
      <c r="U325">
        <f>_xlfn.XLOOKUP(D325,[1]Products!$A$2:$A$101,[1]Products!$E$2:$E$101)</f>
        <v>293</v>
      </c>
      <c r="V325">
        <f>[1]Transactions!F325*[1]Transactions!U325</f>
        <v>586</v>
      </c>
    </row>
    <row r="326" spans="1:22" x14ac:dyDescent="0.3">
      <c r="A326">
        <v>325</v>
      </c>
      <c r="B326">
        <v>39</v>
      </c>
      <c r="C326">
        <v>172</v>
      </c>
      <c r="D326">
        <v>37</v>
      </c>
      <c r="E326">
        <v>40</v>
      </c>
      <c r="F326">
        <v>4</v>
      </c>
      <c r="G326">
        <v>456</v>
      </c>
      <c r="H326">
        <v>1824</v>
      </c>
      <c r="I326">
        <v>10</v>
      </c>
      <c r="J326">
        <f>[1]Transactions!F326*[1]Transactions!G326</f>
        <v>1824</v>
      </c>
      <c r="K326">
        <f>_xlfn.XLOOKUP([1]Transactions!D326,[1]Inventory!$C$2:$C$501,[1]Inventory!$A$2:$A$501)</f>
        <v>23</v>
      </c>
      <c r="L326">
        <f>_xlfn.XLOOKUP(K326,[1]Inventory!$A$2:$A$501,[1]Inventory!$D$2:$D$501)</f>
        <v>485</v>
      </c>
      <c r="M326">
        <f>_xlfn.XLOOKUP(K326,[1]Inventory!$A$2:$A$501,[1]Inventory!$E$2:$E$501)</f>
        <v>129</v>
      </c>
      <c r="N326" t="str">
        <f>_xlfn.XLOOKUP([1]Transactions!C326,[1]Customers!$A$2:$A$201,[1]Customers!$G$2:$G$201)</f>
        <v>West Bengal</v>
      </c>
      <c r="O326" t="str">
        <f>_xlfn.XLOOKUP(C326,[1]Customers!$A$2:$A$201,[1]Customers!$H$2:$H$201)</f>
        <v>East</v>
      </c>
      <c r="P326" t="str">
        <f>_xlfn.XLOOKUP(C326,[1]Customers!$A$2:$A$201,[1]Customers!$F$2:$F$201)</f>
        <v>Kolkata</v>
      </c>
      <c r="Q326">
        <f>_xlfn.XLOOKUP(C326,[1]Customers!$A$2:$A$201,[1]Customers!$D$2:$D$201)</f>
        <v>35</v>
      </c>
      <c r="R326" t="str">
        <f>_xlfn.XLOOKUP([1]Transactions!C326,[1]Customers!$A$2:$A$201,[1]Customers!$C$2:$C$201)</f>
        <v>Female</v>
      </c>
      <c r="S326" t="str">
        <f>_xlfn.XLOOKUP(C326,[1]Customers!$A$2:$A$201,[1]Customers!$B$2:$B$201)</f>
        <v>Customer_172</v>
      </c>
      <c r="T326" t="str">
        <f>_xlfn.XLOOKUP(D326,[1]Products!$A$2:$A$101,[1]Products!$C$2:$C$101)</f>
        <v>Grocery</v>
      </c>
      <c r="U326">
        <f>_xlfn.XLOOKUP(D326,[1]Products!$A$2:$A$101,[1]Products!$E$2:$E$101)</f>
        <v>210</v>
      </c>
      <c r="V326">
        <f>[1]Transactions!F326*[1]Transactions!U326</f>
        <v>840</v>
      </c>
    </row>
    <row r="327" spans="1:22" x14ac:dyDescent="0.3">
      <c r="A327">
        <v>326</v>
      </c>
      <c r="B327">
        <v>29</v>
      </c>
      <c r="C327">
        <v>132</v>
      </c>
      <c r="D327">
        <v>23</v>
      </c>
      <c r="E327">
        <v>8</v>
      </c>
      <c r="F327">
        <v>1</v>
      </c>
      <c r="G327">
        <v>208</v>
      </c>
      <c r="H327">
        <v>208</v>
      </c>
      <c r="I327">
        <v>48</v>
      </c>
      <c r="J327">
        <f>[1]Transactions!F327*[1]Transactions!G327</f>
        <v>208</v>
      </c>
      <c r="K327">
        <f>_xlfn.XLOOKUP([1]Transactions!D327,[1]Inventory!$C$2:$C$501,[1]Inventory!$A$2:$A$501)</f>
        <v>127</v>
      </c>
      <c r="L327">
        <f>_xlfn.XLOOKUP(K327,[1]Inventory!$A$2:$A$501,[1]Inventory!$D$2:$D$501)</f>
        <v>144</v>
      </c>
      <c r="M327">
        <f>_xlfn.XLOOKUP(K327,[1]Inventory!$A$2:$A$501,[1]Inventory!$E$2:$E$501)</f>
        <v>95</v>
      </c>
      <c r="N327" t="str">
        <f>_xlfn.XLOOKUP([1]Transactions!C327,[1]Customers!$A$2:$A$201,[1]Customers!$G$2:$G$201)</f>
        <v>Tamil Nadu</v>
      </c>
      <c r="O327" t="str">
        <f>_xlfn.XLOOKUP(C327,[1]Customers!$A$2:$A$201,[1]Customers!$H$2:$H$201)</f>
        <v>South</v>
      </c>
      <c r="P327" t="str">
        <f>_xlfn.XLOOKUP(C327,[1]Customers!$A$2:$A$201,[1]Customers!$F$2:$F$201)</f>
        <v>Chennai</v>
      </c>
      <c r="Q327">
        <f>_xlfn.XLOOKUP(C327,[1]Customers!$A$2:$A$201,[1]Customers!$D$2:$D$201)</f>
        <v>28</v>
      </c>
      <c r="R327" t="str">
        <f>_xlfn.XLOOKUP([1]Transactions!C327,[1]Customers!$A$2:$A$201,[1]Customers!$C$2:$C$201)</f>
        <v>Male</v>
      </c>
      <c r="S327" t="str">
        <f>_xlfn.XLOOKUP(C327,[1]Customers!$A$2:$A$201,[1]Customers!$B$2:$B$201)</f>
        <v>Customer_132</v>
      </c>
      <c r="T327" t="str">
        <f>_xlfn.XLOOKUP(D327,[1]Products!$A$2:$A$101,[1]Products!$C$2:$C$101)</f>
        <v>Grocery</v>
      </c>
      <c r="U327">
        <f>_xlfn.XLOOKUP(D327,[1]Products!$A$2:$A$101,[1]Products!$E$2:$E$101)</f>
        <v>370</v>
      </c>
      <c r="V327">
        <f>[1]Transactions!F327*[1]Transactions!U327</f>
        <v>370</v>
      </c>
    </row>
    <row r="328" spans="1:22" x14ac:dyDescent="0.3">
      <c r="A328">
        <v>327</v>
      </c>
      <c r="B328">
        <v>154</v>
      </c>
      <c r="C328">
        <v>200</v>
      </c>
      <c r="D328">
        <v>6</v>
      </c>
      <c r="E328">
        <v>23</v>
      </c>
      <c r="F328">
        <v>3</v>
      </c>
      <c r="G328">
        <v>343</v>
      </c>
      <c r="H328">
        <v>1029</v>
      </c>
      <c r="I328">
        <v>12</v>
      </c>
      <c r="J328">
        <f>[1]Transactions!F328*[1]Transactions!G328</f>
        <v>1029</v>
      </c>
      <c r="K328">
        <f>_xlfn.XLOOKUP([1]Transactions!D328,[1]Inventory!$C$2:$C$501,[1]Inventory!$A$2:$A$501)</f>
        <v>57</v>
      </c>
      <c r="L328">
        <f>_xlfn.XLOOKUP(K328,[1]Inventory!$A$2:$A$501,[1]Inventory!$D$2:$D$501)</f>
        <v>236</v>
      </c>
      <c r="M328">
        <f>_xlfn.XLOOKUP(K328,[1]Inventory!$A$2:$A$501,[1]Inventory!$E$2:$E$501)</f>
        <v>58</v>
      </c>
      <c r="N328" t="str">
        <f>_xlfn.XLOOKUP([1]Transactions!C328,[1]Customers!$A$2:$A$201,[1]Customers!$G$2:$G$201)</f>
        <v>Maharashtra</v>
      </c>
      <c r="O328" t="str">
        <f>_xlfn.XLOOKUP(C328,[1]Customers!$A$2:$A$201,[1]Customers!$H$2:$H$201)</f>
        <v>West</v>
      </c>
      <c r="P328" t="str">
        <f>_xlfn.XLOOKUP(C328,[1]Customers!$A$2:$A$201,[1]Customers!$F$2:$F$201)</f>
        <v>Mumbai</v>
      </c>
      <c r="Q328">
        <f>_xlfn.XLOOKUP(C328,[1]Customers!$A$2:$A$201,[1]Customers!$D$2:$D$201)</f>
        <v>57</v>
      </c>
      <c r="R328" t="str">
        <f>_xlfn.XLOOKUP([1]Transactions!C328,[1]Customers!$A$2:$A$201,[1]Customers!$C$2:$C$201)</f>
        <v>Female</v>
      </c>
      <c r="S328" t="str">
        <f>_xlfn.XLOOKUP(C328,[1]Customers!$A$2:$A$201,[1]Customers!$B$2:$B$201)</f>
        <v>Customer_200</v>
      </c>
      <c r="T328" t="str">
        <f>_xlfn.XLOOKUP(D328,[1]Products!$A$2:$A$101,[1]Products!$C$2:$C$101)</f>
        <v>Snacks</v>
      </c>
      <c r="U328">
        <f>_xlfn.XLOOKUP(D328,[1]Products!$A$2:$A$101,[1]Products!$E$2:$E$101)</f>
        <v>492</v>
      </c>
      <c r="V328">
        <f>[1]Transactions!F328*[1]Transactions!U328</f>
        <v>1476</v>
      </c>
    </row>
    <row r="329" spans="1:22" x14ac:dyDescent="0.3">
      <c r="A329">
        <v>328</v>
      </c>
      <c r="B329">
        <v>90</v>
      </c>
      <c r="C329">
        <v>194</v>
      </c>
      <c r="D329">
        <v>78</v>
      </c>
      <c r="E329">
        <v>31</v>
      </c>
      <c r="F329">
        <v>1</v>
      </c>
      <c r="G329">
        <v>97</v>
      </c>
      <c r="H329">
        <v>97</v>
      </c>
      <c r="I329">
        <v>30</v>
      </c>
      <c r="J329">
        <f>[1]Transactions!F329*[1]Transactions!G329</f>
        <v>97</v>
      </c>
      <c r="K329">
        <f>_xlfn.XLOOKUP([1]Transactions!D329,[1]Inventory!$C$2:$C$501,[1]Inventory!$A$2:$A$501)</f>
        <v>41</v>
      </c>
      <c r="L329">
        <f>_xlfn.XLOOKUP(K329,[1]Inventory!$A$2:$A$501,[1]Inventory!$D$2:$D$501)</f>
        <v>262</v>
      </c>
      <c r="M329">
        <f>_xlfn.XLOOKUP(K329,[1]Inventory!$A$2:$A$501,[1]Inventory!$E$2:$E$501)</f>
        <v>25</v>
      </c>
      <c r="N329" t="str">
        <f>_xlfn.XLOOKUP([1]Transactions!C329,[1]Customers!$A$2:$A$201,[1]Customers!$G$2:$G$201)</f>
        <v>Delhi</v>
      </c>
      <c r="O329" t="str">
        <f>_xlfn.XLOOKUP(C329,[1]Customers!$A$2:$A$201,[1]Customers!$H$2:$H$201)</f>
        <v>North</v>
      </c>
      <c r="P329" t="str">
        <f>_xlfn.XLOOKUP(C329,[1]Customers!$A$2:$A$201,[1]Customers!$F$2:$F$201)</f>
        <v>Delhi</v>
      </c>
      <c r="Q329">
        <f>_xlfn.XLOOKUP(C329,[1]Customers!$A$2:$A$201,[1]Customers!$D$2:$D$201)</f>
        <v>31</v>
      </c>
      <c r="R329" t="str">
        <f>_xlfn.XLOOKUP([1]Transactions!C329,[1]Customers!$A$2:$A$201,[1]Customers!$C$2:$C$201)</f>
        <v>Male</v>
      </c>
      <c r="S329" t="str">
        <f>_xlfn.XLOOKUP(C329,[1]Customers!$A$2:$A$201,[1]Customers!$B$2:$B$201)</f>
        <v>Customer_194</v>
      </c>
      <c r="T329" t="str">
        <f>_xlfn.XLOOKUP(D329,[1]Products!$A$2:$A$101,[1]Products!$C$2:$C$101)</f>
        <v>Grocery</v>
      </c>
      <c r="U329">
        <f>_xlfn.XLOOKUP(D329,[1]Products!$A$2:$A$101,[1]Products!$E$2:$E$101)</f>
        <v>88</v>
      </c>
      <c r="V329">
        <f>[1]Transactions!F329*[1]Transactions!U329</f>
        <v>88</v>
      </c>
    </row>
    <row r="330" spans="1:22" x14ac:dyDescent="0.3">
      <c r="A330">
        <v>329</v>
      </c>
      <c r="B330">
        <v>10</v>
      </c>
      <c r="C330">
        <v>52</v>
      </c>
      <c r="D330">
        <v>90</v>
      </c>
      <c r="E330">
        <v>39</v>
      </c>
      <c r="F330">
        <v>4</v>
      </c>
      <c r="G330">
        <v>288</v>
      </c>
      <c r="H330">
        <v>1152</v>
      </c>
      <c r="I330">
        <v>27</v>
      </c>
      <c r="J330">
        <f>[1]Transactions!F330*[1]Transactions!G330</f>
        <v>1152</v>
      </c>
      <c r="K330">
        <f>_xlfn.XLOOKUP([1]Transactions!D330,[1]Inventory!$C$2:$C$501,[1]Inventory!$A$2:$A$501)</f>
        <v>17</v>
      </c>
      <c r="L330">
        <f>_xlfn.XLOOKUP(K330,[1]Inventory!$A$2:$A$501,[1]Inventory!$D$2:$D$501)</f>
        <v>293</v>
      </c>
      <c r="M330">
        <f>_xlfn.XLOOKUP(K330,[1]Inventory!$A$2:$A$501,[1]Inventory!$E$2:$E$501)</f>
        <v>177</v>
      </c>
      <c r="N330" t="str">
        <f>_xlfn.XLOOKUP([1]Transactions!C330,[1]Customers!$A$2:$A$201,[1]Customers!$G$2:$G$201)</f>
        <v>Maharashtra</v>
      </c>
      <c r="O330" t="str">
        <f>_xlfn.XLOOKUP(C330,[1]Customers!$A$2:$A$201,[1]Customers!$H$2:$H$201)</f>
        <v>West</v>
      </c>
      <c r="P330" t="str">
        <f>_xlfn.XLOOKUP(C330,[1]Customers!$A$2:$A$201,[1]Customers!$F$2:$F$201)</f>
        <v>Pune</v>
      </c>
      <c r="Q330">
        <f>_xlfn.XLOOKUP(C330,[1]Customers!$A$2:$A$201,[1]Customers!$D$2:$D$201)</f>
        <v>31</v>
      </c>
      <c r="R330" t="str">
        <f>_xlfn.XLOOKUP([1]Transactions!C330,[1]Customers!$A$2:$A$201,[1]Customers!$C$2:$C$201)</f>
        <v>Male</v>
      </c>
      <c r="S330" t="str">
        <f>_xlfn.XLOOKUP(C330,[1]Customers!$A$2:$A$201,[1]Customers!$B$2:$B$201)</f>
        <v>Customer_52</v>
      </c>
      <c r="T330" t="str">
        <f>_xlfn.XLOOKUP(D330,[1]Products!$A$2:$A$101,[1]Products!$C$2:$C$101)</f>
        <v>Snacks</v>
      </c>
      <c r="U330">
        <f>_xlfn.XLOOKUP(D330,[1]Products!$A$2:$A$101,[1]Products!$E$2:$E$101)</f>
        <v>255</v>
      </c>
      <c r="V330">
        <f>[1]Transactions!F330*[1]Transactions!U330</f>
        <v>1020</v>
      </c>
    </row>
    <row r="331" spans="1:22" x14ac:dyDescent="0.3">
      <c r="A331">
        <v>330</v>
      </c>
      <c r="B331">
        <v>44</v>
      </c>
      <c r="C331">
        <v>144</v>
      </c>
      <c r="D331">
        <v>98</v>
      </c>
      <c r="E331">
        <v>11</v>
      </c>
      <c r="F331">
        <v>4</v>
      </c>
      <c r="G331">
        <v>136</v>
      </c>
      <c r="H331">
        <v>544</v>
      </c>
      <c r="I331">
        <v>15</v>
      </c>
      <c r="J331">
        <f>[1]Transactions!F331*[1]Transactions!G331</f>
        <v>544</v>
      </c>
      <c r="K331">
        <f>_xlfn.XLOOKUP([1]Transactions!D331,[1]Inventory!$C$2:$C$501,[1]Inventory!$A$2:$A$501)</f>
        <v>139</v>
      </c>
      <c r="L331">
        <f>_xlfn.XLOOKUP(K331,[1]Inventory!$A$2:$A$501,[1]Inventory!$D$2:$D$501)</f>
        <v>374</v>
      </c>
      <c r="M331">
        <f>_xlfn.XLOOKUP(K331,[1]Inventory!$A$2:$A$501,[1]Inventory!$E$2:$E$501)</f>
        <v>174</v>
      </c>
      <c r="N331" t="str">
        <f>_xlfn.XLOOKUP([1]Transactions!C331,[1]Customers!$A$2:$A$201,[1]Customers!$G$2:$G$201)</f>
        <v>Gujarat</v>
      </c>
      <c r="O331" t="str">
        <f>_xlfn.XLOOKUP(C331,[1]Customers!$A$2:$A$201,[1]Customers!$H$2:$H$201)</f>
        <v>West</v>
      </c>
      <c r="P331" t="str">
        <f>_xlfn.XLOOKUP(C331,[1]Customers!$A$2:$A$201,[1]Customers!$F$2:$F$201)</f>
        <v>Ahmedabad</v>
      </c>
      <c r="Q331">
        <f>_xlfn.XLOOKUP(C331,[1]Customers!$A$2:$A$201,[1]Customers!$D$2:$D$201)</f>
        <v>53</v>
      </c>
      <c r="R331" t="str">
        <f>_xlfn.XLOOKUP([1]Transactions!C331,[1]Customers!$A$2:$A$201,[1]Customers!$C$2:$C$201)</f>
        <v>Male</v>
      </c>
      <c r="S331" t="str">
        <f>_xlfn.XLOOKUP(C331,[1]Customers!$A$2:$A$201,[1]Customers!$B$2:$B$201)</f>
        <v>Customer_144</v>
      </c>
      <c r="T331" t="str">
        <f>_xlfn.XLOOKUP(D331,[1]Products!$A$2:$A$101,[1]Products!$C$2:$C$101)</f>
        <v>Snacks</v>
      </c>
      <c r="U331">
        <f>_xlfn.XLOOKUP(D331,[1]Products!$A$2:$A$101,[1]Products!$E$2:$E$101)</f>
        <v>460</v>
      </c>
      <c r="V331">
        <f>[1]Transactions!F331*[1]Transactions!U331</f>
        <v>1840</v>
      </c>
    </row>
    <row r="332" spans="1:22" x14ac:dyDescent="0.3">
      <c r="A332">
        <v>331</v>
      </c>
      <c r="B332">
        <v>147</v>
      </c>
      <c r="C332">
        <v>139</v>
      </c>
      <c r="D332">
        <v>82</v>
      </c>
      <c r="E332">
        <v>15</v>
      </c>
      <c r="F332">
        <v>4</v>
      </c>
      <c r="G332">
        <v>29</v>
      </c>
      <c r="H332">
        <v>116</v>
      </c>
      <c r="I332">
        <v>52</v>
      </c>
      <c r="J332">
        <f>[1]Transactions!F332*[1]Transactions!G332</f>
        <v>116</v>
      </c>
      <c r="K332">
        <f>_xlfn.XLOOKUP([1]Transactions!D332,[1]Inventory!$C$2:$C$501,[1]Inventory!$A$2:$A$501)</f>
        <v>291</v>
      </c>
      <c r="L332">
        <f>_xlfn.XLOOKUP(K332,[1]Inventory!$A$2:$A$501,[1]Inventory!$D$2:$D$501)</f>
        <v>179</v>
      </c>
      <c r="M332">
        <f>_xlfn.XLOOKUP(K332,[1]Inventory!$A$2:$A$501,[1]Inventory!$E$2:$E$501)</f>
        <v>60</v>
      </c>
      <c r="N332" t="str">
        <f>_xlfn.XLOOKUP([1]Transactions!C332,[1]Customers!$A$2:$A$201,[1]Customers!$G$2:$G$201)</f>
        <v>Rajasthan</v>
      </c>
      <c r="O332" t="str">
        <f>_xlfn.XLOOKUP(C332,[1]Customers!$A$2:$A$201,[1]Customers!$H$2:$H$201)</f>
        <v>North</v>
      </c>
      <c r="P332" t="str">
        <f>_xlfn.XLOOKUP(C332,[1]Customers!$A$2:$A$201,[1]Customers!$F$2:$F$201)</f>
        <v>Jaipur</v>
      </c>
      <c r="Q332">
        <f>_xlfn.XLOOKUP(C332,[1]Customers!$A$2:$A$201,[1]Customers!$D$2:$D$201)</f>
        <v>29</v>
      </c>
      <c r="R332" t="str">
        <f>_xlfn.XLOOKUP([1]Transactions!C332,[1]Customers!$A$2:$A$201,[1]Customers!$C$2:$C$201)</f>
        <v>Female</v>
      </c>
      <c r="S332" t="str">
        <f>_xlfn.XLOOKUP(C332,[1]Customers!$A$2:$A$201,[1]Customers!$B$2:$B$201)</f>
        <v>Customer_139</v>
      </c>
      <c r="T332" t="str">
        <f>_xlfn.XLOOKUP(D332,[1]Products!$A$2:$A$101,[1]Products!$C$2:$C$101)</f>
        <v>Grocery</v>
      </c>
      <c r="U332">
        <f>_xlfn.XLOOKUP(D332,[1]Products!$A$2:$A$101,[1]Products!$E$2:$E$101)</f>
        <v>358</v>
      </c>
      <c r="V332">
        <f>[1]Transactions!F332*[1]Transactions!U332</f>
        <v>1432</v>
      </c>
    </row>
    <row r="333" spans="1:22" x14ac:dyDescent="0.3">
      <c r="A333">
        <v>332</v>
      </c>
      <c r="B333">
        <v>175</v>
      </c>
      <c r="C333">
        <v>117</v>
      </c>
      <c r="D333">
        <v>17</v>
      </c>
      <c r="E333">
        <v>29</v>
      </c>
      <c r="F333">
        <v>3</v>
      </c>
      <c r="G333">
        <v>28</v>
      </c>
      <c r="H333">
        <v>84</v>
      </c>
      <c r="I333">
        <v>51</v>
      </c>
      <c r="J333">
        <f>[1]Transactions!F333*[1]Transactions!G333</f>
        <v>84</v>
      </c>
      <c r="K333">
        <f>_xlfn.XLOOKUP([1]Transactions!D333,[1]Inventory!$C$2:$C$501,[1]Inventory!$A$2:$A$501)</f>
        <v>1</v>
      </c>
      <c r="L333">
        <f>_xlfn.XLOOKUP(K333,[1]Inventory!$A$2:$A$501,[1]Inventory!$D$2:$D$501)</f>
        <v>179</v>
      </c>
      <c r="M333">
        <f>_xlfn.XLOOKUP(K333,[1]Inventory!$A$2:$A$501,[1]Inventory!$E$2:$E$501)</f>
        <v>124</v>
      </c>
      <c r="N333" t="str">
        <f>_xlfn.XLOOKUP([1]Transactions!C333,[1]Customers!$A$2:$A$201,[1]Customers!$G$2:$G$201)</f>
        <v>Gujarat</v>
      </c>
      <c r="O333" t="str">
        <f>_xlfn.XLOOKUP(C333,[1]Customers!$A$2:$A$201,[1]Customers!$H$2:$H$201)</f>
        <v>West</v>
      </c>
      <c r="P333" t="str">
        <f>_xlfn.XLOOKUP(C333,[1]Customers!$A$2:$A$201,[1]Customers!$F$2:$F$201)</f>
        <v>Ahmedabad</v>
      </c>
      <c r="Q333">
        <f>_xlfn.XLOOKUP(C333,[1]Customers!$A$2:$A$201,[1]Customers!$D$2:$D$201)</f>
        <v>49</v>
      </c>
      <c r="R333" t="str">
        <f>_xlfn.XLOOKUP([1]Transactions!C333,[1]Customers!$A$2:$A$201,[1]Customers!$C$2:$C$201)</f>
        <v>Male</v>
      </c>
      <c r="S333" t="str">
        <f>_xlfn.XLOOKUP(C333,[1]Customers!$A$2:$A$201,[1]Customers!$B$2:$B$201)</f>
        <v>Customer_117</v>
      </c>
      <c r="T333" t="str">
        <f>_xlfn.XLOOKUP(D333,[1]Products!$A$2:$A$101,[1]Products!$C$2:$C$101)</f>
        <v>Snacks</v>
      </c>
      <c r="U333">
        <f>_xlfn.XLOOKUP(D333,[1]Products!$A$2:$A$101,[1]Products!$E$2:$E$101)</f>
        <v>55</v>
      </c>
      <c r="V333">
        <f>[1]Transactions!F333*[1]Transactions!U333</f>
        <v>165</v>
      </c>
    </row>
    <row r="334" spans="1:22" x14ac:dyDescent="0.3">
      <c r="A334">
        <v>333</v>
      </c>
      <c r="B334">
        <v>130</v>
      </c>
      <c r="C334">
        <v>10</v>
      </c>
      <c r="D334">
        <v>12</v>
      </c>
      <c r="E334">
        <v>38</v>
      </c>
      <c r="F334">
        <v>3</v>
      </c>
      <c r="G334">
        <v>244</v>
      </c>
      <c r="H334">
        <v>732</v>
      </c>
      <c r="I334">
        <v>18</v>
      </c>
      <c r="J334">
        <f>[1]Transactions!F334*[1]Transactions!G334</f>
        <v>732</v>
      </c>
      <c r="K334">
        <f>_xlfn.XLOOKUP([1]Transactions!D334,[1]Inventory!$C$2:$C$501,[1]Inventory!$A$2:$A$501)</f>
        <v>410</v>
      </c>
      <c r="L334">
        <f>_xlfn.XLOOKUP(K334,[1]Inventory!$A$2:$A$501,[1]Inventory!$D$2:$D$501)</f>
        <v>256</v>
      </c>
      <c r="M334">
        <f>_xlfn.XLOOKUP(K334,[1]Inventory!$A$2:$A$501,[1]Inventory!$E$2:$E$501)</f>
        <v>51</v>
      </c>
      <c r="N334" t="str">
        <f>_xlfn.XLOOKUP([1]Transactions!C334,[1]Customers!$A$2:$A$201,[1]Customers!$G$2:$G$201)</f>
        <v>Maharashtra</v>
      </c>
      <c r="O334" t="str">
        <f>_xlfn.XLOOKUP(C334,[1]Customers!$A$2:$A$201,[1]Customers!$H$2:$H$201)</f>
        <v>West</v>
      </c>
      <c r="P334" t="str">
        <f>_xlfn.XLOOKUP(C334,[1]Customers!$A$2:$A$201,[1]Customers!$F$2:$F$201)</f>
        <v>Mumbai</v>
      </c>
      <c r="Q334">
        <f>_xlfn.XLOOKUP(C334,[1]Customers!$A$2:$A$201,[1]Customers!$D$2:$D$201)</f>
        <v>56</v>
      </c>
      <c r="R334" t="str">
        <f>_xlfn.XLOOKUP([1]Transactions!C334,[1]Customers!$A$2:$A$201,[1]Customers!$C$2:$C$201)</f>
        <v>Male</v>
      </c>
      <c r="S334" t="str">
        <f>_xlfn.XLOOKUP(C334,[1]Customers!$A$2:$A$201,[1]Customers!$B$2:$B$201)</f>
        <v>Customer_10</v>
      </c>
      <c r="T334" t="str">
        <f>_xlfn.XLOOKUP(D334,[1]Products!$A$2:$A$101,[1]Products!$C$2:$C$101)</f>
        <v>Beverages</v>
      </c>
      <c r="U334">
        <f>_xlfn.XLOOKUP(D334,[1]Products!$A$2:$A$101,[1]Products!$E$2:$E$101)</f>
        <v>61</v>
      </c>
      <c r="V334">
        <f>[1]Transactions!F334*[1]Transactions!U334</f>
        <v>183</v>
      </c>
    </row>
    <row r="335" spans="1:22" x14ac:dyDescent="0.3">
      <c r="A335">
        <v>334</v>
      </c>
      <c r="B335">
        <v>103</v>
      </c>
      <c r="C335">
        <v>28</v>
      </c>
      <c r="D335">
        <v>8</v>
      </c>
      <c r="E335">
        <v>1</v>
      </c>
      <c r="F335">
        <v>4</v>
      </c>
      <c r="G335">
        <v>111</v>
      </c>
      <c r="H335">
        <v>444</v>
      </c>
      <c r="I335">
        <v>35</v>
      </c>
      <c r="J335">
        <f>[1]Transactions!F335*[1]Transactions!G335</f>
        <v>444</v>
      </c>
      <c r="K335">
        <f>_xlfn.XLOOKUP([1]Transactions!D335,[1]Inventory!$C$2:$C$501,[1]Inventory!$A$2:$A$501)</f>
        <v>67</v>
      </c>
      <c r="L335">
        <f>_xlfn.XLOOKUP(K335,[1]Inventory!$A$2:$A$501,[1]Inventory!$D$2:$D$501)</f>
        <v>378</v>
      </c>
      <c r="M335">
        <f>_xlfn.XLOOKUP(K335,[1]Inventory!$A$2:$A$501,[1]Inventory!$E$2:$E$501)</f>
        <v>151</v>
      </c>
      <c r="N335" t="str">
        <f>_xlfn.XLOOKUP([1]Transactions!C335,[1]Customers!$A$2:$A$201,[1]Customers!$G$2:$G$201)</f>
        <v>Delhi</v>
      </c>
      <c r="O335" t="str">
        <f>_xlfn.XLOOKUP(C335,[1]Customers!$A$2:$A$201,[1]Customers!$H$2:$H$201)</f>
        <v>North</v>
      </c>
      <c r="P335" t="str">
        <f>_xlfn.XLOOKUP(C335,[1]Customers!$A$2:$A$201,[1]Customers!$F$2:$F$201)</f>
        <v>Delhi</v>
      </c>
      <c r="Q335">
        <f>_xlfn.XLOOKUP(C335,[1]Customers!$A$2:$A$201,[1]Customers!$D$2:$D$201)</f>
        <v>31</v>
      </c>
      <c r="R335" t="str">
        <f>_xlfn.XLOOKUP([1]Transactions!C335,[1]Customers!$A$2:$A$201,[1]Customers!$C$2:$C$201)</f>
        <v>Female</v>
      </c>
      <c r="S335" t="str">
        <f>_xlfn.XLOOKUP(C335,[1]Customers!$A$2:$A$201,[1]Customers!$B$2:$B$201)</f>
        <v>Customer_28</v>
      </c>
      <c r="T335" t="str">
        <f>_xlfn.XLOOKUP(D335,[1]Products!$A$2:$A$101,[1]Products!$C$2:$C$101)</f>
        <v>Dairy</v>
      </c>
      <c r="U335">
        <f>_xlfn.XLOOKUP(D335,[1]Products!$A$2:$A$101,[1]Products!$E$2:$E$101)</f>
        <v>293</v>
      </c>
      <c r="V335">
        <f>[1]Transactions!F335*[1]Transactions!U335</f>
        <v>1172</v>
      </c>
    </row>
    <row r="336" spans="1:22" x14ac:dyDescent="0.3">
      <c r="A336">
        <v>335</v>
      </c>
      <c r="B336">
        <v>145</v>
      </c>
      <c r="C336">
        <v>94</v>
      </c>
      <c r="D336">
        <v>32</v>
      </c>
      <c r="E336">
        <v>30</v>
      </c>
      <c r="F336">
        <v>2</v>
      </c>
      <c r="G336">
        <v>46</v>
      </c>
      <c r="H336">
        <v>92</v>
      </c>
      <c r="I336">
        <v>22</v>
      </c>
      <c r="J336">
        <f>[1]Transactions!F336*[1]Transactions!G336</f>
        <v>92</v>
      </c>
      <c r="K336">
        <f>_xlfn.XLOOKUP([1]Transactions!D336,[1]Inventory!$C$2:$C$501,[1]Inventory!$A$2:$A$501)</f>
        <v>27</v>
      </c>
      <c r="L336">
        <f>_xlfn.XLOOKUP(K336,[1]Inventory!$A$2:$A$501,[1]Inventory!$D$2:$D$501)</f>
        <v>76</v>
      </c>
      <c r="M336">
        <f>_xlfn.XLOOKUP(K336,[1]Inventory!$A$2:$A$501,[1]Inventory!$E$2:$E$501)</f>
        <v>128</v>
      </c>
      <c r="N336" t="str">
        <f>_xlfn.XLOOKUP([1]Transactions!C336,[1]Customers!$A$2:$A$201,[1]Customers!$G$2:$G$201)</f>
        <v>UP</v>
      </c>
      <c r="O336" t="str">
        <f>_xlfn.XLOOKUP(C336,[1]Customers!$A$2:$A$201,[1]Customers!$H$2:$H$201)</f>
        <v>North</v>
      </c>
      <c r="P336" t="str">
        <f>_xlfn.XLOOKUP(C336,[1]Customers!$A$2:$A$201,[1]Customers!$F$2:$F$201)</f>
        <v>Lucknow</v>
      </c>
      <c r="Q336">
        <f>_xlfn.XLOOKUP(C336,[1]Customers!$A$2:$A$201,[1]Customers!$D$2:$D$201)</f>
        <v>45</v>
      </c>
      <c r="R336" t="str">
        <f>_xlfn.XLOOKUP([1]Transactions!C336,[1]Customers!$A$2:$A$201,[1]Customers!$C$2:$C$201)</f>
        <v>Female</v>
      </c>
      <c r="S336" t="str">
        <f>_xlfn.XLOOKUP(C336,[1]Customers!$A$2:$A$201,[1]Customers!$B$2:$B$201)</f>
        <v>Customer_94</v>
      </c>
      <c r="T336" t="str">
        <f>_xlfn.XLOOKUP(D336,[1]Products!$A$2:$A$101,[1]Products!$C$2:$C$101)</f>
        <v>Snacks</v>
      </c>
      <c r="U336">
        <f>_xlfn.XLOOKUP(D336,[1]Products!$A$2:$A$101,[1]Products!$E$2:$E$101)</f>
        <v>366</v>
      </c>
      <c r="V336">
        <f>[1]Transactions!F336*[1]Transactions!U336</f>
        <v>732</v>
      </c>
    </row>
    <row r="337" spans="1:22" x14ac:dyDescent="0.3">
      <c r="A337">
        <v>336</v>
      </c>
      <c r="B337">
        <v>146</v>
      </c>
      <c r="C337">
        <v>162</v>
      </c>
      <c r="D337">
        <v>13</v>
      </c>
      <c r="E337">
        <v>33</v>
      </c>
      <c r="F337">
        <v>5</v>
      </c>
      <c r="G337">
        <v>153</v>
      </c>
      <c r="H337">
        <v>765</v>
      </c>
      <c r="I337">
        <v>53</v>
      </c>
      <c r="J337">
        <f>[1]Transactions!F337*[1]Transactions!G337</f>
        <v>765</v>
      </c>
      <c r="K337">
        <f>_xlfn.XLOOKUP([1]Transactions!D337,[1]Inventory!$C$2:$C$501,[1]Inventory!$A$2:$A$501)</f>
        <v>37</v>
      </c>
      <c r="L337">
        <f>_xlfn.XLOOKUP(K337,[1]Inventory!$A$2:$A$501,[1]Inventory!$D$2:$D$501)</f>
        <v>372</v>
      </c>
      <c r="M337">
        <f>_xlfn.XLOOKUP(K337,[1]Inventory!$A$2:$A$501,[1]Inventory!$E$2:$E$501)</f>
        <v>135</v>
      </c>
      <c r="N337" t="str">
        <f>_xlfn.XLOOKUP([1]Transactions!C337,[1]Customers!$A$2:$A$201,[1]Customers!$G$2:$G$201)</f>
        <v>Telangana</v>
      </c>
      <c r="O337" t="str">
        <f>_xlfn.XLOOKUP(C337,[1]Customers!$A$2:$A$201,[1]Customers!$H$2:$H$201)</f>
        <v>South</v>
      </c>
      <c r="P337" t="str">
        <f>_xlfn.XLOOKUP(C337,[1]Customers!$A$2:$A$201,[1]Customers!$F$2:$F$201)</f>
        <v>Hyderabad</v>
      </c>
      <c r="Q337">
        <f>_xlfn.XLOOKUP(C337,[1]Customers!$A$2:$A$201,[1]Customers!$D$2:$D$201)</f>
        <v>54</v>
      </c>
      <c r="R337" t="str">
        <f>_xlfn.XLOOKUP([1]Transactions!C337,[1]Customers!$A$2:$A$201,[1]Customers!$C$2:$C$201)</f>
        <v>Male</v>
      </c>
      <c r="S337" t="str">
        <f>_xlfn.XLOOKUP(C337,[1]Customers!$A$2:$A$201,[1]Customers!$B$2:$B$201)</f>
        <v>Customer_162</v>
      </c>
      <c r="T337" t="str">
        <f>_xlfn.XLOOKUP(D337,[1]Products!$A$2:$A$101,[1]Products!$C$2:$C$101)</f>
        <v>Dairy</v>
      </c>
      <c r="U337">
        <f>_xlfn.XLOOKUP(D337,[1]Products!$A$2:$A$101,[1]Products!$E$2:$E$101)</f>
        <v>34</v>
      </c>
      <c r="V337">
        <f>[1]Transactions!F337*[1]Transactions!U337</f>
        <v>170</v>
      </c>
    </row>
    <row r="338" spans="1:22" x14ac:dyDescent="0.3">
      <c r="A338">
        <v>337</v>
      </c>
      <c r="B338">
        <v>136</v>
      </c>
      <c r="C338">
        <v>43</v>
      </c>
      <c r="D338">
        <v>68</v>
      </c>
      <c r="E338">
        <v>50</v>
      </c>
      <c r="F338">
        <v>4</v>
      </c>
      <c r="G338">
        <v>353</v>
      </c>
      <c r="H338">
        <v>1412</v>
      </c>
      <c r="I338">
        <v>10</v>
      </c>
      <c r="J338">
        <f>[1]Transactions!F338*[1]Transactions!G338</f>
        <v>1412</v>
      </c>
      <c r="K338">
        <f>_xlfn.XLOOKUP([1]Transactions!D338,[1]Inventory!$C$2:$C$501,[1]Inventory!$A$2:$A$501)</f>
        <v>22</v>
      </c>
      <c r="L338">
        <f>_xlfn.XLOOKUP(K338,[1]Inventory!$A$2:$A$501,[1]Inventory!$D$2:$D$501)</f>
        <v>249</v>
      </c>
      <c r="M338">
        <f>_xlfn.XLOOKUP(K338,[1]Inventory!$A$2:$A$501,[1]Inventory!$E$2:$E$501)</f>
        <v>58</v>
      </c>
      <c r="N338" t="str">
        <f>_xlfn.XLOOKUP([1]Transactions!C338,[1]Customers!$A$2:$A$201,[1]Customers!$G$2:$G$201)</f>
        <v>Rajasthan</v>
      </c>
      <c r="O338" t="str">
        <f>_xlfn.XLOOKUP(C338,[1]Customers!$A$2:$A$201,[1]Customers!$H$2:$H$201)</f>
        <v>North</v>
      </c>
      <c r="P338" t="str">
        <f>_xlfn.XLOOKUP(C338,[1]Customers!$A$2:$A$201,[1]Customers!$F$2:$F$201)</f>
        <v>Jaipur</v>
      </c>
      <c r="Q338">
        <f>_xlfn.XLOOKUP(C338,[1]Customers!$A$2:$A$201,[1]Customers!$D$2:$D$201)</f>
        <v>22</v>
      </c>
      <c r="R338" t="str">
        <f>_xlfn.XLOOKUP([1]Transactions!C338,[1]Customers!$A$2:$A$201,[1]Customers!$C$2:$C$201)</f>
        <v>Female</v>
      </c>
      <c r="S338" t="str">
        <f>_xlfn.XLOOKUP(C338,[1]Customers!$A$2:$A$201,[1]Customers!$B$2:$B$201)</f>
        <v>Customer_43</v>
      </c>
      <c r="T338" t="str">
        <f>_xlfn.XLOOKUP(D338,[1]Products!$A$2:$A$101,[1]Products!$C$2:$C$101)</f>
        <v>Personal Care</v>
      </c>
      <c r="U338">
        <f>_xlfn.XLOOKUP(D338,[1]Products!$A$2:$A$101,[1]Products!$E$2:$E$101)</f>
        <v>330</v>
      </c>
      <c r="V338">
        <f>[1]Transactions!F338*[1]Transactions!U338</f>
        <v>1320</v>
      </c>
    </row>
    <row r="339" spans="1:22" x14ac:dyDescent="0.3">
      <c r="A339">
        <v>338</v>
      </c>
      <c r="B339">
        <v>97</v>
      </c>
      <c r="C339">
        <v>162</v>
      </c>
      <c r="D339">
        <v>74</v>
      </c>
      <c r="E339">
        <v>2</v>
      </c>
      <c r="F339">
        <v>4</v>
      </c>
      <c r="G339">
        <v>369</v>
      </c>
      <c r="H339">
        <v>1476</v>
      </c>
      <c r="I339">
        <v>13</v>
      </c>
      <c r="J339">
        <f>[1]Transactions!F339*[1]Transactions!G339</f>
        <v>1476</v>
      </c>
      <c r="K339">
        <f>_xlfn.XLOOKUP([1]Transactions!D339,[1]Inventory!$C$2:$C$501,[1]Inventory!$A$2:$A$501)</f>
        <v>165</v>
      </c>
      <c r="L339">
        <f>_xlfn.XLOOKUP(K339,[1]Inventory!$A$2:$A$501,[1]Inventory!$D$2:$D$501)</f>
        <v>414</v>
      </c>
      <c r="M339">
        <f>_xlfn.XLOOKUP(K339,[1]Inventory!$A$2:$A$501,[1]Inventory!$E$2:$E$501)</f>
        <v>51</v>
      </c>
      <c r="N339" t="str">
        <f>_xlfn.XLOOKUP([1]Transactions!C339,[1]Customers!$A$2:$A$201,[1]Customers!$G$2:$G$201)</f>
        <v>Telangana</v>
      </c>
      <c r="O339" t="str">
        <f>_xlfn.XLOOKUP(C339,[1]Customers!$A$2:$A$201,[1]Customers!$H$2:$H$201)</f>
        <v>South</v>
      </c>
      <c r="P339" t="str">
        <f>_xlfn.XLOOKUP(C339,[1]Customers!$A$2:$A$201,[1]Customers!$F$2:$F$201)</f>
        <v>Hyderabad</v>
      </c>
      <c r="Q339">
        <f>_xlfn.XLOOKUP(C339,[1]Customers!$A$2:$A$201,[1]Customers!$D$2:$D$201)</f>
        <v>54</v>
      </c>
      <c r="R339" t="str">
        <f>_xlfn.XLOOKUP([1]Transactions!C339,[1]Customers!$A$2:$A$201,[1]Customers!$C$2:$C$201)</f>
        <v>Male</v>
      </c>
      <c r="S339" t="str">
        <f>_xlfn.XLOOKUP(C339,[1]Customers!$A$2:$A$201,[1]Customers!$B$2:$B$201)</f>
        <v>Customer_162</v>
      </c>
      <c r="T339" t="str">
        <f>_xlfn.XLOOKUP(D339,[1]Products!$A$2:$A$101,[1]Products!$C$2:$C$101)</f>
        <v>Snacks</v>
      </c>
      <c r="U339">
        <f>_xlfn.XLOOKUP(D339,[1]Products!$A$2:$A$101,[1]Products!$E$2:$E$101)</f>
        <v>251</v>
      </c>
      <c r="V339">
        <f>[1]Transactions!F339*[1]Transactions!U339</f>
        <v>1004</v>
      </c>
    </row>
    <row r="340" spans="1:22" x14ac:dyDescent="0.3">
      <c r="A340">
        <v>339</v>
      </c>
      <c r="B340">
        <v>58</v>
      </c>
      <c r="C340">
        <v>10</v>
      </c>
      <c r="D340">
        <v>4</v>
      </c>
      <c r="E340">
        <v>41</v>
      </c>
      <c r="F340">
        <v>2</v>
      </c>
      <c r="G340">
        <v>494</v>
      </c>
      <c r="H340">
        <v>988</v>
      </c>
      <c r="I340">
        <v>21</v>
      </c>
      <c r="J340">
        <f>[1]Transactions!F340*[1]Transactions!G340</f>
        <v>988</v>
      </c>
      <c r="K340">
        <f>_xlfn.XLOOKUP([1]Transactions!D340,[1]Inventory!$C$2:$C$501,[1]Inventory!$A$2:$A$501)</f>
        <v>130</v>
      </c>
      <c r="L340">
        <f>_xlfn.XLOOKUP(K340,[1]Inventory!$A$2:$A$501,[1]Inventory!$D$2:$D$501)</f>
        <v>14</v>
      </c>
      <c r="M340">
        <f>_xlfn.XLOOKUP(K340,[1]Inventory!$A$2:$A$501,[1]Inventory!$E$2:$E$501)</f>
        <v>97</v>
      </c>
      <c r="N340" t="str">
        <f>_xlfn.XLOOKUP([1]Transactions!C340,[1]Customers!$A$2:$A$201,[1]Customers!$G$2:$G$201)</f>
        <v>Maharashtra</v>
      </c>
      <c r="O340" t="str">
        <f>_xlfn.XLOOKUP(C340,[1]Customers!$A$2:$A$201,[1]Customers!$H$2:$H$201)</f>
        <v>West</v>
      </c>
      <c r="P340" t="str">
        <f>_xlfn.XLOOKUP(C340,[1]Customers!$A$2:$A$201,[1]Customers!$F$2:$F$201)</f>
        <v>Mumbai</v>
      </c>
      <c r="Q340">
        <f>_xlfn.XLOOKUP(C340,[1]Customers!$A$2:$A$201,[1]Customers!$D$2:$D$201)</f>
        <v>56</v>
      </c>
      <c r="R340" t="str">
        <f>_xlfn.XLOOKUP([1]Transactions!C340,[1]Customers!$A$2:$A$201,[1]Customers!$C$2:$C$201)</f>
        <v>Male</v>
      </c>
      <c r="S340" t="str">
        <f>_xlfn.XLOOKUP(C340,[1]Customers!$A$2:$A$201,[1]Customers!$B$2:$B$201)</f>
        <v>Customer_10</v>
      </c>
      <c r="T340" t="str">
        <f>_xlfn.XLOOKUP(D340,[1]Products!$A$2:$A$101,[1]Products!$C$2:$C$101)</f>
        <v>Grocery</v>
      </c>
      <c r="U340">
        <f>_xlfn.XLOOKUP(D340,[1]Products!$A$2:$A$101,[1]Products!$E$2:$E$101)</f>
        <v>459</v>
      </c>
      <c r="V340">
        <f>[1]Transactions!F340*[1]Transactions!U340</f>
        <v>918</v>
      </c>
    </row>
    <row r="341" spans="1:22" x14ac:dyDescent="0.3">
      <c r="A341">
        <v>340</v>
      </c>
      <c r="B341">
        <v>29</v>
      </c>
      <c r="C341">
        <v>159</v>
      </c>
      <c r="D341">
        <v>56</v>
      </c>
      <c r="E341">
        <v>7</v>
      </c>
      <c r="F341">
        <v>4</v>
      </c>
      <c r="G341">
        <v>373</v>
      </c>
      <c r="H341">
        <v>1492</v>
      </c>
      <c r="I341">
        <v>51</v>
      </c>
      <c r="J341">
        <f>[1]Transactions!F341*[1]Transactions!G341</f>
        <v>1492</v>
      </c>
      <c r="K341">
        <f>_xlfn.XLOOKUP([1]Transactions!D341,[1]Inventory!$C$2:$C$501,[1]Inventory!$A$2:$A$501)</f>
        <v>70</v>
      </c>
      <c r="L341">
        <f>_xlfn.XLOOKUP(K341,[1]Inventory!$A$2:$A$501,[1]Inventory!$D$2:$D$501)</f>
        <v>197</v>
      </c>
      <c r="M341">
        <f>_xlfn.XLOOKUP(K341,[1]Inventory!$A$2:$A$501,[1]Inventory!$E$2:$E$501)</f>
        <v>102</v>
      </c>
      <c r="N341" t="str">
        <f>_xlfn.XLOOKUP([1]Transactions!C341,[1]Customers!$A$2:$A$201,[1]Customers!$G$2:$G$201)</f>
        <v>Maharashtra</v>
      </c>
      <c r="O341" t="str">
        <f>_xlfn.XLOOKUP(C341,[1]Customers!$A$2:$A$201,[1]Customers!$H$2:$H$201)</f>
        <v>West</v>
      </c>
      <c r="P341" t="str">
        <f>_xlfn.XLOOKUP(C341,[1]Customers!$A$2:$A$201,[1]Customers!$F$2:$F$201)</f>
        <v>Mumbai</v>
      </c>
      <c r="Q341">
        <f>_xlfn.XLOOKUP(C341,[1]Customers!$A$2:$A$201,[1]Customers!$D$2:$D$201)</f>
        <v>48</v>
      </c>
      <c r="R341" t="str">
        <f>_xlfn.XLOOKUP([1]Transactions!C341,[1]Customers!$A$2:$A$201,[1]Customers!$C$2:$C$201)</f>
        <v>Male</v>
      </c>
      <c r="S341" t="str">
        <f>_xlfn.XLOOKUP(C341,[1]Customers!$A$2:$A$201,[1]Customers!$B$2:$B$201)</f>
        <v>Customer_159</v>
      </c>
      <c r="T341" t="str">
        <f>_xlfn.XLOOKUP(D341,[1]Products!$A$2:$A$101,[1]Products!$C$2:$C$101)</f>
        <v>Beverages</v>
      </c>
      <c r="U341">
        <f>_xlfn.XLOOKUP(D341,[1]Products!$A$2:$A$101,[1]Products!$E$2:$E$101)</f>
        <v>64</v>
      </c>
      <c r="V341">
        <f>[1]Transactions!F341*[1]Transactions!U341</f>
        <v>256</v>
      </c>
    </row>
    <row r="342" spans="1:22" x14ac:dyDescent="0.3">
      <c r="A342">
        <v>341</v>
      </c>
      <c r="B342">
        <v>117</v>
      </c>
      <c r="C342">
        <v>71</v>
      </c>
      <c r="D342">
        <v>23</v>
      </c>
      <c r="E342">
        <v>10</v>
      </c>
      <c r="F342">
        <v>1</v>
      </c>
      <c r="G342">
        <v>304</v>
      </c>
      <c r="H342">
        <v>304</v>
      </c>
      <c r="I342">
        <v>14</v>
      </c>
      <c r="J342">
        <f>[1]Transactions!F342*[1]Transactions!G342</f>
        <v>304</v>
      </c>
      <c r="K342">
        <f>_xlfn.XLOOKUP([1]Transactions!D342,[1]Inventory!$C$2:$C$501,[1]Inventory!$A$2:$A$501)</f>
        <v>127</v>
      </c>
      <c r="L342">
        <f>_xlfn.XLOOKUP(K342,[1]Inventory!$A$2:$A$501,[1]Inventory!$D$2:$D$501)</f>
        <v>144</v>
      </c>
      <c r="M342">
        <f>_xlfn.XLOOKUP(K342,[1]Inventory!$A$2:$A$501,[1]Inventory!$E$2:$E$501)</f>
        <v>95</v>
      </c>
      <c r="N342" t="str">
        <f>_xlfn.XLOOKUP([1]Transactions!C342,[1]Customers!$A$2:$A$201,[1]Customers!$G$2:$G$201)</f>
        <v>West Bengal</v>
      </c>
      <c r="O342" t="str">
        <f>_xlfn.XLOOKUP(C342,[1]Customers!$A$2:$A$201,[1]Customers!$H$2:$H$201)</f>
        <v>East</v>
      </c>
      <c r="P342" t="str">
        <f>_xlfn.XLOOKUP(C342,[1]Customers!$A$2:$A$201,[1]Customers!$F$2:$F$201)</f>
        <v>Kolkata</v>
      </c>
      <c r="Q342">
        <f>_xlfn.XLOOKUP(C342,[1]Customers!$A$2:$A$201,[1]Customers!$D$2:$D$201)</f>
        <v>40</v>
      </c>
      <c r="R342" t="str">
        <f>_xlfn.XLOOKUP([1]Transactions!C342,[1]Customers!$A$2:$A$201,[1]Customers!$C$2:$C$201)</f>
        <v>Male</v>
      </c>
      <c r="S342" t="str">
        <f>_xlfn.XLOOKUP(C342,[1]Customers!$A$2:$A$201,[1]Customers!$B$2:$B$201)</f>
        <v>Customer_71</v>
      </c>
      <c r="T342" t="str">
        <f>_xlfn.XLOOKUP(D342,[1]Products!$A$2:$A$101,[1]Products!$C$2:$C$101)</f>
        <v>Grocery</v>
      </c>
      <c r="U342">
        <f>_xlfn.XLOOKUP(D342,[1]Products!$A$2:$A$101,[1]Products!$E$2:$E$101)</f>
        <v>370</v>
      </c>
      <c r="V342">
        <f>[1]Transactions!F342*[1]Transactions!U342</f>
        <v>370</v>
      </c>
    </row>
    <row r="343" spans="1:22" x14ac:dyDescent="0.3">
      <c r="A343">
        <v>342</v>
      </c>
      <c r="B343">
        <v>41</v>
      </c>
      <c r="C343">
        <v>176</v>
      </c>
      <c r="D343">
        <v>7</v>
      </c>
      <c r="E343">
        <v>20</v>
      </c>
      <c r="F343">
        <v>3</v>
      </c>
      <c r="G343">
        <v>198</v>
      </c>
      <c r="H343">
        <v>594</v>
      </c>
      <c r="I343">
        <v>29</v>
      </c>
      <c r="J343">
        <f>[1]Transactions!F343*[1]Transactions!G343</f>
        <v>594</v>
      </c>
      <c r="K343">
        <f>_xlfn.XLOOKUP([1]Transactions!D343,[1]Inventory!$C$2:$C$501,[1]Inventory!$A$2:$A$501)</f>
        <v>32</v>
      </c>
      <c r="L343">
        <f>_xlfn.XLOOKUP(K343,[1]Inventory!$A$2:$A$501,[1]Inventory!$D$2:$D$501)</f>
        <v>377</v>
      </c>
      <c r="M343">
        <f>_xlfn.XLOOKUP(K343,[1]Inventory!$A$2:$A$501,[1]Inventory!$E$2:$E$501)</f>
        <v>135</v>
      </c>
      <c r="N343" t="str">
        <f>_xlfn.XLOOKUP([1]Transactions!C343,[1]Customers!$A$2:$A$201,[1]Customers!$G$2:$G$201)</f>
        <v>Gujarat</v>
      </c>
      <c r="O343" t="str">
        <f>_xlfn.XLOOKUP(C343,[1]Customers!$A$2:$A$201,[1]Customers!$H$2:$H$201)</f>
        <v>West</v>
      </c>
      <c r="P343" t="str">
        <f>_xlfn.XLOOKUP(C343,[1]Customers!$A$2:$A$201,[1]Customers!$F$2:$F$201)</f>
        <v>Ahmedabad</v>
      </c>
      <c r="Q343">
        <f>_xlfn.XLOOKUP(C343,[1]Customers!$A$2:$A$201,[1]Customers!$D$2:$D$201)</f>
        <v>45</v>
      </c>
      <c r="R343" t="str">
        <f>_xlfn.XLOOKUP([1]Transactions!C343,[1]Customers!$A$2:$A$201,[1]Customers!$C$2:$C$201)</f>
        <v>Female</v>
      </c>
      <c r="S343" t="str">
        <f>_xlfn.XLOOKUP(C343,[1]Customers!$A$2:$A$201,[1]Customers!$B$2:$B$201)</f>
        <v>Customer_176</v>
      </c>
      <c r="T343" t="str">
        <f>_xlfn.XLOOKUP(D343,[1]Products!$A$2:$A$101,[1]Products!$C$2:$C$101)</f>
        <v>Dairy</v>
      </c>
      <c r="U343">
        <f>_xlfn.XLOOKUP(D343,[1]Products!$A$2:$A$101,[1]Products!$E$2:$E$101)</f>
        <v>65</v>
      </c>
      <c r="V343">
        <f>[1]Transactions!F343*[1]Transactions!U343</f>
        <v>195</v>
      </c>
    </row>
    <row r="344" spans="1:22" x14ac:dyDescent="0.3">
      <c r="A344">
        <v>343</v>
      </c>
      <c r="B344">
        <v>113</v>
      </c>
      <c r="C344">
        <v>82</v>
      </c>
      <c r="D344">
        <v>21</v>
      </c>
      <c r="E344">
        <v>41</v>
      </c>
      <c r="F344">
        <v>5</v>
      </c>
      <c r="G344">
        <v>132</v>
      </c>
      <c r="H344">
        <v>660</v>
      </c>
      <c r="I344">
        <v>19</v>
      </c>
      <c r="J344">
        <f>[1]Transactions!F344*[1]Transactions!G344</f>
        <v>660</v>
      </c>
      <c r="K344">
        <f>_xlfn.XLOOKUP([1]Transactions!D344,[1]Inventory!$C$2:$C$501,[1]Inventory!$A$2:$A$501)</f>
        <v>126</v>
      </c>
      <c r="L344">
        <f>_xlfn.XLOOKUP(K344,[1]Inventory!$A$2:$A$501,[1]Inventory!$D$2:$D$501)</f>
        <v>52</v>
      </c>
      <c r="M344">
        <f>_xlfn.XLOOKUP(K344,[1]Inventory!$A$2:$A$501,[1]Inventory!$E$2:$E$501)</f>
        <v>139</v>
      </c>
      <c r="N344" t="str">
        <f>_xlfn.XLOOKUP([1]Transactions!C344,[1]Customers!$A$2:$A$201,[1]Customers!$G$2:$G$201)</f>
        <v>Tamil Nadu</v>
      </c>
      <c r="O344" t="str">
        <f>_xlfn.XLOOKUP(C344,[1]Customers!$A$2:$A$201,[1]Customers!$H$2:$H$201)</f>
        <v>South</v>
      </c>
      <c r="P344" t="str">
        <f>_xlfn.XLOOKUP(C344,[1]Customers!$A$2:$A$201,[1]Customers!$F$2:$F$201)</f>
        <v>Chennai</v>
      </c>
      <c r="Q344">
        <f>_xlfn.XLOOKUP(C344,[1]Customers!$A$2:$A$201,[1]Customers!$D$2:$D$201)</f>
        <v>40</v>
      </c>
      <c r="R344" t="str">
        <f>_xlfn.XLOOKUP([1]Transactions!C344,[1]Customers!$A$2:$A$201,[1]Customers!$C$2:$C$201)</f>
        <v>Female</v>
      </c>
      <c r="S344" t="str">
        <f>_xlfn.XLOOKUP(C344,[1]Customers!$A$2:$A$201,[1]Customers!$B$2:$B$201)</f>
        <v>Customer_82</v>
      </c>
      <c r="T344" t="str">
        <f>_xlfn.XLOOKUP(D344,[1]Products!$A$2:$A$101,[1]Products!$C$2:$C$101)</f>
        <v>Beverages</v>
      </c>
      <c r="U344">
        <f>_xlfn.XLOOKUP(D344,[1]Products!$A$2:$A$101,[1]Products!$E$2:$E$101)</f>
        <v>327</v>
      </c>
      <c r="V344">
        <f>[1]Transactions!F344*[1]Transactions!U344</f>
        <v>1635</v>
      </c>
    </row>
    <row r="345" spans="1:22" x14ac:dyDescent="0.3">
      <c r="A345">
        <v>344</v>
      </c>
      <c r="B345">
        <v>163</v>
      </c>
      <c r="C345">
        <v>179</v>
      </c>
      <c r="D345">
        <v>65</v>
      </c>
      <c r="E345">
        <v>1</v>
      </c>
      <c r="F345">
        <v>5</v>
      </c>
      <c r="G345">
        <v>455</v>
      </c>
      <c r="H345">
        <v>2275</v>
      </c>
      <c r="I345">
        <v>25</v>
      </c>
      <c r="J345">
        <f>[1]Transactions!F345*[1]Transactions!G345</f>
        <v>2275</v>
      </c>
      <c r="K345">
        <f>_xlfn.XLOOKUP([1]Transactions!D345,[1]Inventory!$C$2:$C$501,[1]Inventory!$A$2:$A$501)</f>
        <v>175</v>
      </c>
      <c r="L345">
        <f>_xlfn.XLOOKUP(K345,[1]Inventory!$A$2:$A$501,[1]Inventory!$D$2:$D$501)</f>
        <v>111</v>
      </c>
      <c r="M345">
        <f>_xlfn.XLOOKUP(K345,[1]Inventory!$A$2:$A$501,[1]Inventory!$E$2:$E$501)</f>
        <v>27</v>
      </c>
      <c r="N345" t="str">
        <f>_xlfn.XLOOKUP([1]Transactions!C345,[1]Customers!$A$2:$A$201,[1]Customers!$G$2:$G$201)</f>
        <v>Delhi</v>
      </c>
      <c r="O345" t="str">
        <f>_xlfn.XLOOKUP(C345,[1]Customers!$A$2:$A$201,[1]Customers!$H$2:$H$201)</f>
        <v>North</v>
      </c>
      <c r="P345" t="str">
        <f>_xlfn.XLOOKUP(C345,[1]Customers!$A$2:$A$201,[1]Customers!$F$2:$F$201)</f>
        <v>Delhi</v>
      </c>
      <c r="Q345">
        <f>_xlfn.XLOOKUP(C345,[1]Customers!$A$2:$A$201,[1]Customers!$D$2:$D$201)</f>
        <v>19</v>
      </c>
      <c r="R345" t="str">
        <f>_xlfn.XLOOKUP([1]Transactions!C345,[1]Customers!$A$2:$A$201,[1]Customers!$C$2:$C$201)</f>
        <v>Female</v>
      </c>
      <c r="S345" t="str">
        <f>_xlfn.XLOOKUP(C345,[1]Customers!$A$2:$A$201,[1]Customers!$B$2:$B$201)</f>
        <v>Customer_179</v>
      </c>
      <c r="T345" t="str">
        <f>_xlfn.XLOOKUP(D345,[1]Products!$A$2:$A$101,[1]Products!$C$2:$C$101)</f>
        <v>Snacks</v>
      </c>
      <c r="U345">
        <f>_xlfn.XLOOKUP(D345,[1]Products!$A$2:$A$101,[1]Products!$E$2:$E$101)</f>
        <v>309</v>
      </c>
      <c r="V345">
        <f>[1]Transactions!F345*[1]Transactions!U345</f>
        <v>1545</v>
      </c>
    </row>
    <row r="346" spans="1:22" x14ac:dyDescent="0.3">
      <c r="A346">
        <v>345</v>
      </c>
      <c r="B346">
        <v>66</v>
      </c>
      <c r="C346">
        <v>63</v>
      </c>
      <c r="D346">
        <v>75</v>
      </c>
      <c r="E346">
        <v>30</v>
      </c>
      <c r="F346">
        <v>5</v>
      </c>
      <c r="G346">
        <v>297</v>
      </c>
      <c r="H346">
        <v>1485</v>
      </c>
      <c r="I346">
        <v>60</v>
      </c>
      <c r="J346">
        <f>[1]Transactions!F346*[1]Transactions!G346</f>
        <v>1485</v>
      </c>
      <c r="K346">
        <f>_xlfn.XLOOKUP([1]Transactions!D346,[1]Inventory!$C$2:$C$501,[1]Inventory!$A$2:$A$501)</f>
        <v>14</v>
      </c>
      <c r="L346">
        <f>_xlfn.XLOOKUP(K346,[1]Inventory!$A$2:$A$501,[1]Inventory!$D$2:$D$501)</f>
        <v>306</v>
      </c>
      <c r="M346">
        <f>_xlfn.XLOOKUP(K346,[1]Inventory!$A$2:$A$501,[1]Inventory!$E$2:$E$501)</f>
        <v>30</v>
      </c>
      <c r="N346" t="str">
        <f>_xlfn.XLOOKUP([1]Transactions!C346,[1]Customers!$A$2:$A$201,[1]Customers!$G$2:$G$201)</f>
        <v>Rajasthan</v>
      </c>
      <c r="O346" t="str">
        <f>_xlfn.XLOOKUP(C346,[1]Customers!$A$2:$A$201,[1]Customers!$H$2:$H$201)</f>
        <v>North</v>
      </c>
      <c r="P346" t="str">
        <f>_xlfn.XLOOKUP(C346,[1]Customers!$A$2:$A$201,[1]Customers!$F$2:$F$201)</f>
        <v>Jaipur</v>
      </c>
      <c r="Q346">
        <f>_xlfn.XLOOKUP(C346,[1]Customers!$A$2:$A$201,[1]Customers!$D$2:$D$201)</f>
        <v>19</v>
      </c>
      <c r="R346" t="str">
        <f>_xlfn.XLOOKUP([1]Transactions!C346,[1]Customers!$A$2:$A$201,[1]Customers!$C$2:$C$201)</f>
        <v>Male</v>
      </c>
      <c r="S346" t="str">
        <f>_xlfn.XLOOKUP(C346,[1]Customers!$A$2:$A$201,[1]Customers!$B$2:$B$201)</f>
        <v>Customer_63</v>
      </c>
      <c r="T346" t="str">
        <f>_xlfn.XLOOKUP(D346,[1]Products!$A$2:$A$101,[1]Products!$C$2:$C$101)</f>
        <v>Grocery</v>
      </c>
      <c r="U346">
        <f>_xlfn.XLOOKUP(D346,[1]Products!$A$2:$A$101,[1]Products!$E$2:$E$101)</f>
        <v>88</v>
      </c>
      <c r="V346">
        <f>[1]Transactions!F346*[1]Transactions!U346</f>
        <v>440</v>
      </c>
    </row>
    <row r="347" spans="1:22" x14ac:dyDescent="0.3">
      <c r="A347">
        <v>346</v>
      </c>
      <c r="B347">
        <v>96</v>
      </c>
      <c r="C347">
        <v>17</v>
      </c>
      <c r="D347">
        <v>25</v>
      </c>
      <c r="E347">
        <v>29</v>
      </c>
      <c r="F347">
        <v>4</v>
      </c>
      <c r="G347">
        <v>328</v>
      </c>
      <c r="H347">
        <v>1312</v>
      </c>
      <c r="I347">
        <v>24</v>
      </c>
      <c r="J347">
        <f>[1]Transactions!F347*[1]Transactions!G347</f>
        <v>1312</v>
      </c>
      <c r="K347">
        <f>_xlfn.XLOOKUP([1]Transactions!D347,[1]Inventory!$C$2:$C$501,[1]Inventory!$A$2:$A$501)</f>
        <v>85</v>
      </c>
      <c r="L347">
        <f>_xlfn.XLOOKUP(K347,[1]Inventory!$A$2:$A$501,[1]Inventory!$D$2:$D$501)</f>
        <v>32</v>
      </c>
      <c r="M347">
        <f>_xlfn.XLOOKUP(K347,[1]Inventory!$A$2:$A$501,[1]Inventory!$E$2:$E$501)</f>
        <v>25</v>
      </c>
      <c r="N347" t="str">
        <f>_xlfn.XLOOKUP([1]Transactions!C347,[1]Customers!$A$2:$A$201,[1]Customers!$G$2:$G$201)</f>
        <v>Telangana</v>
      </c>
      <c r="O347" t="str">
        <f>_xlfn.XLOOKUP(C347,[1]Customers!$A$2:$A$201,[1]Customers!$H$2:$H$201)</f>
        <v>South</v>
      </c>
      <c r="P347" t="str">
        <f>_xlfn.XLOOKUP(C347,[1]Customers!$A$2:$A$201,[1]Customers!$F$2:$F$201)</f>
        <v>Hyderabad</v>
      </c>
      <c r="Q347">
        <f>_xlfn.XLOOKUP(C347,[1]Customers!$A$2:$A$201,[1]Customers!$D$2:$D$201)</f>
        <v>31</v>
      </c>
      <c r="R347" t="str">
        <f>_xlfn.XLOOKUP([1]Transactions!C347,[1]Customers!$A$2:$A$201,[1]Customers!$C$2:$C$201)</f>
        <v>Male</v>
      </c>
      <c r="S347" t="str">
        <f>_xlfn.XLOOKUP(C347,[1]Customers!$A$2:$A$201,[1]Customers!$B$2:$B$201)</f>
        <v>Customer_17</v>
      </c>
      <c r="T347" t="str">
        <f>_xlfn.XLOOKUP(D347,[1]Products!$A$2:$A$101,[1]Products!$C$2:$C$101)</f>
        <v>Personal Care</v>
      </c>
      <c r="U347">
        <f>_xlfn.XLOOKUP(D347,[1]Products!$A$2:$A$101,[1]Products!$E$2:$E$101)</f>
        <v>212</v>
      </c>
      <c r="V347">
        <f>[1]Transactions!F347*[1]Transactions!U347</f>
        <v>848</v>
      </c>
    </row>
    <row r="348" spans="1:22" x14ac:dyDescent="0.3">
      <c r="A348">
        <v>347</v>
      </c>
      <c r="B348">
        <v>123</v>
      </c>
      <c r="C348">
        <v>108</v>
      </c>
      <c r="D348">
        <v>3</v>
      </c>
      <c r="E348">
        <v>29</v>
      </c>
      <c r="F348">
        <v>3</v>
      </c>
      <c r="G348">
        <v>70</v>
      </c>
      <c r="H348">
        <v>210</v>
      </c>
      <c r="I348">
        <v>56</v>
      </c>
      <c r="J348">
        <f>[1]Transactions!F348*[1]Transactions!G348</f>
        <v>210</v>
      </c>
      <c r="K348">
        <f>_xlfn.XLOOKUP([1]Transactions!D348,[1]Inventory!$C$2:$C$501,[1]Inventory!$A$2:$A$501)</f>
        <v>147</v>
      </c>
      <c r="L348">
        <f>_xlfn.XLOOKUP(K348,[1]Inventory!$A$2:$A$501,[1]Inventory!$D$2:$D$501)</f>
        <v>137</v>
      </c>
      <c r="M348">
        <f>_xlfn.XLOOKUP(K348,[1]Inventory!$A$2:$A$501,[1]Inventory!$E$2:$E$501)</f>
        <v>160</v>
      </c>
      <c r="N348" t="str">
        <f>_xlfn.XLOOKUP([1]Transactions!C348,[1]Customers!$A$2:$A$201,[1]Customers!$G$2:$G$201)</f>
        <v>Tamil Nadu</v>
      </c>
      <c r="O348" t="str">
        <f>_xlfn.XLOOKUP(C348,[1]Customers!$A$2:$A$201,[1]Customers!$H$2:$H$201)</f>
        <v>South</v>
      </c>
      <c r="P348" t="str">
        <f>_xlfn.XLOOKUP(C348,[1]Customers!$A$2:$A$201,[1]Customers!$F$2:$F$201)</f>
        <v>Chennai</v>
      </c>
      <c r="Q348">
        <f>_xlfn.XLOOKUP(C348,[1]Customers!$A$2:$A$201,[1]Customers!$D$2:$D$201)</f>
        <v>49</v>
      </c>
      <c r="R348" t="str">
        <f>_xlfn.XLOOKUP([1]Transactions!C348,[1]Customers!$A$2:$A$201,[1]Customers!$C$2:$C$201)</f>
        <v>Male</v>
      </c>
      <c r="S348" t="str">
        <f>_xlfn.XLOOKUP(C348,[1]Customers!$A$2:$A$201,[1]Customers!$B$2:$B$201)</f>
        <v>Customer_108</v>
      </c>
      <c r="T348" t="str">
        <f>_xlfn.XLOOKUP(D348,[1]Products!$A$2:$A$101,[1]Products!$C$2:$C$101)</f>
        <v>Dairy</v>
      </c>
      <c r="U348">
        <f>_xlfn.XLOOKUP(D348,[1]Products!$A$2:$A$101,[1]Products!$E$2:$E$101)</f>
        <v>357</v>
      </c>
      <c r="V348">
        <f>[1]Transactions!F348*[1]Transactions!U348</f>
        <v>1071</v>
      </c>
    </row>
    <row r="349" spans="1:22" x14ac:dyDescent="0.3">
      <c r="A349">
        <v>348</v>
      </c>
      <c r="B349">
        <v>83</v>
      </c>
      <c r="C349">
        <v>100</v>
      </c>
      <c r="D349">
        <v>5</v>
      </c>
      <c r="E349">
        <v>6</v>
      </c>
      <c r="F349">
        <v>5</v>
      </c>
      <c r="G349">
        <v>289</v>
      </c>
      <c r="H349">
        <v>1445</v>
      </c>
      <c r="I349">
        <v>22</v>
      </c>
      <c r="J349">
        <f>[1]Transactions!F349*[1]Transactions!G349</f>
        <v>1445</v>
      </c>
      <c r="K349">
        <f>_xlfn.XLOOKUP([1]Transactions!D349,[1]Inventory!$C$2:$C$501,[1]Inventory!$A$2:$A$501)</f>
        <v>71</v>
      </c>
      <c r="L349">
        <f>_xlfn.XLOOKUP(K349,[1]Inventory!$A$2:$A$501,[1]Inventory!$D$2:$D$501)</f>
        <v>288</v>
      </c>
      <c r="M349">
        <f>_xlfn.XLOOKUP(K349,[1]Inventory!$A$2:$A$501,[1]Inventory!$E$2:$E$501)</f>
        <v>130</v>
      </c>
      <c r="N349" t="str">
        <f>_xlfn.XLOOKUP([1]Transactions!C349,[1]Customers!$A$2:$A$201,[1]Customers!$G$2:$G$201)</f>
        <v>Delhi</v>
      </c>
      <c r="O349" t="str">
        <f>_xlfn.XLOOKUP(C349,[1]Customers!$A$2:$A$201,[1]Customers!$H$2:$H$201)</f>
        <v>North</v>
      </c>
      <c r="P349" t="str">
        <f>_xlfn.XLOOKUP(C349,[1]Customers!$A$2:$A$201,[1]Customers!$F$2:$F$201)</f>
        <v>Delhi</v>
      </c>
      <c r="Q349">
        <f>_xlfn.XLOOKUP(C349,[1]Customers!$A$2:$A$201,[1]Customers!$D$2:$D$201)</f>
        <v>46</v>
      </c>
      <c r="R349" t="str">
        <f>_xlfn.XLOOKUP([1]Transactions!C349,[1]Customers!$A$2:$A$201,[1]Customers!$C$2:$C$201)</f>
        <v>Male</v>
      </c>
      <c r="S349" t="str">
        <f>_xlfn.XLOOKUP(C349,[1]Customers!$A$2:$A$201,[1]Customers!$B$2:$B$201)</f>
        <v>Customer_100</v>
      </c>
      <c r="T349" t="str">
        <f>_xlfn.XLOOKUP(D349,[1]Products!$A$2:$A$101,[1]Products!$C$2:$C$101)</f>
        <v>Grocery</v>
      </c>
      <c r="U349">
        <f>_xlfn.XLOOKUP(D349,[1]Products!$A$2:$A$101,[1]Products!$E$2:$E$101)</f>
        <v>127</v>
      </c>
      <c r="V349">
        <f>[1]Transactions!F349*[1]Transactions!U349</f>
        <v>635</v>
      </c>
    </row>
    <row r="350" spans="1:22" x14ac:dyDescent="0.3">
      <c r="A350">
        <v>349</v>
      </c>
      <c r="B350">
        <v>173</v>
      </c>
      <c r="C350">
        <v>200</v>
      </c>
      <c r="D350">
        <v>43</v>
      </c>
      <c r="E350">
        <v>3</v>
      </c>
      <c r="F350">
        <v>3</v>
      </c>
      <c r="G350">
        <v>418</v>
      </c>
      <c r="H350">
        <v>1254</v>
      </c>
      <c r="I350">
        <v>38</v>
      </c>
      <c r="J350">
        <f>[1]Transactions!F350*[1]Transactions!G350</f>
        <v>1254</v>
      </c>
      <c r="K350">
        <f>_xlfn.XLOOKUP([1]Transactions!D350,[1]Inventory!$C$2:$C$501,[1]Inventory!$A$2:$A$501)</f>
        <v>34</v>
      </c>
      <c r="L350">
        <f>_xlfn.XLOOKUP(K350,[1]Inventory!$A$2:$A$501,[1]Inventory!$D$2:$D$501)</f>
        <v>211</v>
      </c>
      <c r="M350">
        <f>_xlfn.XLOOKUP(K350,[1]Inventory!$A$2:$A$501,[1]Inventory!$E$2:$E$501)</f>
        <v>50</v>
      </c>
      <c r="N350" t="str">
        <f>_xlfn.XLOOKUP([1]Transactions!C350,[1]Customers!$A$2:$A$201,[1]Customers!$G$2:$G$201)</f>
        <v>Maharashtra</v>
      </c>
      <c r="O350" t="str">
        <f>_xlfn.XLOOKUP(C350,[1]Customers!$A$2:$A$201,[1]Customers!$H$2:$H$201)</f>
        <v>West</v>
      </c>
      <c r="P350" t="str">
        <f>_xlfn.XLOOKUP(C350,[1]Customers!$A$2:$A$201,[1]Customers!$F$2:$F$201)</f>
        <v>Mumbai</v>
      </c>
      <c r="Q350">
        <f>_xlfn.XLOOKUP(C350,[1]Customers!$A$2:$A$201,[1]Customers!$D$2:$D$201)</f>
        <v>57</v>
      </c>
      <c r="R350" t="str">
        <f>_xlfn.XLOOKUP([1]Transactions!C350,[1]Customers!$A$2:$A$201,[1]Customers!$C$2:$C$201)</f>
        <v>Female</v>
      </c>
      <c r="S350" t="str">
        <f>_xlfn.XLOOKUP(C350,[1]Customers!$A$2:$A$201,[1]Customers!$B$2:$B$201)</f>
        <v>Customer_200</v>
      </c>
      <c r="T350" t="str">
        <f>_xlfn.XLOOKUP(D350,[1]Products!$A$2:$A$101,[1]Products!$C$2:$C$101)</f>
        <v>Grocery</v>
      </c>
      <c r="U350">
        <f>_xlfn.XLOOKUP(D350,[1]Products!$A$2:$A$101,[1]Products!$E$2:$E$101)</f>
        <v>293</v>
      </c>
      <c r="V350">
        <f>[1]Transactions!F350*[1]Transactions!U350</f>
        <v>879</v>
      </c>
    </row>
    <row r="351" spans="1:22" x14ac:dyDescent="0.3">
      <c r="A351">
        <v>350</v>
      </c>
      <c r="B351">
        <v>57</v>
      </c>
      <c r="C351">
        <v>46</v>
      </c>
      <c r="D351">
        <v>34</v>
      </c>
      <c r="E351">
        <v>15</v>
      </c>
      <c r="F351">
        <v>1</v>
      </c>
      <c r="G351">
        <v>68</v>
      </c>
      <c r="H351">
        <v>68</v>
      </c>
      <c r="I351">
        <v>12</v>
      </c>
      <c r="J351">
        <f>[1]Transactions!F351*[1]Transactions!G351</f>
        <v>68</v>
      </c>
      <c r="K351">
        <f>_xlfn.XLOOKUP([1]Transactions!D351,[1]Inventory!$C$2:$C$501,[1]Inventory!$A$2:$A$501)</f>
        <v>43</v>
      </c>
      <c r="L351">
        <f>_xlfn.XLOOKUP(K351,[1]Inventory!$A$2:$A$501,[1]Inventory!$D$2:$D$501)</f>
        <v>315</v>
      </c>
      <c r="M351">
        <f>_xlfn.XLOOKUP(K351,[1]Inventory!$A$2:$A$501,[1]Inventory!$E$2:$E$501)</f>
        <v>18</v>
      </c>
      <c r="N351" t="str">
        <f>_xlfn.XLOOKUP([1]Transactions!C351,[1]Customers!$A$2:$A$201,[1]Customers!$G$2:$G$201)</f>
        <v>Maharashtra</v>
      </c>
      <c r="O351" t="str">
        <f>_xlfn.XLOOKUP(C351,[1]Customers!$A$2:$A$201,[1]Customers!$H$2:$H$201)</f>
        <v>West</v>
      </c>
      <c r="P351" t="str">
        <f>_xlfn.XLOOKUP(C351,[1]Customers!$A$2:$A$201,[1]Customers!$F$2:$F$201)</f>
        <v>Pune</v>
      </c>
      <c r="Q351">
        <f>_xlfn.XLOOKUP(C351,[1]Customers!$A$2:$A$201,[1]Customers!$D$2:$D$201)</f>
        <v>42</v>
      </c>
      <c r="R351" t="str">
        <f>_xlfn.XLOOKUP([1]Transactions!C351,[1]Customers!$A$2:$A$201,[1]Customers!$C$2:$C$201)</f>
        <v>Male</v>
      </c>
      <c r="S351" t="str">
        <f>_xlfn.XLOOKUP(C351,[1]Customers!$A$2:$A$201,[1]Customers!$B$2:$B$201)</f>
        <v>Customer_46</v>
      </c>
      <c r="T351" t="str">
        <f>_xlfn.XLOOKUP(D351,[1]Products!$A$2:$A$101,[1]Products!$C$2:$C$101)</f>
        <v>Snacks</v>
      </c>
      <c r="U351">
        <f>_xlfn.XLOOKUP(D351,[1]Products!$A$2:$A$101,[1]Products!$E$2:$E$101)</f>
        <v>349</v>
      </c>
      <c r="V351">
        <f>[1]Transactions!F351*[1]Transactions!U351</f>
        <v>349</v>
      </c>
    </row>
    <row r="352" spans="1:22" x14ac:dyDescent="0.3">
      <c r="A352">
        <v>351</v>
      </c>
      <c r="B352">
        <v>45</v>
      </c>
      <c r="C352">
        <v>38</v>
      </c>
      <c r="D352">
        <v>53</v>
      </c>
      <c r="E352">
        <v>27</v>
      </c>
      <c r="F352">
        <v>1</v>
      </c>
      <c r="G352">
        <v>122</v>
      </c>
      <c r="H352">
        <v>122</v>
      </c>
      <c r="I352">
        <v>27</v>
      </c>
      <c r="J352">
        <f>[1]Transactions!F352*[1]Transactions!G352</f>
        <v>122</v>
      </c>
      <c r="K352">
        <f>_xlfn.XLOOKUP([1]Transactions!D352,[1]Inventory!$C$2:$C$501,[1]Inventory!$A$2:$A$501)</f>
        <v>166</v>
      </c>
      <c r="L352">
        <f>_xlfn.XLOOKUP(K352,[1]Inventory!$A$2:$A$501,[1]Inventory!$D$2:$D$501)</f>
        <v>187</v>
      </c>
      <c r="M352">
        <f>_xlfn.XLOOKUP(K352,[1]Inventory!$A$2:$A$501,[1]Inventory!$E$2:$E$501)</f>
        <v>68</v>
      </c>
      <c r="N352" t="str">
        <f>_xlfn.XLOOKUP([1]Transactions!C352,[1]Customers!$A$2:$A$201,[1]Customers!$G$2:$G$201)</f>
        <v>UP</v>
      </c>
      <c r="O352" t="str">
        <f>_xlfn.XLOOKUP(C352,[1]Customers!$A$2:$A$201,[1]Customers!$H$2:$H$201)</f>
        <v>North</v>
      </c>
      <c r="P352" t="str">
        <f>_xlfn.XLOOKUP(C352,[1]Customers!$A$2:$A$201,[1]Customers!$F$2:$F$201)</f>
        <v>Lucknow</v>
      </c>
      <c r="Q352">
        <f>_xlfn.XLOOKUP(C352,[1]Customers!$A$2:$A$201,[1]Customers!$D$2:$D$201)</f>
        <v>36</v>
      </c>
      <c r="R352" t="str">
        <f>_xlfn.XLOOKUP([1]Transactions!C352,[1]Customers!$A$2:$A$201,[1]Customers!$C$2:$C$201)</f>
        <v>Male</v>
      </c>
      <c r="S352" t="str">
        <f>_xlfn.XLOOKUP(C352,[1]Customers!$A$2:$A$201,[1]Customers!$B$2:$B$201)</f>
        <v>Customer_38</v>
      </c>
      <c r="T352" t="str">
        <f>_xlfn.XLOOKUP(D352,[1]Products!$A$2:$A$101,[1]Products!$C$2:$C$101)</f>
        <v>Beverages</v>
      </c>
      <c r="U352">
        <f>_xlfn.XLOOKUP(D352,[1]Products!$A$2:$A$101,[1]Products!$E$2:$E$101)</f>
        <v>59</v>
      </c>
      <c r="V352">
        <f>[1]Transactions!F352*[1]Transactions!U352</f>
        <v>59</v>
      </c>
    </row>
    <row r="353" spans="1:22" x14ac:dyDescent="0.3">
      <c r="A353">
        <v>352</v>
      </c>
      <c r="B353">
        <v>113</v>
      </c>
      <c r="C353">
        <v>169</v>
      </c>
      <c r="D353">
        <v>17</v>
      </c>
      <c r="E353">
        <v>2</v>
      </c>
      <c r="F353">
        <v>4</v>
      </c>
      <c r="G353">
        <v>117</v>
      </c>
      <c r="H353">
        <v>468</v>
      </c>
      <c r="I353">
        <v>22</v>
      </c>
      <c r="J353">
        <f>[1]Transactions!F353*[1]Transactions!G353</f>
        <v>468</v>
      </c>
      <c r="K353">
        <f>_xlfn.XLOOKUP([1]Transactions!D353,[1]Inventory!$C$2:$C$501,[1]Inventory!$A$2:$A$501)</f>
        <v>1</v>
      </c>
      <c r="L353">
        <f>_xlfn.XLOOKUP(K353,[1]Inventory!$A$2:$A$501,[1]Inventory!$D$2:$D$501)</f>
        <v>179</v>
      </c>
      <c r="M353">
        <f>_xlfn.XLOOKUP(K353,[1]Inventory!$A$2:$A$501,[1]Inventory!$E$2:$E$501)</f>
        <v>124</v>
      </c>
      <c r="N353" t="str">
        <f>_xlfn.XLOOKUP([1]Transactions!C353,[1]Customers!$A$2:$A$201,[1]Customers!$G$2:$G$201)</f>
        <v>UP</v>
      </c>
      <c r="O353" t="str">
        <f>_xlfn.XLOOKUP(C353,[1]Customers!$A$2:$A$201,[1]Customers!$H$2:$H$201)</f>
        <v>North</v>
      </c>
      <c r="P353" t="str">
        <f>_xlfn.XLOOKUP(C353,[1]Customers!$A$2:$A$201,[1]Customers!$F$2:$F$201)</f>
        <v>Lucknow</v>
      </c>
      <c r="Q353">
        <f>_xlfn.XLOOKUP(C353,[1]Customers!$A$2:$A$201,[1]Customers!$D$2:$D$201)</f>
        <v>45</v>
      </c>
      <c r="R353" t="str">
        <f>_xlfn.XLOOKUP([1]Transactions!C353,[1]Customers!$A$2:$A$201,[1]Customers!$C$2:$C$201)</f>
        <v>Male</v>
      </c>
      <c r="S353" t="str">
        <f>_xlfn.XLOOKUP(C353,[1]Customers!$A$2:$A$201,[1]Customers!$B$2:$B$201)</f>
        <v>Customer_169</v>
      </c>
      <c r="T353" t="str">
        <f>_xlfn.XLOOKUP(D353,[1]Products!$A$2:$A$101,[1]Products!$C$2:$C$101)</f>
        <v>Snacks</v>
      </c>
      <c r="U353">
        <f>_xlfn.XLOOKUP(D353,[1]Products!$A$2:$A$101,[1]Products!$E$2:$E$101)</f>
        <v>55</v>
      </c>
      <c r="V353">
        <f>[1]Transactions!F353*[1]Transactions!U353</f>
        <v>220</v>
      </c>
    </row>
    <row r="354" spans="1:22" x14ac:dyDescent="0.3">
      <c r="A354">
        <v>353</v>
      </c>
      <c r="B354">
        <v>138</v>
      </c>
      <c r="C354">
        <v>6</v>
      </c>
      <c r="D354">
        <v>20</v>
      </c>
      <c r="E354">
        <v>38</v>
      </c>
      <c r="F354">
        <v>5</v>
      </c>
      <c r="G354">
        <v>490</v>
      </c>
      <c r="H354">
        <v>2450</v>
      </c>
      <c r="I354">
        <v>54</v>
      </c>
      <c r="J354">
        <f>[1]Transactions!F354*[1]Transactions!G354</f>
        <v>2450</v>
      </c>
      <c r="K354">
        <f>_xlfn.XLOOKUP([1]Transactions!D354,[1]Inventory!$C$2:$C$501,[1]Inventory!$A$2:$A$501)</f>
        <v>137</v>
      </c>
      <c r="L354">
        <f>_xlfn.XLOOKUP(K354,[1]Inventory!$A$2:$A$501,[1]Inventory!$D$2:$D$501)</f>
        <v>338</v>
      </c>
      <c r="M354">
        <f>_xlfn.XLOOKUP(K354,[1]Inventory!$A$2:$A$501,[1]Inventory!$E$2:$E$501)</f>
        <v>85</v>
      </c>
      <c r="N354" t="str">
        <f>_xlfn.XLOOKUP([1]Transactions!C354,[1]Customers!$A$2:$A$201,[1]Customers!$G$2:$G$201)</f>
        <v>Gujarat</v>
      </c>
      <c r="O354" t="str">
        <f>_xlfn.XLOOKUP(C354,[1]Customers!$A$2:$A$201,[1]Customers!$H$2:$H$201)</f>
        <v>West</v>
      </c>
      <c r="P354" t="str">
        <f>_xlfn.XLOOKUP(C354,[1]Customers!$A$2:$A$201,[1]Customers!$F$2:$F$201)</f>
        <v>Ahmedabad</v>
      </c>
      <c r="Q354">
        <f>_xlfn.XLOOKUP(C354,[1]Customers!$A$2:$A$201,[1]Customers!$D$2:$D$201)</f>
        <v>36</v>
      </c>
      <c r="R354" t="str">
        <f>_xlfn.XLOOKUP([1]Transactions!C354,[1]Customers!$A$2:$A$201,[1]Customers!$C$2:$C$201)</f>
        <v>Female</v>
      </c>
      <c r="S354" t="str">
        <f>_xlfn.XLOOKUP(C354,[1]Customers!$A$2:$A$201,[1]Customers!$B$2:$B$201)</f>
        <v>Customer_6</v>
      </c>
      <c r="T354" t="str">
        <f>_xlfn.XLOOKUP(D354,[1]Products!$A$2:$A$101,[1]Products!$C$2:$C$101)</f>
        <v>Dairy</v>
      </c>
      <c r="U354">
        <f>_xlfn.XLOOKUP(D354,[1]Products!$A$2:$A$101,[1]Products!$E$2:$E$101)</f>
        <v>182</v>
      </c>
      <c r="V354">
        <f>[1]Transactions!F354*[1]Transactions!U354</f>
        <v>910</v>
      </c>
    </row>
    <row r="355" spans="1:22" x14ac:dyDescent="0.3">
      <c r="A355">
        <v>354</v>
      </c>
      <c r="B355">
        <v>18</v>
      </c>
      <c r="C355">
        <v>136</v>
      </c>
      <c r="D355">
        <v>96</v>
      </c>
      <c r="E355">
        <v>42</v>
      </c>
      <c r="F355">
        <v>4</v>
      </c>
      <c r="G355">
        <v>219</v>
      </c>
      <c r="H355">
        <v>876</v>
      </c>
      <c r="I355">
        <v>16</v>
      </c>
      <c r="J355">
        <f>[1]Transactions!F355*[1]Transactions!G355</f>
        <v>876</v>
      </c>
      <c r="K355">
        <f>_xlfn.XLOOKUP([1]Transactions!D355,[1]Inventory!$C$2:$C$501,[1]Inventory!$A$2:$A$501)</f>
        <v>25</v>
      </c>
      <c r="L355">
        <f>_xlfn.XLOOKUP(K355,[1]Inventory!$A$2:$A$501,[1]Inventory!$D$2:$D$501)</f>
        <v>17</v>
      </c>
      <c r="M355">
        <f>_xlfn.XLOOKUP(K355,[1]Inventory!$A$2:$A$501,[1]Inventory!$E$2:$E$501)</f>
        <v>75</v>
      </c>
      <c r="N355" t="str">
        <f>_xlfn.XLOOKUP([1]Transactions!C355,[1]Customers!$A$2:$A$201,[1]Customers!$G$2:$G$201)</f>
        <v>West Bengal</v>
      </c>
      <c r="O355" t="str">
        <f>_xlfn.XLOOKUP(C355,[1]Customers!$A$2:$A$201,[1]Customers!$H$2:$H$201)</f>
        <v>East</v>
      </c>
      <c r="P355" t="str">
        <f>_xlfn.XLOOKUP(C355,[1]Customers!$A$2:$A$201,[1]Customers!$F$2:$F$201)</f>
        <v>Kolkata</v>
      </c>
      <c r="Q355">
        <f>_xlfn.XLOOKUP(C355,[1]Customers!$A$2:$A$201,[1]Customers!$D$2:$D$201)</f>
        <v>43</v>
      </c>
      <c r="R355" t="str">
        <f>_xlfn.XLOOKUP([1]Transactions!C355,[1]Customers!$A$2:$A$201,[1]Customers!$C$2:$C$201)</f>
        <v>Male</v>
      </c>
      <c r="S355" t="str">
        <f>_xlfn.XLOOKUP(C355,[1]Customers!$A$2:$A$201,[1]Customers!$B$2:$B$201)</f>
        <v>Customer_136</v>
      </c>
      <c r="T355" t="str">
        <f>_xlfn.XLOOKUP(D355,[1]Products!$A$2:$A$101,[1]Products!$C$2:$C$101)</f>
        <v>Dairy</v>
      </c>
      <c r="U355">
        <f>_xlfn.XLOOKUP(D355,[1]Products!$A$2:$A$101,[1]Products!$E$2:$E$101)</f>
        <v>150</v>
      </c>
      <c r="V355">
        <f>[1]Transactions!F355*[1]Transactions!U355</f>
        <v>600</v>
      </c>
    </row>
    <row r="356" spans="1:22" x14ac:dyDescent="0.3">
      <c r="A356">
        <v>355</v>
      </c>
      <c r="B356">
        <v>168</v>
      </c>
      <c r="C356">
        <v>58</v>
      </c>
      <c r="D356">
        <v>54</v>
      </c>
      <c r="E356">
        <v>17</v>
      </c>
      <c r="F356">
        <v>3</v>
      </c>
      <c r="G356">
        <v>318</v>
      </c>
      <c r="H356">
        <v>954</v>
      </c>
      <c r="I356">
        <v>14</v>
      </c>
      <c r="J356">
        <f>[1]Transactions!F356*[1]Transactions!G356</f>
        <v>954</v>
      </c>
      <c r="K356">
        <f>_xlfn.XLOOKUP([1]Transactions!D356,[1]Inventory!$C$2:$C$501,[1]Inventory!$A$2:$A$501)</f>
        <v>21</v>
      </c>
      <c r="L356">
        <f>_xlfn.XLOOKUP(K356,[1]Inventory!$A$2:$A$501,[1]Inventory!$D$2:$D$501)</f>
        <v>124</v>
      </c>
      <c r="M356">
        <f>_xlfn.XLOOKUP(K356,[1]Inventory!$A$2:$A$501,[1]Inventory!$E$2:$E$501)</f>
        <v>101</v>
      </c>
      <c r="N356" t="str">
        <f>_xlfn.XLOOKUP([1]Transactions!C356,[1]Customers!$A$2:$A$201,[1]Customers!$G$2:$G$201)</f>
        <v>Gujarat</v>
      </c>
      <c r="O356" t="str">
        <f>_xlfn.XLOOKUP(C356,[1]Customers!$A$2:$A$201,[1]Customers!$H$2:$H$201)</f>
        <v>West</v>
      </c>
      <c r="P356" t="str">
        <f>_xlfn.XLOOKUP(C356,[1]Customers!$A$2:$A$201,[1]Customers!$F$2:$F$201)</f>
        <v>Ahmedabad</v>
      </c>
      <c r="Q356">
        <f>_xlfn.XLOOKUP(C356,[1]Customers!$A$2:$A$201,[1]Customers!$D$2:$D$201)</f>
        <v>34</v>
      </c>
      <c r="R356" t="str">
        <f>_xlfn.XLOOKUP([1]Transactions!C356,[1]Customers!$A$2:$A$201,[1]Customers!$C$2:$C$201)</f>
        <v>Male</v>
      </c>
      <c r="S356" t="str">
        <f>_xlfn.XLOOKUP(C356,[1]Customers!$A$2:$A$201,[1]Customers!$B$2:$B$201)</f>
        <v>Customer_58</v>
      </c>
      <c r="T356" t="str">
        <f>_xlfn.XLOOKUP(D356,[1]Products!$A$2:$A$101,[1]Products!$C$2:$C$101)</f>
        <v>Beverages</v>
      </c>
      <c r="U356">
        <f>_xlfn.XLOOKUP(D356,[1]Products!$A$2:$A$101,[1]Products!$E$2:$E$101)</f>
        <v>426</v>
      </c>
      <c r="V356">
        <f>[1]Transactions!F356*[1]Transactions!U356</f>
        <v>1278</v>
      </c>
    </row>
    <row r="357" spans="1:22" x14ac:dyDescent="0.3">
      <c r="A357">
        <v>356</v>
      </c>
      <c r="B357">
        <v>39</v>
      </c>
      <c r="C357">
        <v>109</v>
      </c>
      <c r="D357">
        <v>12</v>
      </c>
      <c r="E357">
        <v>48</v>
      </c>
      <c r="F357">
        <v>1</v>
      </c>
      <c r="G357">
        <v>256</v>
      </c>
      <c r="H357">
        <v>256</v>
      </c>
      <c r="I357">
        <v>15</v>
      </c>
      <c r="J357">
        <f>[1]Transactions!F357*[1]Transactions!G357</f>
        <v>256</v>
      </c>
      <c r="K357">
        <f>_xlfn.XLOOKUP([1]Transactions!D357,[1]Inventory!$C$2:$C$501,[1]Inventory!$A$2:$A$501)</f>
        <v>410</v>
      </c>
      <c r="L357">
        <f>_xlfn.XLOOKUP(K357,[1]Inventory!$A$2:$A$501,[1]Inventory!$D$2:$D$501)</f>
        <v>256</v>
      </c>
      <c r="M357">
        <f>_xlfn.XLOOKUP(K357,[1]Inventory!$A$2:$A$501,[1]Inventory!$E$2:$E$501)</f>
        <v>51</v>
      </c>
      <c r="N357" t="str">
        <f>_xlfn.XLOOKUP([1]Transactions!C357,[1]Customers!$A$2:$A$201,[1]Customers!$G$2:$G$201)</f>
        <v>West Bengal</v>
      </c>
      <c r="O357" t="str">
        <f>_xlfn.XLOOKUP(C357,[1]Customers!$A$2:$A$201,[1]Customers!$H$2:$H$201)</f>
        <v>East</v>
      </c>
      <c r="P357" t="str">
        <f>_xlfn.XLOOKUP(C357,[1]Customers!$A$2:$A$201,[1]Customers!$F$2:$F$201)</f>
        <v>Kolkata</v>
      </c>
      <c r="Q357">
        <f>_xlfn.XLOOKUP(C357,[1]Customers!$A$2:$A$201,[1]Customers!$D$2:$D$201)</f>
        <v>43</v>
      </c>
      <c r="R357" t="str">
        <f>_xlfn.XLOOKUP([1]Transactions!C357,[1]Customers!$A$2:$A$201,[1]Customers!$C$2:$C$201)</f>
        <v>Female</v>
      </c>
      <c r="S357" t="str">
        <f>_xlfn.XLOOKUP(C357,[1]Customers!$A$2:$A$201,[1]Customers!$B$2:$B$201)</f>
        <v>Customer_109</v>
      </c>
      <c r="T357" t="str">
        <f>_xlfn.XLOOKUP(D357,[1]Products!$A$2:$A$101,[1]Products!$C$2:$C$101)</f>
        <v>Beverages</v>
      </c>
      <c r="U357">
        <f>_xlfn.XLOOKUP(D357,[1]Products!$A$2:$A$101,[1]Products!$E$2:$E$101)</f>
        <v>61</v>
      </c>
      <c r="V357">
        <f>[1]Transactions!F357*[1]Transactions!U357</f>
        <v>61</v>
      </c>
    </row>
    <row r="358" spans="1:22" x14ac:dyDescent="0.3">
      <c r="A358">
        <v>357</v>
      </c>
      <c r="B358">
        <v>8</v>
      </c>
      <c r="C358">
        <v>165</v>
      </c>
      <c r="D358">
        <v>31</v>
      </c>
      <c r="E358">
        <v>8</v>
      </c>
      <c r="F358">
        <v>1</v>
      </c>
      <c r="G358">
        <v>191</v>
      </c>
      <c r="H358">
        <v>191</v>
      </c>
      <c r="I358">
        <v>18</v>
      </c>
      <c r="J358">
        <f>[1]Transactions!F358*[1]Transactions!G358</f>
        <v>191</v>
      </c>
      <c r="K358">
        <f>_xlfn.XLOOKUP([1]Transactions!D358,[1]Inventory!$C$2:$C$501,[1]Inventory!$A$2:$A$501)</f>
        <v>61</v>
      </c>
      <c r="L358">
        <f>_xlfn.XLOOKUP(K358,[1]Inventory!$A$2:$A$501,[1]Inventory!$D$2:$D$501)</f>
        <v>342</v>
      </c>
      <c r="M358">
        <f>_xlfn.XLOOKUP(K358,[1]Inventory!$A$2:$A$501,[1]Inventory!$E$2:$E$501)</f>
        <v>35</v>
      </c>
      <c r="N358" t="str">
        <f>_xlfn.XLOOKUP([1]Transactions!C358,[1]Customers!$A$2:$A$201,[1]Customers!$G$2:$G$201)</f>
        <v>UP</v>
      </c>
      <c r="O358" t="str">
        <f>_xlfn.XLOOKUP(C358,[1]Customers!$A$2:$A$201,[1]Customers!$H$2:$H$201)</f>
        <v>North</v>
      </c>
      <c r="P358" t="str">
        <f>_xlfn.XLOOKUP(C358,[1]Customers!$A$2:$A$201,[1]Customers!$F$2:$F$201)</f>
        <v>Lucknow</v>
      </c>
      <c r="Q358">
        <f>_xlfn.XLOOKUP(C358,[1]Customers!$A$2:$A$201,[1]Customers!$D$2:$D$201)</f>
        <v>58</v>
      </c>
      <c r="R358" t="str">
        <f>_xlfn.XLOOKUP([1]Transactions!C358,[1]Customers!$A$2:$A$201,[1]Customers!$C$2:$C$201)</f>
        <v>Male</v>
      </c>
      <c r="S358" t="str">
        <f>_xlfn.XLOOKUP(C358,[1]Customers!$A$2:$A$201,[1]Customers!$B$2:$B$201)</f>
        <v>Customer_165</v>
      </c>
      <c r="T358" t="str">
        <f>_xlfn.XLOOKUP(D358,[1]Products!$A$2:$A$101,[1]Products!$C$2:$C$101)</f>
        <v>Grocery</v>
      </c>
      <c r="U358">
        <f>_xlfn.XLOOKUP(D358,[1]Products!$A$2:$A$101,[1]Products!$E$2:$E$101)</f>
        <v>254</v>
      </c>
      <c r="V358">
        <f>[1]Transactions!F358*[1]Transactions!U358</f>
        <v>254</v>
      </c>
    </row>
    <row r="359" spans="1:22" x14ac:dyDescent="0.3">
      <c r="A359">
        <v>358</v>
      </c>
      <c r="B359">
        <v>41</v>
      </c>
      <c r="C359">
        <v>74</v>
      </c>
      <c r="D359">
        <v>85</v>
      </c>
      <c r="E359">
        <v>10</v>
      </c>
      <c r="F359">
        <v>5</v>
      </c>
      <c r="G359">
        <v>356</v>
      </c>
      <c r="H359">
        <v>1780</v>
      </c>
      <c r="I359">
        <v>13</v>
      </c>
      <c r="J359">
        <f>[1]Transactions!F359*[1]Transactions!G359</f>
        <v>1780</v>
      </c>
      <c r="K359">
        <f>_xlfn.XLOOKUP([1]Transactions!D359,[1]Inventory!$C$2:$C$501,[1]Inventory!$A$2:$A$501)</f>
        <v>12</v>
      </c>
      <c r="L359">
        <f>_xlfn.XLOOKUP(K359,[1]Inventory!$A$2:$A$501,[1]Inventory!$D$2:$D$501)</f>
        <v>276</v>
      </c>
      <c r="M359">
        <f>_xlfn.XLOOKUP(K359,[1]Inventory!$A$2:$A$501,[1]Inventory!$E$2:$E$501)</f>
        <v>118</v>
      </c>
      <c r="N359" t="str">
        <f>_xlfn.XLOOKUP([1]Transactions!C359,[1]Customers!$A$2:$A$201,[1]Customers!$G$2:$G$201)</f>
        <v>Karnataka</v>
      </c>
      <c r="O359" t="str">
        <f>_xlfn.XLOOKUP(C359,[1]Customers!$A$2:$A$201,[1]Customers!$H$2:$H$201)</f>
        <v>South</v>
      </c>
      <c r="P359" t="str">
        <f>_xlfn.XLOOKUP(C359,[1]Customers!$A$2:$A$201,[1]Customers!$F$2:$F$201)</f>
        <v>Bangalore</v>
      </c>
      <c r="Q359">
        <f>_xlfn.XLOOKUP(C359,[1]Customers!$A$2:$A$201,[1]Customers!$D$2:$D$201)</f>
        <v>22</v>
      </c>
      <c r="R359" t="str">
        <f>_xlfn.XLOOKUP([1]Transactions!C359,[1]Customers!$A$2:$A$201,[1]Customers!$C$2:$C$201)</f>
        <v>Male</v>
      </c>
      <c r="S359" t="str">
        <f>_xlfn.XLOOKUP(C359,[1]Customers!$A$2:$A$201,[1]Customers!$B$2:$B$201)</f>
        <v>Customer_74</v>
      </c>
      <c r="T359" t="str">
        <f>_xlfn.XLOOKUP(D359,[1]Products!$A$2:$A$101,[1]Products!$C$2:$C$101)</f>
        <v>Beverages</v>
      </c>
      <c r="U359">
        <f>_xlfn.XLOOKUP(D359,[1]Products!$A$2:$A$101,[1]Products!$E$2:$E$101)</f>
        <v>78</v>
      </c>
      <c r="V359">
        <f>[1]Transactions!F359*[1]Transactions!U359</f>
        <v>390</v>
      </c>
    </row>
    <row r="360" spans="1:22" x14ac:dyDescent="0.3">
      <c r="A360">
        <v>359</v>
      </c>
      <c r="B360">
        <v>79</v>
      </c>
      <c r="C360">
        <v>136</v>
      </c>
      <c r="D360">
        <v>1</v>
      </c>
      <c r="E360">
        <v>26</v>
      </c>
      <c r="F360">
        <v>4</v>
      </c>
      <c r="G360">
        <v>398</v>
      </c>
      <c r="H360">
        <v>1592</v>
      </c>
      <c r="I360">
        <v>51</v>
      </c>
      <c r="J360">
        <f>[1]Transactions!F360*[1]Transactions!G360</f>
        <v>1592</v>
      </c>
      <c r="K360">
        <f>_xlfn.XLOOKUP([1]Transactions!D360,[1]Inventory!$C$2:$C$501,[1]Inventory!$A$2:$A$501)</f>
        <v>106</v>
      </c>
      <c r="L360">
        <f>_xlfn.XLOOKUP(K360,[1]Inventory!$A$2:$A$501,[1]Inventory!$D$2:$D$501)</f>
        <v>94</v>
      </c>
      <c r="M360">
        <f>_xlfn.XLOOKUP(K360,[1]Inventory!$A$2:$A$501,[1]Inventory!$E$2:$E$501)</f>
        <v>58</v>
      </c>
      <c r="N360" t="str">
        <f>_xlfn.XLOOKUP([1]Transactions!C360,[1]Customers!$A$2:$A$201,[1]Customers!$G$2:$G$201)</f>
        <v>West Bengal</v>
      </c>
      <c r="O360" t="str">
        <f>_xlfn.XLOOKUP(C360,[1]Customers!$A$2:$A$201,[1]Customers!$H$2:$H$201)</f>
        <v>East</v>
      </c>
      <c r="P360" t="str">
        <f>_xlfn.XLOOKUP(C360,[1]Customers!$A$2:$A$201,[1]Customers!$F$2:$F$201)</f>
        <v>Kolkata</v>
      </c>
      <c r="Q360">
        <f>_xlfn.XLOOKUP(C360,[1]Customers!$A$2:$A$201,[1]Customers!$D$2:$D$201)</f>
        <v>43</v>
      </c>
      <c r="R360" t="str">
        <f>_xlfn.XLOOKUP([1]Transactions!C360,[1]Customers!$A$2:$A$201,[1]Customers!$C$2:$C$201)</f>
        <v>Male</v>
      </c>
      <c r="S360" t="str">
        <f>_xlfn.XLOOKUP(C360,[1]Customers!$A$2:$A$201,[1]Customers!$B$2:$B$201)</f>
        <v>Customer_136</v>
      </c>
      <c r="T360" t="str">
        <f>_xlfn.XLOOKUP(D360,[1]Products!$A$2:$A$101,[1]Products!$C$2:$C$101)</f>
        <v>Snacks</v>
      </c>
      <c r="U360">
        <f>_xlfn.XLOOKUP(D360,[1]Products!$A$2:$A$101,[1]Products!$E$2:$E$101)</f>
        <v>68</v>
      </c>
      <c r="V360">
        <f>[1]Transactions!F360*[1]Transactions!U360</f>
        <v>272</v>
      </c>
    </row>
    <row r="361" spans="1:22" x14ac:dyDescent="0.3">
      <c r="A361">
        <v>360</v>
      </c>
      <c r="B361">
        <v>7</v>
      </c>
      <c r="C361">
        <v>23</v>
      </c>
      <c r="D361">
        <v>22</v>
      </c>
      <c r="E361">
        <v>15</v>
      </c>
      <c r="F361">
        <v>1</v>
      </c>
      <c r="G361">
        <v>41</v>
      </c>
      <c r="H361">
        <v>41</v>
      </c>
      <c r="I361">
        <v>25</v>
      </c>
      <c r="J361">
        <f>[1]Transactions!F361*[1]Transactions!G361</f>
        <v>41</v>
      </c>
      <c r="K361">
        <f>_xlfn.XLOOKUP([1]Transactions!D361,[1]Inventory!$C$2:$C$501,[1]Inventory!$A$2:$A$501)</f>
        <v>9</v>
      </c>
      <c r="L361">
        <f>_xlfn.XLOOKUP(K361,[1]Inventory!$A$2:$A$501,[1]Inventory!$D$2:$D$501)</f>
        <v>177</v>
      </c>
      <c r="M361">
        <f>_xlfn.XLOOKUP(K361,[1]Inventory!$A$2:$A$501,[1]Inventory!$E$2:$E$501)</f>
        <v>107</v>
      </c>
      <c r="N361" t="str">
        <f>_xlfn.XLOOKUP([1]Transactions!C361,[1]Customers!$A$2:$A$201,[1]Customers!$G$2:$G$201)</f>
        <v>Delhi</v>
      </c>
      <c r="O361" t="str">
        <f>_xlfn.XLOOKUP(C361,[1]Customers!$A$2:$A$201,[1]Customers!$H$2:$H$201)</f>
        <v>North</v>
      </c>
      <c r="P361" t="str">
        <f>_xlfn.XLOOKUP(C361,[1]Customers!$A$2:$A$201,[1]Customers!$F$2:$F$201)</f>
        <v>Delhi</v>
      </c>
      <c r="Q361">
        <f>_xlfn.XLOOKUP(C361,[1]Customers!$A$2:$A$201,[1]Customers!$D$2:$D$201)</f>
        <v>19</v>
      </c>
      <c r="R361" t="str">
        <f>_xlfn.XLOOKUP([1]Transactions!C361,[1]Customers!$A$2:$A$201,[1]Customers!$C$2:$C$201)</f>
        <v>Female</v>
      </c>
      <c r="S361" t="str">
        <f>_xlfn.XLOOKUP(C361,[1]Customers!$A$2:$A$201,[1]Customers!$B$2:$B$201)</f>
        <v>Customer_23</v>
      </c>
      <c r="T361" t="str">
        <f>_xlfn.XLOOKUP(D361,[1]Products!$A$2:$A$101,[1]Products!$C$2:$C$101)</f>
        <v>Snacks</v>
      </c>
      <c r="U361">
        <f>_xlfn.XLOOKUP(D361,[1]Products!$A$2:$A$101,[1]Products!$E$2:$E$101)</f>
        <v>482</v>
      </c>
      <c r="V361">
        <f>[1]Transactions!F361*[1]Transactions!U361</f>
        <v>482</v>
      </c>
    </row>
    <row r="362" spans="1:22" x14ac:dyDescent="0.3">
      <c r="A362">
        <v>361</v>
      </c>
      <c r="B362">
        <v>75</v>
      </c>
      <c r="C362">
        <v>141</v>
      </c>
      <c r="D362">
        <v>27</v>
      </c>
      <c r="E362">
        <v>34</v>
      </c>
      <c r="F362">
        <v>5</v>
      </c>
      <c r="G362">
        <v>463</v>
      </c>
      <c r="H362">
        <v>2315</v>
      </c>
      <c r="I362">
        <v>39</v>
      </c>
      <c r="J362">
        <f>[1]Transactions!F362*[1]Transactions!G362</f>
        <v>2315</v>
      </c>
      <c r="K362">
        <f>_xlfn.XLOOKUP([1]Transactions!D362,[1]Inventory!$C$2:$C$501,[1]Inventory!$A$2:$A$501)</f>
        <v>24</v>
      </c>
      <c r="L362">
        <f>_xlfn.XLOOKUP(K362,[1]Inventory!$A$2:$A$501,[1]Inventory!$D$2:$D$501)</f>
        <v>384</v>
      </c>
      <c r="M362">
        <f>_xlfn.XLOOKUP(K362,[1]Inventory!$A$2:$A$501,[1]Inventory!$E$2:$E$501)</f>
        <v>116</v>
      </c>
      <c r="N362" t="str">
        <f>_xlfn.XLOOKUP([1]Transactions!C362,[1]Customers!$A$2:$A$201,[1]Customers!$G$2:$G$201)</f>
        <v>Tamil Nadu</v>
      </c>
      <c r="O362" t="str">
        <f>_xlfn.XLOOKUP(C362,[1]Customers!$A$2:$A$201,[1]Customers!$H$2:$H$201)</f>
        <v>South</v>
      </c>
      <c r="P362" t="str">
        <f>_xlfn.XLOOKUP(C362,[1]Customers!$A$2:$A$201,[1]Customers!$F$2:$F$201)</f>
        <v>Chennai</v>
      </c>
      <c r="Q362">
        <f>_xlfn.XLOOKUP(C362,[1]Customers!$A$2:$A$201,[1]Customers!$D$2:$D$201)</f>
        <v>28</v>
      </c>
      <c r="R362" t="str">
        <f>_xlfn.XLOOKUP([1]Transactions!C362,[1]Customers!$A$2:$A$201,[1]Customers!$C$2:$C$201)</f>
        <v>Female</v>
      </c>
      <c r="S362" t="str">
        <f>_xlfn.XLOOKUP(C362,[1]Customers!$A$2:$A$201,[1]Customers!$B$2:$B$201)</f>
        <v>Customer_141</v>
      </c>
      <c r="T362" t="str">
        <f>_xlfn.XLOOKUP(D362,[1]Products!$A$2:$A$101,[1]Products!$C$2:$C$101)</f>
        <v>Snacks</v>
      </c>
      <c r="U362">
        <f>_xlfn.XLOOKUP(D362,[1]Products!$A$2:$A$101,[1]Products!$E$2:$E$101)</f>
        <v>372</v>
      </c>
      <c r="V362">
        <f>[1]Transactions!F362*[1]Transactions!U362</f>
        <v>1860</v>
      </c>
    </row>
    <row r="363" spans="1:22" x14ac:dyDescent="0.3">
      <c r="A363">
        <v>362</v>
      </c>
      <c r="B363">
        <v>149</v>
      </c>
      <c r="C363">
        <v>76</v>
      </c>
      <c r="D363">
        <v>27</v>
      </c>
      <c r="E363">
        <v>18</v>
      </c>
      <c r="F363">
        <v>4</v>
      </c>
      <c r="G363">
        <v>292</v>
      </c>
      <c r="H363">
        <v>1168</v>
      </c>
      <c r="I363">
        <v>58</v>
      </c>
      <c r="J363">
        <f>[1]Transactions!F363*[1]Transactions!G363</f>
        <v>1168</v>
      </c>
      <c r="K363">
        <f>_xlfn.XLOOKUP([1]Transactions!D363,[1]Inventory!$C$2:$C$501,[1]Inventory!$A$2:$A$501)</f>
        <v>24</v>
      </c>
      <c r="L363">
        <f>_xlfn.XLOOKUP(K363,[1]Inventory!$A$2:$A$501,[1]Inventory!$D$2:$D$501)</f>
        <v>384</v>
      </c>
      <c r="M363">
        <f>_xlfn.XLOOKUP(K363,[1]Inventory!$A$2:$A$501,[1]Inventory!$E$2:$E$501)</f>
        <v>116</v>
      </c>
      <c r="N363" t="str">
        <f>_xlfn.XLOOKUP([1]Transactions!C363,[1]Customers!$A$2:$A$201,[1]Customers!$G$2:$G$201)</f>
        <v>UP</v>
      </c>
      <c r="O363" t="str">
        <f>_xlfn.XLOOKUP(C363,[1]Customers!$A$2:$A$201,[1]Customers!$H$2:$H$201)</f>
        <v>North</v>
      </c>
      <c r="P363" t="str">
        <f>_xlfn.XLOOKUP(C363,[1]Customers!$A$2:$A$201,[1]Customers!$F$2:$F$201)</f>
        <v>Lucknow</v>
      </c>
      <c r="Q363">
        <f>_xlfn.XLOOKUP(C363,[1]Customers!$A$2:$A$201,[1]Customers!$D$2:$D$201)</f>
        <v>50</v>
      </c>
      <c r="R363" t="str">
        <f>_xlfn.XLOOKUP([1]Transactions!C363,[1]Customers!$A$2:$A$201,[1]Customers!$C$2:$C$201)</f>
        <v>Male</v>
      </c>
      <c r="S363" t="str">
        <f>_xlfn.XLOOKUP(C363,[1]Customers!$A$2:$A$201,[1]Customers!$B$2:$B$201)</f>
        <v>Customer_76</v>
      </c>
      <c r="T363" t="str">
        <f>_xlfn.XLOOKUP(D363,[1]Products!$A$2:$A$101,[1]Products!$C$2:$C$101)</f>
        <v>Snacks</v>
      </c>
      <c r="U363">
        <f>_xlfn.XLOOKUP(D363,[1]Products!$A$2:$A$101,[1]Products!$E$2:$E$101)</f>
        <v>372</v>
      </c>
      <c r="V363">
        <f>[1]Transactions!F363*[1]Transactions!U363</f>
        <v>1488</v>
      </c>
    </row>
    <row r="364" spans="1:22" x14ac:dyDescent="0.3">
      <c r="A364">
        <v>363</v>
      </c>
      <c r="B364">
        <v>159</v>
      </c>
      <c r="C364">
        <v>173</v>
      </c>
      <c r="D364">
        <v>37</v>
      </c>
      <c r="E364">
        <v>26</v>
      </c>
      <c r="F364">
        <v>4</v>
      </c>
      <c r="G364">
        <v>435</v>
      </c>
      <c r="H364">
        <v>1740</v>
      </c>
      <c r="I364">
        <v>40</v>
      </c>
      <c r="J364">
        <f>[1]Transactions!F364*[1]Transactions!G364</f>
        <v>1740</v>
      </c>
      <c r="K364">
        <f>_xlfn.XLOOKUP([1]Transactions!D364,[1]Inventory!$C$2:$C$501,[1]Inventory!$A$2:$A$501)</f>
        <v>23</v>
      </c>
      <c r="L364">
        <f>_xlfn.XLOOKUP(K364,[1]Inventory!$A$2:$A$501,[1]Inventory!$D$2:$D$501)</f>
        <v>485</v>
      </c>
      <c r="M364">
        <f>_xlfn.XLOOKUP(K364,[1]Inventory!$A$2:$A$501,[1]Inventory!$E$2:$E$501)</f>
        <v>129</v>
      </c>
      <c r="N364" t="str">
        <f>_xlfn.XLOOKUP([1]Transactions!C364,[1]Customers!$A$2:$A$201,[1]Customers!$G$2:$G$201)</f>
        <v>Delhi</v>
      </c>
      <c r="O364" t="str">
        <f>_xlfn.XLOOKUP(C364,[1]Customers!$A$2:$A$201,[1]Customers!$H$2:$H$201)</f>
        <v>North</v>
      </c>
      <c r="P364" t="str">
        <f>_xlfn.XLOOKUP(C364,[1]Customers!$A$2:$A$201,[1]Customers!$F$2:$F$201)</f>
        <v>Delhi</v>
      </c>
      <c r="Q364">
        <f>_xlfn.XLOOKUP(C364,[1]Customers!$A$2:$A$201,[1]Customers!$D$2:$D$201)</f>
        <v>50</v>
      </c>
      <c r="R364" t="str">
        <f>_xlfn.XLOOKUP([1]Transactions!C364,[1]Customers!$A$2:$A$201,[1]Customers!$C$2:$C$201)</f>
        <v>Female</v>
      </c>
      <c r="S364" t="str">
        <f>_xlfn.XLOOKUP(C364,[1]Customers!$A$2:$A$201,[1]Customers!$B$2:$B$201)</f>
        <v>Customer_173</v>
      </c>
      <c r="T364" t="str">
        <f>_xlfn.XLOOKUP(D364,[1]Products!$A$2:$A$101,[1]Products!$C$2:$C$101)</f>
        <v>Grocery</v>
      </c>
      <c r="U364">
        <f>_xlfn.XLOOKUP(D364,[1]Products!$A$2:$A$101,[1]Products!$E$2:$E$101)</f>
        <v>210</v>
      </c>
      <c r="V364">
        <f>[1]Transactions!F364*[1]Transactions!U364</f>
        <v>840</v>
      </c>
    </row>
    <row r="365" spans="1:22" x14ac:dyDescent="0.3">
      <c r="A365">
        <v>364</v>
      </c>
      <c r="B365">
        <v>25</v>
      </c>
      <c r="C365">
        <v>118</v>
      </c>
      <c r="D365">
        <v>63</v>
      </c>
      <c r="E365">
        <v>38</v>
      </c>
      <c r="F365">
        <v>5</v>
      </c>
      <c r="G365">
        <v>346</v>
      </c>
      <c r="H365">
        <v>1730</v>
      </c>
      <c r="I365">
        <v>52</v>
      </c>
      <c r="J365">
        <f>[1]Transactions!F365*[1]Transactions!G365</f>
        <v>1730</v>
      </c>
      <c r="K365">
        <f>_xlfn.XLOOKUP([1]Transactions!D365,[1]Inventory!$C$2:$C$501,[1]Inventory!$A$2:$A$501)</f>
        <v>36</v>
      </c>
      <c r="L365">
        <f>_xlfn.XLOOKUP(K365,[1]Inventory!$A$2:$A$501,[1]Inventory!$D$2:$D$501)</f>
        <v>75</v>
      </c>
      <c r="M365">
        <f>_xlfn.XLOOKUP(K365,[1]Inventory!$A$2:$A$501,[1]Inventory!$E$2:$E$501)</f>
        <v>177</v>
      </c>
      <c r="N365" t="str">
        <f>_xlfn.XLOOKUP([1]Transactions!C365,[1]Customers!$A$2:$A$201,[1]Customers!$G$2:$G$201)</f>
        <v>Maharashtra</v>
      </c>
      <c r="O365" t="str">
        <f>_xlfn.XLOOKUP(C365,[1]Customers!$A$2:$A$201,[1]Customers!$H$2:$H$201)</f>
        <v>West</v>
      </c>
      <c r="P365" t="str">
        <f>_xlfn.XLOOKUP(C365,[1]Customers!$A$2:$A$201,[1]Customers!$F$2:$F$201)</f>
        <v>Mumbai</v>
      </c>
      <c r="Q365">
        <f>_xlfn.XLOOKUP(C365,[1]Customers!$A$2:$A$201,[1]Customers!$D$2:$D$201)</f>
        <v>23</v>
      </c>
      <c r="R365" t="str">
        <f>_xlfn.XLOOKUP([1]Transactions!C365,[1]Customers!$A$2:$A$201,[1]Customers!$C$2:$C$201)</f>
        <v>Male</v>
      </c>
      <c r="S365" t="str">
        <f>_xlfn.XLOOKUP(C365,[1]Customers!$A$2:$A$201,[1]Customers!$B$2:$B$201)</f>
        <v>Customer_118</v>
      </c>
      <c r="T365" t="str">
        <f>_xlfn.XLOOKUP(D365,[1]Products!$A$2:$A$101,[1]Products!$C$2:$C$101)</f>
        <v>Grocery</v>
      </c>
      <c r="U365">
        <f>_xlfn.XLOOKUP(D365,[1]Products!$A$2:$A$101,[1]Products!$E$2:$E$101)</f>
        <v>171</v>
      </c>
      <c r="V365">
        <f>[1]Transactions!F365*[1]Transactions!U365</f>
        <v>855</v>
      </c>
    </row>
    <row r="366" spans="1:22" x14ac:dyDescent="0.3">
      <c r="A366">
        <v>365</v>
      </c>
      <c r="B366">
        <v>29</v>
      </c>
      <c r="C366">
        <v>168</v>
      </c>
      <c r="D366">
        <v>59</v>
      </c>
      <c r="E366">
        <v>33</v>
      </c>
      <c r="F366">
        <v>1</v>
      </c>
      <c r="G366">
        <v>203</v>
      </c>
      <c r="H366">
        <v>203</v>
      </c>
      <c r="I366">
        <v>42</v>
      </c>
      <c r="J366">
        <f>[1]Transactions!F366*[1]Transactions!G366</f>
        <v>203</v>
      </c>
      <c r="K366">
        <f>_xlfn.XLOOKUP([1]Transactions!D366,[1]Inventory!$C$2:$C$501,[1]Inventory!$A$2:$A$501)</f>
        <v>148</v>
      </c>
      <c r="L366">
        <f>_xlfn.XLOOKUP(K366,[1]Inventory!$A$2:$A$501,[1]Inventory!$D$2:$D$501)</f>
        <v>410</v>
      </c>
      <c r="M366">
        <f>_xlfn.XLOOKUP(K366,[1]Inventory!$A$2:$A$501,[1]Inventory!$E$2:$E$501)</f>
        <v>25</v>
      </c>
      <c r="N366" t="str">
        <f>_xlfn.XLOOKUP([1]Transactions!C366,[1]Customers!$A$2:$A$201,[1]Customers!$G$2:$G$201)</f>
        <v>West Bengal</v>
      </c>
      <c r="O366" t="str">
        <f>_xlfn.XLOOKUP(C366,[1]Customers!$A$2:$A$201,[1]Customers!$H$2:$H$201)</f>
        <v>East</v>
      </c>
      <c r="P366" t="str">
        <f>_xlfn.XLOOKUP(C366,[1]Customers!$A$2:$A$201,[1]Customers!$F$2:$F$201)</f>
        <v>Kolkata</v>
      </c>
      <c r="Q366">
        <f>_xlfn.XLOOKUP(C366,[1]Customers!$A$2:$A$201,[1]Customers!$D$2:$D$201)</f>
        <v>27</v>
      </c>
      <c r="R366" t="str">
        <f>_xlfn.XLOOKUP([1]Transactions!C366,[1]Customers!$A$2:$A$201,[1]Customers!$C$2:$C$201)</f>
        <v>Female</v>
      </c>
      <c r="S366" t="str">
        <f>_xlfn.XLOOKUP(C366,[1]Customers!$A$2:$A$201,[1]Customers!$B$2:$B$201)</f>
        <v>Customer_168</v>
      </c>
      <c r="T366" t="str">
        <f>_xlfn.XLOOKUP(D366,[1]Products!$A$2:$A$101,[1]Products!$C$2:$C$101)</f>
        <v>Dairy</v>
      </c>
      <c r="U366">
        <f>_xlfn.XLOOKUP(D366,[1]Products!$A$2:$A$101,[1]Products!$E$2:$E$101)</f>
        <v>183</v>
      </c>
      <c r="V366">
        <f>[1]Transactions!F366*[1]Transactions!U366</f>
        <v>183</v>
      </c>
    </row>
    <row r="367" spans="1:22" x14ac:dyDescent="0.3">
      <c r="A367">
        <v>366</v>
      </c>
      <c r="B367">
        <v>3</v>
      </c>
      <c r="C367">
        <v>162</v>
      </c>
      <c r="D367">
        <v>42</v>
      </c>
      <c r="E367">
        <v>1</v>
      </c>
      <c r="F367">
        <v>4</v>
      </c>
      <c r="G367">
        <v>165</v>
      </c>
      <c r="H367">
        <v>660</v>
      </c>
      <c r="I367">
        <v>37</v>
      </c>
      <c r="J367">
        <f>[1]Transactions!F367*[1]Transactions!G367</f>
        <v>660</v>
      </c>
      <c r="K367">
        <f>_xlfn.XLOOKUP([1]Transactions!D367,[1]Inventory!$C$2:$C$501,[1]Inventory!$A$2:$A$501)</f>
        <v>108</v>
      </c>
      <c r="L367">
        <f>_xlfn.XLOOKUP(K367,[1]Inventory!$A$2:$A$501,[1]Inventory!$D$2:$D$501)</f>
        <v>212</v>
      </c>
      <c r="M367">
        <f>_xlfn.XLOOKUP(K367,[1]Inventory!$A$2:$A$501,[1]Inventory!$E$2:$E$501)</f>
        <v>113</v>
      </c>
      <c r="N367" t="str">
        <f>_xlfn.XLOOKUP([1]Transactions!C367,[1]Customers!$A$2:$A$201,[1]Customers!$G$2:$G$201)</f>
        <v>Telangana</v>
      </c>
      <c r="O367" t="str">
        <f>_xlfn.XLOOKUP(C367,[1]Customers!$A$2:$A$201,[1]Customers!$H$2:$H$201)</f>
        <v>South</v>
      </c>
      <c r="P367" t="str">
        <f>_xlfn.XLOOKUP(C367,[1]Customers!$A$2:$A$201,[1]Customers!$F$2:$F$201)</f>
        <v>Hyderabad</v>
      </c>
      <c r="Q367">
        <f>_xlfn.XLOOKUP(C367,[1]Customers!$A$2:$A$201,[1]Customers!$D$2:$D$201)</f>
        <v>54</v>
      </c>
      <c r="R367" t="str">
        <f>_xlfn.XLOOKUP([1]Transactions!C367,[1]Customers!$A$2:$A$201,[1]Customers!$C$2:$C$201)</f>
        <v>Male</v>
      </c>
      <c r="S367" t="str">
        <f>_xlfn.XLOOKUP(C367,[1]Customers!$A$2:$A$201,[1]Customers!$B$2:$B$201)</f>
        <v>Customer_162</v>
      </c>
      <c r="T367" t="str">
        <f>_xlfn.XLOOKUP(D367,[1]Products!$A$2:$A$101,[1]Products!$C$2:$C$101)</f>
        <v>Snacks</v>
      </c>
      <c r="U367">
        <f>_xlfn.XLOOKUP(D367,[1]Products!$A$2:$A$101,[1]Products!$E$2:$E$101)</f>
        <v>77</v>
      </c>
      <c r="V367">
        <f>[1]Transactions!F367*[1]Transactions!U367</f>
        <v>308</v>
      </c>
    </row>
    <row r="368" spans="1:22" x14ac:dyDescent="0.3">
      <c r="A368">
        <v>367</v>
      </c>
      <c r="B368">
        <v>81</v>
      </c>
      <c r="C368">
        <v>66</v>
      </c>
      <c r="D368">
        <v>88</v>
      </c>
      <c r="E368">
        <v>6</v>
      </c>
      <c r="F368">
        <v>4</v>
      </c>
      <c r="G368">
        <v>229</v>
      </c>
      <c r="H368">
        <v>916</v>
      </c>
      <c r="I368">
        <v>59</v>
      </c>
      <c r="J368">
        <f>[1]Transactions!F368*[1]Transactions!G368</f>
        <v>916</v>
      </c>
      <c r="K368">
        <f>_xlfn.XLOOKUP([1]Transactions!D368,[1]Inventory!$C$2:$C$501,[1]Inventory!$A$2:$A$501)</f>
        <v>490</v>
      </c>
      <c r="L368">
        <f>_xlfn.XLOOKUP(K368,[1]Inventory!$A$2:$A$501,[1]Inventory!$D$2:$D$501)</f>
        <v>384</v>
      </c>
      <c r="M368">
        <f>_xlfn.XLOOKUP(K368,[1]Inventory!$A$2:$A$501,[1]Inventory!$E$2:$E$501)</f>
        <v>104</v>
      </c>
      <c r="N368" t="str">
        <f>_xlfn.XLOOKUP([1]Transactions!C368,[1]Customers!$A$2:$A$201,[1]Customers!$G$2:$G$201)</f>
        <v>Delhi</v>
      </c>
      <c r="O368" t="str">
        <f>_xlfn.XLOOKUP(C368,[1]Customers!$A$2:$A$201,[1]Customers!$H$2:$H$201)</f>
        <v>North</v>
      </c>
      <c r="P368" t="str">
        <f>_xlfn.XLOOKUP(C368,[1]Customers!$A$2:$A$201,[1]Customers!$F$2:$F$201)</f>
        <v>Delhi</v>
      </c>
      <c r="Q368">
        <f>_xlfn.XLOOKUP(C368,[1]Customers!$A$2:$A$201,[1]Customers!$D$2:$D$201)</f>
        <v>38</v>
      </c>
      <c r="R368" t="str">
        <f>_xlfn.XLOOKUP([1]Transactions!C368,[1]Customers!$A$2:$A$201,[1]Customers!$C$2:$C$201)</f>
        <v>Female</v>
      </c>
      <c r="S368" t="str">
        <f>_xlfn.XLOOKUP(C368,[1]Customers!$A$2:$A$201,[1]Customers!$B$2:$B$201)</f>
        <v>Customer_66</v>
      </c>
      <c r="T368" t="str">
        <f>_xlfn.XLOOKUP(D368,[1]Products!$A$2:$A$101,[1]Products!$C$2:$C$101)</f>
        <v>Grocery</v>
      </c>
      <c r="U368">
        <f>_xlfn.XLOOKUP(D368,[1]Products!$A$2:$A$101,[1]Products!$E$2:$E$101)</f>
        <v>378</v>
      </c>
      <c r="V368">
        <f>[1]Transactions!F368*[1]Transactions!U368</f>
        <v>1512</v>
      </c>
    </row>
    <row r="369" spans="1:22" x14ac:dyDescent="0.3">
      <c r="A369">
        <v>368</v>
      </c>
      <c r="B369">
        <v>128</v>
      </c>
      <c r="C369">
        <v>60</v>
      </c>
      <c r="D369">
        <v>40</v>
      </c>
      <c r="E369">
        <v>50</v>
      </c>
      <c r="F369">
        <v>4</v>
      </c>
      <c r="G369">
        <v>494</v>
      </c>
      <c r="H369">
        <v>1976</v>
      </c>
      <c r="I369">
        <v>46</v>
      </c>
      <c r="J369">
        <f>[1]Transactions!F369*[1]Transactions!G369</f>
        <v>1976</v>
      </c>
      <c r="K369">
        <f>_xlfn.XLOOKUP([1]Transactions!D369,[1]Inventory!$C$2:$C$501,[1]Inventory!$A$2:$A$501)</f>
        <v>113</v>
      </c>
      <c r="L369">
        <f>_xlfn.XLOOKUP(K369,[1]Inventory!$A$2:$A$501,[1]Inventory!$D$2:$D$501)</f>
        <v>462</v>
      </c>
      <c r="M369">
        <f>_xlfn.XLOOKUP(K369,[1]Inventory!$A$2:$A$501,[1]Inventory!$E$2:$E$501)</f>
        <v>68</v>
      </c>
      <c r="N369" t="str">
        <f>_xlfn.XLOOKUP([1]Transactions!C369,[1]Customers!$A$2:$A$201,[1]Customers!$G$2:$G$201)</f>
        <v>Rajasthan</v>
      </c>
      <c r="O369" t="str">
        <f>_xlfn.XLOOKUP(C369,[1]Customers!$A$2:$A$201,[1]Customers!$H$2:$H$201)</f>
        <v>North</v>
      </c>
      <c r="P369" t="str">
        <f>_xlfn.XLOOKUP(C369,[1]Customers!$A$2:$A$201,[1]Customers!$F$2:$F$201)</f>
        <v>Jaipur</v>
      </c>
      <c r="Q369">
        <f>_xlfn.XLOOKUP(C369,[1]Customers!$A$2:$A$201,[1]Customers!$D$2:$D$201)</f>
        <v>54</v>
      </c>
      <c r="R369" t="str">
        <f>_xlfn.XLOOKUP([1]Transactions!C369,[1]Customers!$A$2:$A$201,[1]Customers!$C$2:$C$201)</f>
        <v>Male</v>
      </c>
      <c r="S369" t="str">
        <f>_xlfn.XLOOKUP(C369,[1]Customers!$A$2:$A$201,[1]Customers!$B$2:$B$201)</f>
        <v>Customer_60</v>
      </c>
      <c r="T369" t="str">
        <f>_xlfn.XLOOKUP(D369,[1]Products!$A$2:$A$101,[1]Products!$C$2:$C$101)</f>
        <v>Grocery</v>
      </c>
      <c r="U369">
        <f>_xlfn.XLOOKUP(D369,[1]Products!$A$2:$A$101,[1]Products!$E$2:$E$101)</f>
        <v>184</v>
      </c>
      <c r="V369">
        <f>[1]Transactions!F369*[1]Transactions!U369</f>
        <v>736</v>
      </c>
    </row>
    <row r="370" spans="1:22" x14ac:dyDescent="0.3">
      <c r="A370">
        <v>369</v>
      </c>
      <c r="B370">
        <v>54</v>
      </c>
      <c r="C370">
        <v>182</v>
      </c>
      <c r="D370">
        <v>28</v>
      </c>
      <c r="E370">
        <v>48</v>
      </c>
      <c r="F370">
        <v>1</v>
      </c>
      <c r="G370">
        <v>251</v>
      </c>
      <c r="H370">
        <v>251</v>
      </c>
      <c r="I370">
        <v>47</v>
      </c>
      <c r="J370">
        <f>[1]Transactions!F370*[1]Transactions!G370</f>
        <v>251</v>
      </c>
      <c r="K370">
        <f>_xlfn.XLOOKUP([1]Transactions!D370,[1]Inventory!$C$2:$C$501,[1]Inventory!$A$2:$A$501)</f>
        <v>16</v>
      </c>
      <c r="L370">
        <f>_xlfn.XLOOKUP(K370,[1]Inventory!$A$2:$A$501,[1]Inventory!$D$2:$D$501)</f>
        <v>284</v>
      </c>
      <c r="M370">
        <f>_xlfn.XLOOKUP(K370,[1]Inventory!$A$2:$A$501,[1]Inventory!$E$2:$E$501)</f>
        <v>80</v>
      </c>
      <c r="N370" t="str">
        <f>_xlfn.XLOOKUP([1]Transactions!C370,[1]Customers!$A$2:$A$201,[1]Customers!$G$2:$G$201)</f>
        <v>Tamil Nadu</v>
      </c>
      <c r="O370" t="str">
        <f>_xlfn.XLOOKUP(C370,[1]Customers!$A$2:$A$201,[1]Customers!$H$2:$H$201)</f>
        <v>South</v>
      </c>
      <c r="P370" t="str">
        <f>_xlfn.XLOOKUP(C370,[1]Customers!$A$2:$A$201,[1]Customers!$F$2:$F$201)</f>
        <v>Chennai</v>
      </c>
      <c r="Q370">
        <f>_xlfn.XLOOKUP(C370,[1]Customers!$A$2:$A$201,[1]Customers!$D$2:$D$201)</f>
        <v>28</v>
      </c>
      <c r="R370" t="str">
        <f>_xlfn.XLOOKUP([1]Transactions!C370,[1]Customers!$A$2:$A$201,[1]Customers!$C$2:$C$201)</f>
        <v>Female</v>
      </c>
      <c r="S370" t="str">
        <f>_xlfn.XLOOKUP(C370,[1]Customers!$A$2:$A$201,[1]Customers!$B$2:$B$201)</f>
        <v>Customer_182</v>
      </c>
      <c r="T370" t="str">
        <f>_xlfn.XLOOKUP(D370,[1]Products!$A$2:$A$101,[1]Products!$C$2:$C$101)</f>
        <v>Grocery</v>
      </c>
      <c r="U370">
        <f>_xlfn.XLOOKUP(D370,[1]Products!$A$2:$A$101,[1]Products!$E$2:$E$101)</f>
        <v>203</v>
      </c>
      <c r="V370">
        <f>[1]Transactions!F370*[1]Transactions!U370</f>
        <v>203</v>
      </c>
    </row>
    <row r="371" spans="1:22" x14ac:dyDescent="0.3">
      <c r="A371">
        <v>370</v>
      </c>
      <c r="B371">
        <v>125</v>
      </c>
      <c r="C371">
        <v>167</v>
      </c>
      <c r="D371">
        <v>81</v>
      </c>
      <c r="E371">
        <v>48</v>
      </c>
      <c r="F371">
        <v>1</v>
      </c>
      <c r="G371">
        <v>299</v>
      </c>
      <c r="H371">
        <v>299</v>
      </c>
      <c r="I371">
        <v>57</v>
      </c>
      <c r="J371">
        <f>[1]Transactions!F371*[1]Transactions!G371</f>
        <v>299</v>
      </c>
      <c r="K371">
        <f>_xlfn.XLOOKUP([1]Transactions!D371,[1]Inventory!$C$2:$C$501,[1]Inventory!$A$2:$A$501)</f>
        <v>80</v>
      </c>
      <c r="L371">
        <f>_xlfn.XLOOKUP(K371,[1]Inventory!$A$2:$A$501,[1]Inventory!$D$2:$D$501)</f>
        <v>9</v>
      </c>
      <c r="M371">
        <f>_xlfn.XLOOKUP(K371,[1]Inventory!$A$2:$A$501,[1]Inventory!$E$2:$E$501)</f>
        <v>4</v>
      </c>
      <c r="N371" t="str">
        <f>_xlfn.XLOOKUP([1]Transactions!C371,[1]Customers!$A$2:$A$201,[1]Customers!$G$2:$G$201)</f>
        <v>Telangana</v>
      </c>
      <c r="O371" t="str">
        <f>_xlfn.XLOOKUP(C371,[1]Customers!$A$2:$A$201,[1]Customers!$H$2:$H$201)</f>
        <v>South</v>
      </c>
      <c r="P371" t="str">
        <f>_xlfn.XLOOKUP(C371,[1]Customers!$A$2:$A$201,[1]Customers!$F$2:$F$201)</f>
        <v>Hyderabad</v>
      </c>
      <c r="Q371">
        <f>_xlfn.XLOOKUP(C371,[1]Customers!$A$2:$A$201,[1]Customers!$D$2:$D$201)</f>
        <v>51</v>
      </c>
      <c r="R371" t="str">
        <f>_xlfn.XLOOKUP([1]Transactions!C371,[1]Customers!$A$2:$A$201,[1]Customers!$C$2:$C$201)</f>
        <v>Male</v>
      </c>
      <c r="S371" t="str">
        <f>_xlfn.XLOOKUP(C371,[1]Customers!$A$2:$A$201,[1]Customers!$B$2:$B$201)</f>
        <v>Customer_167</v>
      </c>
      <c r="T371" t="str">
        <f>_xlfn.XLOOKUP(D371,[1]Products!$A$2:$A$101,[1]Products!$C$2:$C$101)</f>
        <v>Beverages</v>
      </c>
      <c r="U371">
        <f>_xlfn.XLOOKUP(D371,[1]Products!$A$2:$A$101,[1]Products!$E$2:$E$101)</f>
        <v>262</v>
      </c>
      <c r="V371">
        <f>[1]Transactions!F371*[1]Transactions!U371</f>
        <v>262</v>
      </c>
    </row>
    <row r="372" spans="1:22" x14ac:dyDescent="0.3">
      <c r="A372">
        <v>371</v>
      </c>
      <c r="B372">
        <v>39</v>
      </c>
      <c r="C372">
        <v>152</v>
      </c>
      <c r="D372">
        <v>36</v>
      </c>
      <c r="E372">
        <v>22</v>
      </c>
      <c r="F372">
        <v>1</v>
      </c>
      <c r="G372">
        <v>95</v>
      </c>
      <c r="H372">
        <v>95</v>
      </c>
      <c r="I372">
        <v>20</v>
      </c>
      <c r="J372">
        <f>[1]Transactions!F372*[1]Transactions!G372</f>
        <v>95</v>
      </c>
      <c r="K372">
        <f>_xlfn.XLOOKUP([1]Transactions!D372,[1]Inventory!$C$2:$C$501,[1]Inventory!$A$2:$A$501)</f>
        <v>52</v>
      </c>
      <c r="L372">
        <f>_xlfn.XLOOKUP(K372,[1]Inventory!$A$2:$A$501,[1]Inventory!$D$2:$D$501)</f>
        <v>56</v>
      </c>
      <c r="M372">
        <f>_xlfn.XLOOKUP(K372,[1]Inventory!$A$2:$A$501,[1]Inventory!$E$2:$E$501)</f>
        <v>148</v>
      </c>
      <c r="N372" t="str">
        <f>_xlfn.XLOOKUP([1]Transactions!C372,[1]Customers!$A$2:$A$201,[1]Customers!$G$2:$G$201)</f>
        <v>Delhi</v>
      </c>
      <c r="O372" t="str">
        <f>_xlfn.XLOOKUP(C372,[1]Customers!$A$2:$A$201,[1]Customers!$H$2:$H$201)</f>
        <v>North</v>
      </c>
      <c r="P372" t="str">
        <f>_xlfn.XLOOKUP(C372,[1]Customers!$A$2:$A$201,[1]Customers!$F$2:$F$201)</f>
        <v>Delhi</v>
      </c>
      <c r="Q372">
        <f>_xlfn.XLOOKUP(C372,[1]Customers!$A$2:$A$201,[1]Customers!$D$2:$D$201)</f>
        <v>28</v>
      </c>
      <c r="R372" t="str">
        <f>_xlfn.XLOOKUP([1]Transactions!C372,[1]Customers!$A$2:$A$201,[1]Customers!$C$2:$C$201)</f>
        <v>Male</v>
      </c>
      <c r="S372" t="str">
        <f>_xlfn.XLOOKUP(C372,[1]Customers!$A$2:$A$201,[1]Customers!$B$2:$B$201)</f>
        <v>Customer_152</v>
      </c>
      <c r="T372" t="str">
        <f>_xlfn.XLOOKUP(D372,[1]Products!$A$2:$A$101,[1]Products!$C$2:$C$101)</f>
        <v>Grocery</v>
      </c>
      <c r="U372">
        <f>_xlfn.XLOOKUP(D372,[1]Products!$A$2:$A$101,[1]Products!$E$2:$E$101)</f>
        <v>467</v>
      </c>
      <c r="V372">
        <f>[1]Transactions!F372*[1]Transactions!U372</f>
        <v>467</v>
      </c>
    </row>
    <row r="373" spans="1:22" x14ac:dyDescent="0.3">
      <c r="A373">
        <v>372</v>
      </c>
      <c r="B373">
        <v>41</v>
      </c>
      <c r="C373">
        <v>28</v>
      </c>
      <c r="D373">
        <v>48</v>
      </c>
      <c r="E373">
        <v>9</v>
      </c>
      <c r="F373">
        <v>2</v>
      </c>
      <c r="G373">
        <v>457</v>
      </c>
      <c r="H373">
        <v>914</v>
      </c>
      <c r="I373">
        <v>56</v>
      </c>
      <c r="J373">
        <f>[1]Transactions!F373*[1]Transactions!G373</f>
        <v>914</v>
      </c>
      <c r="K373">
        <f>_xlfn.XLOOKUP([1]Transactions!D373,[1]Inventory!$C$2:$C$501,[1]Inventory!$A$2:$A$501)</f>
        <v>86</v>
      </c>
      <c r="L373">
        <f>_xlfn.XLOOKUP(K373,[1]Inventory!$A$2:$A$501,[1]Inventory!$D$2:$D$501)</f>
        <v>310</v>
      </c>
      <c r="M373">
        <f>_xlfn.XLOOKUP(K373,[1]Inventory!$A$2:$A$501,[1]Inventory!$E$2:$E$501)</f>
        <v>76</v>
      </c>
      <c r="N373" t="str">
        <f>_xlfn.XLOOKUP([1]Transactions!C373,[1]Customers!$A$2:$A$201,[1]Customers!$G$2:$G$201)</f>
        <v>Delhi</v>
      </c>
      <c r="O373" t="str">
        <f>_xlfn.XLOOKUP(C373,[1]Customers!$A$2:$A$201,[1]Customers!$H$2:$H$201)</f>
        <v>North</v>
      </c>
      <c r="P373" t="str">
        <f>_xlfn.XLOOKUP(C373,[1]Customers!$A$2:$A$201,[1]Customers!$F$2:$F$201)</f>
        <v>Delhi</v>
      </c>
      <c r="Q373">
        <f>_xlfn.XLOOKUP(C373,[1]Customers!$A$2:$A$201,[1]Customers!$D$2:$D$201)</f>
        <v>31</v>
      </c>
      <c r="R373" t="str">
        <f>_xlfn.XLOOKUP([1]Transactions!C373,[1]Customers!$A$2:$A$201,[1]Customers!$C$2:$C$201)</f>
        <v>Female</v>
      </c>
      <c r="S373" t="str">
        <f>_xlfn.XLOOKUP(C373,[1]Customers!$A$2:$A$201,[1]Customers!$B$2:$B$201)</f>
        <v>Customer_28</v>
      </c>
      <c r="T373" t="str">
        <f>_xlfn.XLOOKUP(D373,[1]Products!$A$2:$A$101,[1]Products!$C$2:$C$101)</f>
        <v>Snacks</v>
      </c>
      <c r="U373">
        <f>_xlfn.XLOOKUP(D373,[1]Products!$A$2:$A$101,[1]Products!$E$2:$E$101)</f>
        <v>315</v>
      </c>
      <c r="V373">
        <f>[1]Transactions!F373*[1]Transactions!U373</f>
        <v>630</v>
      </c>
    </row>
    <row r="374" spans="1:22" x14ac:dyDescent="0.3">
      <c r="A374">
        <v>373</v>
      </c>
      <c r="B374">
        <v>21</v>
      </c>
      <c r="C374">
        <v>132</v>
      </c>
      <c r="D374">
        <v>13</v>
      </c>
      <c r="E374">
        <v>21</v>
      </c>
      <c r="F374">
        <v>3</v>
      </c>
      <c r="G374">
        <v>343</v>
      </c>
      <c r="H374">
        <v>1029</v>
      </c>
      <c r="I374">
        <v>18</v>
      </c>
      <c r="J374">
        <f>[1]Transactions!F374*[1]Transactions!G374</f>
        <v>1029</v>
      </c>
      <c r="K374">
        <f>_xlfn.XLOOKUP([1]Transactions!D374,[1]Inventory!$C$2:$C$501,[1]Inventory!$A$2:$A$501)</f>
        <v>37</v>
      </c>
      <c r="L374">
        <f>_xlfn.XLOOKUP(K374,[1]Inventory!$A$2:$A$501,[1]Inventory!$D$2:$D$501)</f>
        <v>372</v>
      </c>
      <c r="M374">
        <f>_xlfn.XLOOKUP(K374,[1]Inventory!$A$2:$A$501,[1]Inventory!$E$2:$E$501)</f>
        <v>135</v>
      </c>
      <c r="N374" t="str">
        <f>_xlfn.XLOOKUP([1]Transactions!C374,[1]Customers!$A$2:$A$201,[1]Customers!$G$2:$G$201)</f>
        <v>Tamil Nadu</v>
      </c>
      <c r="O374" t="str">
        <f>_xlfn.XLOOKUP(C374,[1]Customers!$A$2:$A$201,[1]Customers!$H$2:$H$201)</f>
        <v>South</v>
      </c>
      <c r="P374" t="str">
        <f>_xlfn.XLOOKUP(C374,[1]Customers!$A$2:$A$201,[1]Customers!$F$2:$F$201)</f>
        <v>Chennai</v>
      </c>
      <c r="Q374">
        <f>_xlfn.XLOOKUP(C374,[1]Customers!$A$2:$A$201,[1]Customers!$D$2:$D$201)</f>
        <v>28</v>
      </c>
      <c r="R374" t="str">
        <f>_xlfn.XLOOKUP([1]Transactions!C374,[1]Customers!$A$2:$A$201,[1]Customers!$C$2:$C$201)</f>
        <v>Male</v>
      </c>
      <c r="S374" t="str">
        <f>_xlfn.XLOOKUP(C374,[1]Customers!$A$2:$A$201,[1]Customers!$B$2:$B$201)</f>
        <v>Customer_132</v>
      </c>
      <c r="T374" t="str">
        <f>_xlfn.XLOOKUP(D374,[1]Products!$A$2:$A$101,[1]Products!$C$2:$C$101)</f>
        <v>Dairy</v>
      </c>
      <c r="U374">
        <f>_xlfn.XLOOKUP(D374,[1]Products!$A$2:$A$101,[1]Products!$E$2:$E$101)</f>
        <v>34</v>
      </c>
      <c r="V374">
        <f>[1]Transactions!F374*[1]Transactions!U374</f>
        <v>102</v>
      </c>
    </row>
    <row r="375" spans="1:22" x14ac:dyDescent="0.3">
      <c r="A375">
        <v>374</v>
      </c>
      <c r="B375">
        <v>151</v>
      </c>
      <c r="C375">
        <v>134</v>
      </c>
      <c r="D375">
        <v>96</v>
      </c>
      <c r="E375">
        <v>31</v>
      </c>
      <c r="F375">
        <v>4</v>
      </c>
      <c r="G375">
        <v>366</v>
      </c>
      <c r="H375">
        <v>1464</v>
      </c>
      <c r="I375">
        <v>54</v>
      </c>
      <c r="J375">
        <f>[1]Transactions!F375*[1]Transactions!G375</f>
        <v>1464</v>
      </c>
      <c r="K375">
        <f>_xlfn.XLOOKUP([1]Transactions!D375,[1]Inventory!$C$2:$C$501,[1]Inventory!$A$2:$A$501)</f>
        <v>25</v>
      </c>
      <c r="L375">
        <f>_xlfn.XLOOKUP(K375,[1]Inventory!$A$2:$A$501,[1]Inventory!$D$2:$D$501)</f>
        <v>17</v>
      </c>
      <c r="M375">
        <f>_xlfn.XLOOKUP(K375,[1]Inventory!$A$2:$A$501,[1]Inventory!$E$2:$E$501)</f>
        <v>75</v>
      </c>
      <c r="N375" t="str">
        <f>_xlfn.XLOOKUP([1]Transactions!C375,[1]Customers!$A$2:$A$201,[1]Customers!$G$2:$G$201)</f>
        <v>Maharashtra</v>
      </c>
      <c r="O375" t="str">
        <f>_xlfn.XLOOKUP(C375,[1]Customers!$A$2:$A$201,[1]Customers!$H$2:$H$201)</f>
        <v>West</v>
      </c>
      <c r="P375" t="str">
        <f>_xlfn.XLOOKUP(C375,[1]Customers!$A$2:$A$201,[1]Customers!$F$2:$F$201)</f>
        <v>Mumbai</v>
      </c>
      <c r="Q375">
        <f>_xlfn.XLOOKUP(C375,[1]Customers!$A$2:$A$201,[1]Customers!$D$2:$D$201)</f>
        <v>36</v>
      </c>
      <c r="R375" t="str">
        <f>_xlfn.XLOOKUP([1]Transactions!C375,[1]Customers!$A$2:$A$201,[1]Customers!$C$2:$C$201)</f>
        <v>Female</v>
      </c>
      <c r="S375" t="str">
        <f>_xlfn.XLOOKUP(C375,[1]Customers!$A$2:$A$201,[1]Customers!$B$2:$B$201)</f>
        <v>Customer_134</v>
      </c>
      <c r="T375" t="str">
        <f>_xlfn.XLOOKUP(D375,[1]Products!$A$2:$A$101,[1]Products!$C$2:$C$101)</f>
        <v>Dairy</v>
      </c>
      <c r="U375">
        <f>_xlfn.XLOOKUP(D375,[1]Products!$A$2:$A$101,[1]Products!$E$2:$E$101)</f>
        <v>150</v>
      </c>
      <c r="V375">
        <f>[1]Transactions!F375*[1]Transactions!U375</f>
        <v>600</v>
      </c>
    </row>
    <row r="376" spans="1:22" x14ac:dyDescent="0.3">
      <c r="A376">
        <v>375</v>
      </c>
      <c r="B376">
        <v>140</v>
      </c>
      <c r="C376">
        <v>34</v>
      </c>
      <c r="D376">
        <v>98</v>
      </c>
      <c r="E376">
        <v>32</v>
      </c>
      <c r="F376">
        <v>2</v>
      </c>
      <c r="G376">
        <v>432</v>
      </c>
      <c r="H376">
        <v>864</v>
      </c>
      <c r="I376">
        <v>23</v>
      </c>
      <c r="J376">
        <f>[1]Transactions!F376*[1]Transactions!G376</f>
        <v>864</v>
      </c>
      <c r="K376">
        <f>_xlfn.XLOOKUP([1]Transactions!D376,[1]Inventory!$C$2:$C$501,[1]Inventory!$A$2:$A$501)</f>
        <v>139</v>
      </c>
      <c r="L376">
        <f>_xlfn.XLOOKUP(K376,[1]Inventory!$A$2:$A$501,[1]Inventory!$D$2:$D$501)</f>
        <v>374</v>
      </c>
      <c r="M376">
        <f>_xlfn.XLOOKUP(K376,[1]Inventory!$A$2:$A$501,[1]Inventory!$E$2:$E$501)</f>
        <v>174</v>
      </c>
      <c r="N376" t="str">
        <f>_xlfn.XLOOKUP([1]Transactions!C376,[1]Customers!$A$2:$A$201,[1]Customers!$G$2:$G$201)</f>
        <v>Delhi</v>
      </c>
      <c r="O376" t="str">
        <f>_xlfn.XLOOKUP(C376,[1]Customers!$A$2:$A$201,[1]Customers!$H$2:$H$201)</f>
        <v>North</v>
      </c>
      <c r="P376" t="str">
        <f>_xlfn.XLOOKUP(C376,[1]Customers!$A$2:$A$201,[1]Customers!$F$2:$F$201)</f>
        <v>Delhi</v>
      </c>
      <c r="Q376">
        <f>_xlfn.XLOOKUP(C376,[1]Customers!$A$2:$A$201,[1]Customers!$D$2:$D$201)</f>
        <v>43</v>
      </c>
      <c r="R376" t="str">
        <f>_xlfn.XLOOKUP([1]Transactions!C376,[1]Customers!$A$2:$A$201,[1]Customers!$C$2:$C$201)</f>
        <v>Female</v>
      </c>
      <c r="S376" t="str">
        <f>_xlfn.XLOOKUP(C376,[1]Customers!$A$2:$A$201,[1]Customers!$B$2:$B$201)</f>
        <v>Customer_34</v>
      </c>
      <c r="T376" t="str">
        <f>_xlfn.XLOOKUP(D376,[1]Products!$A$2:$A$101,[1]Products!$C$2:$C$101)</f>
        <v>Snacks</v>
      </c>
      <c r="U376">
        <f>_xlfn.XLOOKUP(D376,[1]Products!$A$2:$A$101,[1]Products!$E$2:$E$101)</f>
        <v>460</v>
      </c>
      <c r="V376">
        <f>[1]Transactions!F376*[1]Transactions!U376</f>
        <v>920</v>
      </c>
    </row>
    <row r="377" spans="1:22" x14ac:dyDescent="0.3">
      <c r="A377">
        <v>376</v>
      </c>
      <c r="B377">
        <v>107</v>
      </c>
      <c r="C377">
        <v>122</v>
      </c>
      <c r="D377">
        <v>88</v>
      </c>
      <c r="E377">
        <v>12</v>
      </c>
      <c r="F377">
        <v>3</v>
      </c>
      <c r="G377">
        <v>83</v>
      </c>
      <c r="H377">
        <v>249</v>
      </c>
      <c r="I377">
        <v>24</v>
      </c>
      <c r="J377">
        <f>[1]Transactions!F377*[1]Transactions!G377</f>
        <v>249</v>
      </c>
      <c r="K377">
        <f>_xlfn.XLOOKUP([1]Transactions!D377,[1]Inventory!$C$2:$C$501,[1]Inventory!$A$2:$A$501)</f>
        <v>490</v>
      </c>
      <c r="L377">
        <f>_xlfn.XLOOKUP(K377,[1]Inventory!$A$2:$A$501,[1]Inventory!$D$2:$D$501)</f>
        <v>384</v>
      </c>
      <c r="M377">
        <f>_xlfn.XLOOKUP(K377,[1]Inventory!$A$2:$A$501,[1]Inventory!$E$2:$E$501)</f>
        <v>104</v>
      </c>
      <c r="N377" t="str">
        <f>_xlfn.XLOOKUP([1]Transactions!C377,[1]Customers!$A$2:$A$201,[1]Customers!$G$2:$G$201)</f>
        <v>West Bengal</v>
      </c>
      <c r="O377" t="str">
        <f>_xlfn.XLOOKUP(C377,[1]Customers!$A$2:$A$201,[1]Customers!$H$2:$H$201)</f>
        <v>East</v>
      </c>
      <c r="P377" t="str">
        <f>_xlfn.XLOOKUP(C377,[1]Customers!$A$2:$A$201,[1]Customers!$F$2:$F$201)</f>
        <v>Kolkata</v>
      </c>
      <c r="Q377">
        <f>_xlfn.XLOOKUP(C377,[1]Customers!$A$2:$A$201,[1]Customers!$D$2:$D$201)</f>
        <v>39</v>
      </c>
      <c r="R377" t="str">
        <f>_xlfn.XLOOKUP([1]Transactions!C377,[1]Customers!$A$2:$A$201,[1]Customers!$C$2:$C$201)</f>
        <v>Female</v>
      </c>
      <c r="S377" t="str">
        <f>_xlfn.XLOOKUP(C377,[1]Customers!$A$2:$A$201,[1]Customers!$B$2:$B$201)</f>
        <v>Customer_122</v>
      </c>
      <c r="T377" t="str">
        <f>_xlfn.XLOOKUP(D377,[1]Products!$A$2:$A$101,[1]Products!$C$2:$C$101)</f>
        <v>Grocery</v>
      </c>
      <c r="U377">
        <f>_xlfn.XLOOKUP(D377,[1]Products!$A$2:$A$101,[1]Products!$E$2:$E$101)</f>
        <v>378</v>
      </c>
      <c r="V377">
        <f>[1]Transactions!F377*[1]Transactions!U377</f>
        <v>1134</v>
      </c>
    </row>
    <row r="378" spans="1:22" x14ac:dyDescent="0.3">
      <c r="A378">
        <v>377</v>
      </c>
      <c r="B378">
        <v>154</v>
      </c>
      <c r="C378">
        <v>51</v>
      </c>
      <c r="D378">
        <v>69</v>
      </c>
      <c r="E378">
        <v>7</v>
      </c>
      <c r="F378">
        <v>2</v>
      </c>
      <c r="G378">
        <v>56</v>
      </c>
      <c r="H378">
        <v>112</v>
      </c>
      <c r="I378">
        <v>47</v>
      </c>
      <c r="J378">
        <f>[1]Transactions!F378*[1]Transactions!G378</f>
        <v>112</v>
      </c>
      <c r="K378">
        <f>_xlfn.XLOOKUP([1]Transactions!D378,[1]Inventory!$C$2:$C$501,[1]Inventory!$A$2:$A$501)</f>
        <v>15</v>
      </c>
      <c r="L378">
        <f>_xlfn.XLOOKUP(K378,[1]Inventory!$A$2:$A$501,[1]Inventory!$D$2:$D$501)</f>
        <v>190</v>
      </c>
      <c r="M378">
        <f>_xlfn.XLOOKUP(K378,[1]Inventory!$A$2:$A$501,[1]Inventory!$E$2:$E$501)</f>
        <v>91</v>
      </c>
      <c r="N378" t="str">
        <f>_xlfn.XLOOKUP([1]Transactions!C378,[1]Customers!$A$2:$A$201,[1]Customers!$G$2:$G$201)</f>
        <v>UP</v>
      </c>
      <c r="O378" t="str">
        <f>_xlfn.XLOOKUP(C378,[1]Customers!$A$2:$A$201,[1]Customers!$H$2:$H$201)</f>
        <v>North</v>
      </c>
      <c r="P378" t="str">
        <f>_xlfn.XLOOKUP(C378,[1]Customers!$A$2:$A$201,[1]Customers!$F$2:$F$201)</f>
        <v>Lucknow</v>
      </c>
      <c r="Q378">
        <f>_xlfn.XLOOKUP(C378,[1]Customers!$A$2:$A$201,[1]Customers!$D$2:$D$201)</f>
        <v>20</v>
      </c>
      <c r="R378" t="str">
        <f>_xlfn.XLOOKUP([1]Transactions!C378,[1]Customers!$A$2:$A$201,[1]Customers!$C$2:$C$201)</f>
        <v>Female</v>
      </c>
      <c r="S378" t="str">
        <f>_xlfn.XLOOKUP(C378,[1]Customers!$A$2:$A$201,[1]Customers!$B$2:$B$201)</f>
        <v>Customer_51</v>
      </c>
      <c r="T378" t="str">
        <f>_xlfn.XLOOKUP(D378,[1]Products!$A$2:$A$101,[1]Products!$C$2:$C$101)</f>
        <v>Grocery</v>
      </c>
      <c r="U378">
        <f>_xlfn.XLOOKUP(D378,[1]Products!$A$2:$A$101,[1]Products!$E$2:$E$101)</f>
        <v>460</v>
      </c>
      <c r="V378">
        <f>[1]Transactions!F378*[1]Transactions!U378</f>
        <v>920</v>
      </c>
    </row>
    <row r="379" spans="1:22" x14ac:dyDescent="0.3">
      <c r="A379">
        <v>378</v>
      </c>
      <c r="B379">
        <v>163</v>
      </c>
      <c r="C379">
        <v>69</v>
      </c>
      <c r="D379">
        <v>67</v>
      </c>
      <c r="E379">
        <v>7</v>
      </c>
      <c r="F379">
        <v>4</v>
      </c>
      <c r="G379">
        <v>486</v>
      </c>
      <c r="H379">
        <v>1944</v>
      </c>
      <c r="I379">
        <v>10</v>
      </c>
      <c r="J379">
        <f>[1]Transactions!F379*[1]Transactions!G379</f>
        <v>1944</v>
      </c>
      <c r="K379">
        <f>_xlfn.XLOOKUP([1]Transactions!D379,[1]Inventory!$C$2:$C$501,[1]Inventory!$A$2:$A$501)</f>
        <v>295</v>
      </c>
      <c r="L379">
        <f>_xlfn.XLOOKUP(K379,[1]Inventory!$A$2:$A$501,[1]Inventory!$D$2:$D$501)</f>
        <v>148</v>
      </c>
      <c r="M379">
        <f>_xlfn.XLOOKUP(K379,[1]Inventory!$A$2:$A$501,[1]Inventory!$E$2:$E$501)</f>
        <v>129</v>
      </c>
      <c r="N379" t="str">
        <f>_xlfn.XLOOKUP([1]Transactions!C379,[1]Customers!$A$2:$A$201,[1]Customers!$G$2:$G$201)</f>
        <v>Rajasthan</v>
      </c>
      <c r="O379" t="str">
        <f>_xlfn.XLOOKUP(C379,[1]Customers!$A$2:$A$201,[1]Customers!$H$2:$H$201)</f>
        <v>North</v>
      </c>
      <c r="P379" t="str">
        <f>_xlfn.XLOOKUP(C379,[1]Customers!$A$2:$A$201,[1]Customers!$F$2:$F$201)</f>
        <v>Jaipur</v>
      </c>
      <c r="Q379">
        <f>_xlfn.XLOOKUP(C379,[1]Customers!$A$2:$A$201,[1]Customers!$D$2:$D$201)</f>
        <v>27</v>
      </c>
      <c r="R379" t="str">
        <f>_xlfn.XLOOKUP([1]Transactions!C379,[1]Customers!$A$2:$A$201,[1]Customers!$C$2:$C$201)</f>
        <v>Female</v>
      </c>
      <c r="S379" t="str">
        <f>_xlfn.XLOOKUP(C379,[1]Customers!$A$2:$A$201,[1]Customers!$B$2:$B$201)</f>
        <v>Customer_69</v>
      </c>
      <c r="T379" t="str">
        <f>_xlfn.XLOOKUP(D379,[1]Products!$A$2:$A$101,[1]Products!$C$2:$C$101)</f>
        <v>Snacks</v>
      </c>
      <c r="U379">
        <f>_xlfn.XLOOKUP(D379,[1]Products!$A$2:$A$101,[1]Products!$E$2:$E$101)</f>
        <v>291</v>
      </c>
      <c r="V379">
        <f>[1]Transactions!F379*[1]Transactions!U379</f>
        <v>1164</v>
      </c>
    </row>
    <row r="380" spans="1:22" x14ac:dyDescent="0.3">
      <c r="A380">
        <v>379</v>
      </c>
      <c r="B380">
        <v>18</v>
      </c>
      <c r="C380">
        <v>163</v>
      </c>
      <c r="D380">
        <v>76</v>
      </c>
      <c r="E380">
        <v>7</v>
      </c>
      <c r="F380">
        <v>1</v>
      </c>
      <c r="G380">
        <v>397</v>
      </c>
      <c r="H380">
        <v>397</v>
      </c>
      <c r="I380">
        <v>25</v>
      </c>
      <c r="J380">
        <f>[1]Transactions!F380*[1]Transactions!G380</f>
        <v>397</v>
      </c>
      <c r="K380">
        <f>_xlfn.XLOOKUP([1]Transactions!D380,[1]Inventory!$C$2:$C$501,[1]Inventory!$A$2:$A$501)</f>
        <v>29</v>
      </c>
      <c r="L380">
        <f>_xlfn.XLOOKUP(K380,[1]Inventory!$A$2:$A$501,[1]Inventory!$D$2:$D$501)</f>
        <v>328</v>
      </c>
      <c r="M380">
        <f>_xlfn.XLOOKUP(K380,[1]Inventory!$A$2:$A$501,[1]Inventory!$E$2:$E$501)</f>
        <v>97</v>
      </c>
      <c r="N380" t="str">
        <f>_xlfn.XLOOKUP([1]Transactions!C380,[1]Customers!$A$2:$A$201,[1]Customers!$G$2:$G$201)</f>
        <v>Karnataka</v>
      </c>
      <c r="O380" t="str">
        <f>_xlfn.XLOOKUP(C380,[1]Customers!$A$2:$A$201,[1]Customers!$H$2:$H$201)</f>
        <v>South</v>
      </c>
      <c r="P380" t="str">
        <f>_xlfn.XLOOKUP(C380,[1]Customers!$A$2:$A$201,[1]Customers!$F$2:$F$201)</f>
        <v>Bangalore</v>
      </c>
      <c r="Q380">
        <f>_xlfn.XLOOKUP(C380,[1]Customers!$A$2:$A$201,[1]Customers!$D$2:$D$201)</f>
        <v>47</v>
      </c>
      <c r="R380" t="str">
        <f>_xlfn.XLOOKUP([1]Transactions!C380,[1]Customers!$A$2:$A$201,[1]Customers!$C$2:$C$201)</f>
        <v>Male</v>
      </c>
      <c r="S380" t="str">
        <f>_xlfn.XLOOKUP(C380,[1]Customers!$A$2:$A$201,[1]Customers!$B$2:$B$201)</f>
        <v>Customer_163</v>
      </c>
      <c r="T380" t="str">
        <f>_xlfn.XLOOKUP(D380,[1]Products!$A$2:$A$101,[1]Products!$C$2:$C$101)</f>
        <v>Dairy</v>
      </c>
      <c r="U380">
        <f>_xlfn.XLOOKUP(D380,[1]Products!$A$2:$A$101,[1]Products!$E$2:$E$101)</f>
        <v>164</v>
      </c>
      <c r="V380">
        <f>[1]Transactions!F380*[1]Transactions!U380</f>
        <v>164</v>
      </c>
    </row>
    <row r="381" spans="1:22" x14ac:dyDescent="0.3">
      <c r="A381">
        <v>380</v>
      </c>
      <c r="B381">
        <v>160</v>
      </c>
      <c r="C381">
        <v>91</v>
      </c>
      <c r="D381">
        <v>53</v>
      </c>
      <c r="E381">
        <v>16</v>
      </c>
      <c r="F381">
        <v>4</v>
      </c>
      <c r="G381">
        <v>355</v>
      </c>
      <c r="H381">
        <v>1420</v>
      </c>
      <c r="I381">
        <v>25</v>
      </c>
      <c r="J381">
        <f>[1]Transactions!F381*[1]Transactions!G381</f>
        <v>1420</v>
      </c>
      <c r="K381">
        <f>_xlfn.XLOOKUP([1]Transactions!D381,[1]Inventory!$C$2:$C$501,[1]Inventory!$A$2:$A$501)</f>
        <v>166</v>
      </c>
      <c r="L381">
        <f>_xlfn.XLOOKUP(K381,[1]Inventory!$A$2:$A$501,[1]Inventory!$D$2:$D$501)</f>
        <v>187</v>
      </c>
      <c r="M381">
        <f>_xlfn.XLOOKUP(K381,[1]Inventory!$A$2:$A$501,[1]Inventory!$E$2:$E$501)</f>
        <v>68</v>
      </c>
      <c r="N381" t="str">
        <f>_xlfn.XLOOKUP([1]Transactions!C381,[1]Customers!$A$2:$A$201,[1]Customers!$G$2:$G$201)</f>
        <v>Maharashtra</v>
      </c>
      <c r="O381" t="str">
        <f>_xlfn.XLOOKUP(C381,[1]Customers!$A$2:$A$201,[1]Customers!$H$2:$H$201)</f>
        <v>West</v>
      </c>
      <c r="P381" t="str">
        <f>_xlfn.XLOOKUP(C381,[1]Customers!$A$2:$A$201,[1]Customers!$F$2:$F$201)</f>
        <v>Mumbai</v>
      </c>
      <c r="Q381">
        <f>_xlfn.XLOOKUP(C381,[1]Customers!$A$2:$A$201,[1]Customers!$D$2:$D$201)</f>
        <v>60</v>
      </c>
      <c r="R381" t="str">
        <f>_xlfn.XLOOKUP([1]Transactions!C381,[1]Customers!$A$2:$A$201,[1]Customers!$C$2:$C$201)</f>
        <v>Male</v>
      </c>
      <c r="S381" t="str">
        <f>_xlfn.XLOOKUP(C381,[1]Customers!$A$2:$A$201,[1]Customers!$B$2:$B$201)</f>
        <v>Customer_91</v>
      </c>
      <c r="T381" t="str">
        <f>_xlfn.XLOOKUP(D381,[1]Products!$A$2:$A$101,[1]Products!$C$2:$C$101)</f>
        <v>Beverages</v>
      </c>
      <c r="U381">
        <f>_xlfn.XLOOKUP(D381,[1]Products!$A$2:$A$101,[1]Products!$E$2:$E$101)</f>
        <v>59</v>
      </c>
      <c r="V381">
        <f>[1]Transactions!F381*[1]Transactions!U381</f>
        <v>236</v>
      </c>
    </row>
    <row r="382" spans="1:22" x14ac:dyDescent="0.3">
      <c r="A382">
        <v>381</v>
      </c>
      <c r="B382">
        <v>41</v>
      </c>
      <c r="C382">
        <v>12</v>
      </c>
      <c r="D382">
        <v>55</v>
      </c>
      <c r="E382">
        <v>47</v>
      </c>
      <c r="F382">
        <v>4</v>
      </c>
      <c r="G382">
        <v>52</v>
      </c>
      <c r="H382">
        <v>208</v>
      </c>
      <c r="I382">
        <v>23</v>
      </c>
      <c r="J382">
        <f>[1]Transactions!F382*[1]Transactions!G382</f>
        <v>208</v>
      </c>
      <c r="K382">
        <f>_xlfn.XLOOKUP([1]Transactions!D382,[1]Inventory!$C$2:$C$501,[1]Inventory!$A$2:$A$501)</f>
        <v>167</v>
      </c>
      <c r="L382">
        <f>_xlfn.XLOOKUP(K382,[1]Inventory!$A$2:$A$501,[1]Inventory!$D$2:$D$501)</f>
        <v>200</v>
      </c>
      <c r="M382">
        <f>_xlfn.XLOOKUP(K382,[1]Inventory!$A$2:$A$501,[1]Inventory!$E$2:$E$501)</f>
        <v>125</v>
      </c>
      <c r="N382" t="str">
        <f>_xlfn.XLOOKUP([1]Transactions!C382,[1]Customers!$A$2:$A$201,[1]Customers!$G$2:$G$201)</f>
        <v>Karnataka</v>
      </c>
      <c r="O382" t="str">
        <f>_xlfn.XLOOKUP(C382,[1]Customers!$A$2:$A$201,[1]Customers!$H$2:$H$201)</f>
        <v>South</v>
      </c>
      <c r="P382" t="str">
        <f>_xlfn.XLOOKUP(C382,[1]Customers!$A$2:$A$201,[1]Customers!$F$2:$F$201)</f>
        <v>Bangalore</v>
      </c>
      <c r="Q382">
        <f>_xlfn.XLOOKUP(C382,[1]Customers!$A$2:$A$201,[1]Customers!$D$2:$D$201)</f>
        <v>47</v>
      </c>
      <c r="R382" t="str">
        <f>_xlfn.XLOOKUP([1]Transactions!C382,[1]Customers!$A$2:$A$201,[1]Customers!$C$2:$C$201)</f>
        <v>Female</v>
      </c>
      <c r="S382" t="str">
        <f>_xlfn.XLOOKUP(C382,[1]Customers!$A$2:$A$201,[1]Customers!$B$2:$B$201)</f>
        <v>Customer_12</v>
      </c>
      <c r="T382" t="str">
        <f>_xlfn.XLOOKUP(D382,[1]Products!$A$2:$A$101,[1]Products!$C$2:$C$101)</f>
        <v>Dairy</v>
      </c>
      <c r="U382">
        <f>_xlfn.XLOOKUP(D382,[1]Products!$A$2:$A$101,[1]Products!$E$2:$E$101)</f>
        <v>454</v>
      </c>
      <c r="V382">
        <f>[1]Transactions!F382*[1]Transactions!U382</f>
        <v>1816</v>
      </c>
    </row>
    <row r="383" spans="1:22" x14ac:dyDescent="0.3">
      <c r="A383">
        <v>382</v>
      </c>
      <c r="B383">
        <v>52</v>
      </c>
      <c r="C383">
        <v>35</v>
      </c>
      <c r="D383">
        <v>55</v>
      </c>
      <c r="E383">
        <v>10</v>
      </c>
      <c r="F383">
        <v>4</v>
      </c>
      <c r="G383">
        <v>77</v>
      </c>
      <c r="H383">
        <v>308</v>
      </c>
      <c r="I383">
        <v>57</v>
      </c>
      <c r="J383">
        <f>[1]Transactions!F383*[1]Transactions!G383</f>
        <v>308</v>
      </c>
      <c r="K383">
        <f>_xlfn.XLOOKUP([1]Transactions!D383,[1]Inventory!$C$2:$C$501,[1]Inventory!$A$2:$A$501)</f>
        <v>167</v>
      </c>
      <c r="L383">
        <f>_xlfn.XLOOKUP(K383,[1]Inventory!$A$2:$A$501,[1]Inventory!$D$2:$D$501)</f>
        <v>200</v>
      </c>
      <c r="M383">
        <f>_xlfn.XLOOKUP(K383,[1]Inventory!$A$2:$A$501,[1]Inventory!$E$2:$E$501)</f>
        <v>125</v>
      </c>
      <c r="N383" t="str">
        <f>_xlfn.XLOOKUP([1]Transactions!C383,[1]Customers!$A$2:$A$201,[1]Customers!$G$2:$G$201)</f>
        <v>Maharashtra</v>
      </c>
      <c r="O383" t="str">
        <f>_xlfn.XLOOKUP(C383,[1]Customers!$A$2:$A$201,[1]Customers!$H$2:$H$201)</f>
        <v>West</v>
      </c>
      <c r="P383" t="str">
        <f>_xlfn.XLOOKUP(C383,[1]Customers!$A$2:$A$201,[1]Customers!$F$2:$F$201)</f>
        <v>Pune</v>
      </c>
      <c r="Q383">
        <f>_xlfn.XLOOKUP(C383,[1]Customers!$A$2:$A$201,[1]Customers!$D$2:$D$201)</f>
        <v>35</v>
      </c>
      <c r="R383" t="str">
        <f>_xlfn.XLOOKUP([1]Transactions!C383,[1]Customers!$A$2:$A$201,[1]Customers!$C$2:$C$201)</f>
        <v>Male</v>
      </c>
      <c r="S383" t="str">
        <f>_xlfn.XLOOKUP(C383,[1]Customers!$A$2:$A$201,[1]Customers!$B$2:$B$201)</f>
        <v>Customer_35</v>
      </c>
      <c r="T383" t="str">
        <f>_xlfn.XLOOKUP(D383,[1]Products!$A$2:$A$101,[1]Products!$C$2:$C$101)</f>
        <v>Dairy</v>
      </c>
      <c r="U383">
        <f>_xlfn.XLOOKUP(D383,[1]Products!$A$2:$A$101,[1]Products!$E$2:$E$101)</f>
        <v>454</v>
      </c>
      <c r="V383">
        <f>[1]Transactions!F383*[1]Transactions!U383</f>
        <v>1816</v>
      </c>
    </row>
    <row r="384" spans="1:22" x14ac:dyDescent="0.3">
      <c r="A384">
        <v>383</v>
      </c>
      <c r="B384">
        <v>119</v>
      </c>
      <c r="C384">
        <v>162</v>
      </c>
      <c r="D384">
        <v>45</v>
      </c>
      <c r="E384">
        <v>26</v>
      </c>
      <c r="F384">
        <v>3</v>
      </c>
      <c r="G384">
        <v>453</v>
      </c>
      <c r="H384">
        <v>1359</v>
      </c>
      <c r="I384">
        <v>43</v>
      </c>
      <c r="J384">
        <f>[1]Transactions!F384*[1]Transactions!G384</f>
        <v>1359</v>
      </c>
      <c r="K384">
        <f>_xlfn.XLOOKUP([1]Transactions!D384,[1]Inventory!$C$2:$C$501,[1]Inventory!$A$2:$A$501)</f>
        <v>472</v>
      </c>
      <c r="L384">
        <f>_xlfn.XLOOKUP(K384,[1]Inventory!$A$2:$A$501,[1]Inventory!$D$2:$D$501)</f>
        <v>273</v>
      </c>
      <c r="M384">
        <f>_xlfn.XLOOKUP(K384,[1]Inventory!$A$2:$A$501,[1]Inventory!$E$2:$E$501)</f>
        <v>56</v>
      </c>
      <c r="N384" t="str">
        <f>_xlfn.XLOOKUP([1]Transactions!C384,[1]Customers!$A$2:$A$201,[1]Customers!$G$2:$G$201)</f>
        <v>Telangana</v>
      </c>
      <c r="O384" t="str">
        <f>_xlfn.XLOOKUP(C384,[1]Customers!$A$2:$A$201,[1]Customers!$H$2:$H$201)</f>
        <v>South</v>
      </c>
      <c r="P384" t="str">
        <f>_xlfn.XLOOKUP(C384,[1]Customers!$A$2:$A$201,[1]Customers!$F$2:$F$201)</f>
        <v>Hyderabad</v>
      </c>
      <c r="Q384">
        <f>_xlfn.XLOOKUP(C384,[1]Customers!$A$2:$A$201,[1]Customers!$D$2:$D$201)</f>
        <v>54</v>
      </c>
      <c r="R384" t="str">
        <f>_xlfn.XLOOKUP([1]Transactions!C384,[1]Customers!$A$2:$A$201,[1]Customers!$C$2:$C$201)</f>
        <v>Male</v>
      </c>
      <c r="S384" t="str">
        <f>_xlfn.XLOOKUP(C384,[1]Customers!$A$2:$A$201,[1]Customers!$B$2:$B$201)</f>
        <v>Customer_162</v>
      </c>
      <c r="T384" t="str">
        <f>_xlfn.XLOOKUP(D384,[1]Products!$A$2:$A$101,[1]Products!$C$2:$C$101)</f>
        <v>Dairy</v>
      </c>
      <c r="U384">
        <f>_xlfn.XLOOKUP(D384,[1]Products!$A$2:$A$101,[1]Products!$E$2:$E$101)</f>
        <v>425</v>
      </c>
      <c r="V384">
        <f>[1]Transactions!F384*[1]Transactions!U384</f>
        <v>1275</v>
      </c>
    </row>
    <row r="385" spans="1:22" x14ac:dyDescent="0.3">
      <c r="A385">
        <v>384</v>
      </c>
      <c r="B385">
        <v>77</v>
      </c>
      <c r="C385">
        <v>57</v>
      </c>
      <c r="D385">
        <v>32</v>
      </c>
      <c r="E385">
        <v>31</v>
      </c>
      <c r="F385">
        <v>2</v>
      </c>
      <c r="G385">
        <v>261</v>
      </c>
      <c r="H385">
        <v>522</v>
      </c>
      <c r="I385">
        <v>39</v>
      </c>
      <c r="J385">
        <f>[1]Transactions!F385*[1]Transactions!G385</f>
        <v>522</v>
      </c>
      <c r="K385">
        <f>_xlfn.XLOOKUP([1]Transactions!D385,[1]Inventory!$C$2:$C$501,[1]Inventory!$A$2:$A$501)</f>
        <v>27</v>
      </c>
      <c r="L385">
        <f>_xlfn.XLOOKUP(K385,[1]Inventory!$A$2:$A$501,[1]Inventory!$D$2:$D$501)</f>
        <v>76</v>
      </c>
      <c r="M385">
        <f>_xlfn.XLOOKUP(K385,[1]Inventory!$A$2:$A$501,[1]Inventory!$E$2:$E$501)</f>
        <v>128</v>
      </c>
      <c r="N385" t="str">
        <f>_xlfn.XLOOKUP([1]Transactions!C385,[1]Customers!$A$2:$A$201,[1]Customers!$G$2:$G$201)</f>
        <v>Telangana</v>
      </c>
      <c r="O385" t="str">
        <f>_xlfn.XLOOKUP(C385,[1]Customers!$A$2:$A$201,[1]Customers!$H$2:$H$201)</f>
        <v>South</v>
      </c>
      <c r="P385" t="str">
        <f>_xlfn.XLOOKUP(C385,[1]Customers!$A$2:$A$201,[1]Customers!$F$2:$F$201)</f>
        <v>Hyderabad</v>
      </c>
      <c r="Q385">
        <f>_xlfn.XLOOKUP(C385,[1]Customers!$A$2:$A$201,[1]Customers!$D$2:$D$201)</f>
        <v>24</v>
      </c>
      <c r="R385" t="str">
        <f>_xlfn.XLOOKUP([1]Transactions!C385,[1]Customers!$A$2:$A$201,[1]Customers!$C$2:$C$201)</f>
        <v>Male</v>
      </c>
      <c r="S385" t="str">
        <f>_xlfn.XLOOKUP(C385,[1]Customers!$A$2:$A$201,[1]Customers!$B$2:$B$201)</f>
        <v>Customer_57</v>
      </c>
      <c r="T385" t="str">
        <f>_xlfn.XLOOKUP(D385,[1]Products!$A$2:$A$101,[1]Products!$C$2:$C$101)</f>
        <v>Snacks</v>
      </c>
      <c r="U385">
        <f>_xlfn.XLOOKUP(D385,[1]Products!$A$2:$A$101,[1]Products!$E$2:$E$101)</f>
        <v>366</v>
      </c>
      <c r="V385">
        <f>[1]Transactions!F385*[1]Transactions!U385</f>
        <v>732</v>
      </c>
    </row>
    <row r="386" spans="1:22" x14ac:dyDescent="0.3">
      <c r="A386">
        <v>385</v>
      </c>
      <c r="B386">
        <v>167</v>
      </c>
      <c r="C386">
        <v>177</v>
      </c>
      <c r="D386">
        <v>5</v>
      </c>
      <c r="E386">
        <v>9</v>
      </c>
      <c r="F386">
        <v>5</v>
      </c>
      <c r="G386">
        <v>29</v>
      </c>
      <c r="H386">
        <v>145</v>
      </c>
      <c r="I386">
        <v>59</v>
      </c>
      <c r="J386">
        <f>[1]Transactions!F386*[1]Transactions!G386</f>
        <v>145</v>
      </c>
      <c r="K386">
        <f>_xlfn.XLOOKUP([1]Transactions!D386,[1]Inventory!$C$2:$C$501,[1]Inventory!$A$2:$A$501)</f>
        <v>71</v>
      </c>
      <c r="L386">
        <f>_xlfn.XLOOKUP(K386,[1]Inventory!$A$2:$A$501,[1]Inventory!$D$2:$D$501)</f>
        <v>288</v>
      </c>
      <c r="M386">
        <f>_xlfn.XLOOKUP(K386,[1]Inventory!$A$2:$A$501,[1]Inventory!$E$2:$E$501)</f>
        <v>130</v>
      </c>
      <c r="N386" t="str">
        <f>_xlfn.XLOOKUP([1]Transactions!C386,[1]Customers!$A$2:$A$201,[1]Customers!$G$2:$G$201)</f>
        <v>West Bengal</v>
      </c>
      <c r="O386" t="str">
        <f>_xlfn.XLOOKUP(C386,[1]Customers!$A$2:$A$201,[1]Customers!$H$2:$H$201)</f>
        <v>East</v>
      </c>
      <c r="P386" t="str">
        <f>_xlfn.XLOOKUP(C386,[1]Customers!$A$2:$A$201,[1]Customers!$F$2:$F$201)</f>
        <v>Kolkata</v>
      </c>
      <c r="Q386">
        <f>_xlfn.XLOOKUP(C386,[1]Customers!$A$2:$A$201,[1]Customers!$D$2:$D$201)</f>
        <v>44</v>
      </c>
      <c r="R386" t="str">
        <f>_xlfn.XLOOKUP([1]Transactions!C386,[1]Customers!$A$2:$A$201,[1]Customers!$C$2:$C$201)</f>
        <v>Female</v>
      </c>
      <c r="S386" t="str">
        <f>_xlfn.XLOOKUP(C386,[1]Customers!$A$2:$A$201,[1]Customers!$B$2:$B$201)</f>
        <v>Customer_177</v>
      </c>
      <c r="T386" t="str">
        <f>_xlfn.XLOOKUP(D386,[1]Products!$A$2:$A$101,[1]Products!$C$2:$C$101)</f>
        <v>Grocery</v>
      </c>
      <c r="U386">
        <f>_xlfn.XLOOKUP(D386,[1]Products!$A$2:$A$101,[1]Products!$E$2:$E$101)</f>
        <v>127</v>
      </c>
      <c r="V386">
        <f>[1]Transactions!F386*[1]Transactions!U386</f>
        <v>635</v>
      </c>
    </row>
    <row r="387" spans="1:22" x14ac:dyDescent="0.3">
      <c r="A387">
        <v>386</v>
      </c>
      <c r="B387">
        <v>170</v>
      </c>
      <c r="C387">
        <v>124</v>
      </c>
      <c r="D387">
        <v>13</v>
      </c>
      <c r="E387">
        <v>46</v>
      </c>
      <c r="F387">
        <v>3</v>
      </c>
      <c r="G387">
        <v>451</v>
      </c>
      <c r="H387">
        <v>1353</v>
      </c>
      <c r="I387">
        <v>56</v>
      </c>
      <c r="J387">
        <f>[1]Transactions!F387*[1]Transactions!G387</f>
        <v>1353</v>
      </c>
      <c r="K387">
        <f>_xlfn.XLOOKUP([1]Transactions!D387,[1]Inventory!$C$2:$C$501,[1]Inventory!$A$2:$A$501)</f>
        <v>37</v>
      </c>
      <c r="L387">
        <f>_xlfn.XLOOKUP(K387,[1]Inventory!$A$2:$A$501,[1]Inventory!$D$2:$D$501)</f>
        <v>372</v>
      </c>
      <c r="M387">
        <f>_xlfn.XLOOKUP(K387,[1]Inventory!$A$2:$A$501,[1]Inventory!$E$2:$E$501)</f>
        <v>135</v>
      </c>
      <c r="N387" t="str">
        <f>_xlfn.XLOOKUP([1]Transactions!C387,[1]Customers!$A$2:$A$201,[1]Customers!$G$2:$G$201)</f>
        <v>Maharashtra</v>
      </c>
      <c r="O387" t="str">
        <f>_xlfn.XLOOKUP(C387,[1]Customers!$A$2:$A$201,[1]Customers!$H$2:$H$201)</f>
        <v>West</v>
      </c>
      <c r="P387" t="str">
        <f>_xlfn.XLOOKUP(C387,[1]Customers!$A$2:$A$201,[1]Customers!$F$2:$F$201)</f>
        <v>Pune</v>
      </c>
      <c r="Q387">
        <f>_xlfn.XLOOKUP(C387,[1]Customers!$A$2:$A$201,[1]Customers!$D$2:$D$201)</f>
        <v>45</v>
      </c>
      <c r="R387" t="str">
        <f>_xlfn.XLOOKUP([1]Transactions!C387,[1]Customers!$A$2:$A$201,[1]Customers!$C$2:$C$201)</f>
        <v>Female</v>
      </c>
      <c r="S387" t="str">
        <f>_xlfn.XLOOKUP(C387,[1]Customers!$A$2:$A$201,[1]Customers!$B$2:$B$201)</f>
        <v>Customer_124</v>
      </c>
      <c r="T387" t="str">
        <f>_xlfn.XLOOKUP(D387,[1]Products!$A$2:$A$101,[1]Products!$C$2:$C$101)</f>
        <v>Dairy</v>
      </c>
      <c r="U387">
        <f>_xlfn.XLOOKUP(D387,[1]Products!$A$2:$A$101,[1]Products!$E$2:$E$101)</f>
        <v>34</v>
      </c>
      <c r="V387">
        <f>[1]Transactions!F387*[1]Transactions!U387</f>
        <v>102</v>
      </c>
    </row>
    <row r="388" spans="1:22" x14ac:dyDescent="0.3">
      <c r="A388">
        <v>387</v>
      </c>
      <c r="B388">
        <v>156</v>
      </c>
      <c r="C388">
        <v>98</v>
      </c>
      <c r="D388">
        <v>26</v>
      </c>
      <c r="E388">
        <v>37</v>
      </c>
      <c r="F388">
        <v>5</v>
      </c>
      <c r="G388">
        <v>53</v>
      </c>
      <c r="H388">
        <v>265</v>
      </c>
      <c r="I388">
        <v>30</v>
      </c>
      <c r="J388">
        <f>[1]Transactions!F388*[1]Transactions!G388</f>
        <v>265</v>
      </c>
      <c r="K388">
        <f>_xlfn.XLOOKUP([1]Transactions!D388,[1]Inventory!$C$2:$C$501,[1]Inventory!$A$2:$A$501)</f>
        <v>11</v>
      </c>
      <c r="L388">
        <f>_xlfn.XLOOKUP(K388,[1]Inventory!$A$2:$A$501,[1]Inventory!$D$2:$D$501)</f>
        <v>235</v>
      </c>
      <c r="M388">
        <f>_xlfn.XLOOKUP(K388,[1]Inventory!$A$2:$A$501,[1]Inventory!$E$2:$E$501)</f>
        <v>78</v>
      </c>
      <c r="N388" t="str">
        <f>_xlfn.XLOOKUP([1]Transactions!C388,[1]Customers!$A$2:$A$201,[1]Customers!$G$2:$G$201)</f>
        <v>Gujarat</v>
      </c>
      <c r="O388" t="str">
        <f>_xlfn.XLOOKUP(C388,[1]Customers!$A$2:$A$201,[1]Customers!$H$2:$H$201)</f>
        <v>West</v>
      </c>
      <c r="P388" t="str">
        <f>_xlfn.XLOOKUP(C388,[1]Customers!$A$2:$A$201,[1]Customers!$F$2:$F$201)</f>
        <v>Ahmedabad</v>
      </c>
      <c r="Q388">
        <f>_xlfn.XLOOKUP(C388,[1]Customers!$A$2:$A$201,[1]Customers!$D$2:$D$201)</f>
        <v>33</v>
      </c>
      <c r="R388" t="str">
        <f>_xlfn.XLOOKUP([1]Transactions!C388,[1]Customers!$A$2:$A$201,[1]Customers!$C$2:$C$201)</f>
        <v>Male</v>
      </c>
      <c r="S388" t="str">
        <f>_xlfn.XLOOKUP(C388,[1]Customers!$A$2:$A$201,[1]Customers!$B$2:$B$201)</f>
        <v>Customer_98</v>
      </c>
      <c r="T388" t="str">
        <f>_xlfn.XLOOKUP(D388,[1]Products!$A$2:$A$101,[1]Products!$C$2:$C$101)</f>
        <v>Snacks</v>
      </c>
      <c r="U388">
        <f>_xlfn.XLOOKUP(D388,[1]Products!$A$2:$A$101,[1]Products!$E$2:$E$101)</f>
        <v>462</v>
      </c>
      <c r="V388">
        <f>[1]Transactions!F388*[1]Transactions!U388</f>
        <v>2310</v>
      </c>
    </row>
    <row r="389" spans="1:22" x14ac:dyDescent="0.3">
      <c r="A389">
        <v>388</v>
      </c>
      <c r="B389">
        <v>13</v>
      </c>
      <c r="C389">
        <v>133</v>
      </c>
      <c r="D389">
        <v>8</v>
      </c>
      <c r="E389">
        <v>37</v>
      </c>
      <c r="F389">
        <v>2</v>
      </c>
      <c r="G389">
        <v>304</v>
      </c>
      <c r="H389">
        <v>608</v>
      </c>
      <c r="I389">
        <v>17</v>
      </c>
      <c r="J389">
        <f>[1]Transactions!F389*[1]Transactions!G389</f>
        <v>608</v>
      </c>
      <c r="K389">
        <f>_xlfn.XLOOKUP([1]Transactions!D389,[1]Inventory!$C$2:$C$501,[1]Inventory!$A$2:$A$501)</f>
        <v>67</v>
      </c>
      <c r="L389">
        <f>_xlfn.XLOOKUP(K389,[1]Inventory!$A$2:$A$501,[1]Inventory!$D$2:$D$501)</f>
        <v>378</v>
      </c>
      <c r="M389">
        <f>_xlfn.XLOOKUP(K389,[1]Inventory!$A$2:$A$501,[1]Inventory!$E$2:$E$501)</f>
        <v>151</v>
      </c>
      <c r="N389" t="str">
        <f>_xlfn.XLOOKUP([1]Transactions!C389,[1]Customers!$A$2:$A$201,[1]Customers!$G$2:$G$201)</f>
        <v>Maharashtra</v>
      </c>
      <c r="O389" t="str">
        <f>_xlfn.XLOOKUP(C389,[1]Customers!$A$2:$A$201,[1]Customers!$H$2:$H$201)</f>
        <v>West</v>
      </c>
      <c r="P389" t="str">
        <f>_xlfn.XLOOKUP(C389,[1]Customers!$A$2:$A$201,[1]Customers!$F$2:$F$201)</f>
        <v>Mumbai</v>
      </c>
      <c r="Q389">
        <f>_xlfn.XLOOKUP(C389,[1]Customers!$A$2:$A$201,[1]Customers!$D$2:$D$201)</f>
        <v>31</v>
      </c>
      <c r="R389" t="str">
        <f>_xlfn.XLOOKUP([1]Transactions!C389,[1]Customers!$A$2:$A$201,[1]Customers!$C$2:$C$201)</f>
        <v>Male</v>
      </c>
      <c r="S389" t="str">
        <f>_xlfn.XLOOKUP(C389,[1]Customers!$A$2:$A$201,[1]Customers!$B$2:$B$201)</f>
        <v>Customer_133</v>
      </c>
      <c r="T389" t="str">
        <f>_xlfn.XLOOKUP(D389,[1]Products!$A$2:$A$101,[1]Products!$C$2:$C$101)</f>
        <v>Dairy</v>
      </c>
      <c r="U389">
        <f>_xlfn.XLOOKUP(D389,[1]Products!$A$2:$A$101,[1]Products!$E$2:$E$101)</f>
        <v>293</v>
      </c>
      <c r="V389">
        <f>[1]Transactions!F389*[1]Transactions!U389</f>
        <v>586</v>
      </c>
    </row>
    <row r="390" spans="1:22" x14ac:dyDescent="0.3">
      <c r="A390">
        <v>389</v>
      </c>
      <c r="B390">
        <v>106</v>
      </c>
      <c r="C390">
        <v>96</v>
      </c>
      <c r="D390">
        <v>30</v>
      </c>
      <c r="E390">
        <v>10</v>
      </c>
      <c r="F390">
        <v>2</v>
      </c>
      <c r="G390">
        <v>31</v>
      </c>
      <c r="H390">
        <v>62</v>
      </c>
      <c r="I390">
        <v>23</v>
      </c>
      <c r="J390">
        <f>[1]Transactions!F390*[1]Transactions!G390</f>
        <v>62</v>
      </c>
      <c r="K390">
        <f>_xlfn.XLOOKUP([1]Transactions!D390,[1]Inventory!$C$2:$C$501,[1]Inventory!$A$2:$A$501)</f>
        <v>68</v>
      </c>
      <c r="L390">
        <f>_xlfn.XLOOKUP(K390,[1]Inventory!$A$2:$A$501,[1]Inventory!$D$2:$D$501)</f>
        <v>179</v>
      </c>
      <c r="M390">
        <f>_xlfn.XLOOKUP(K390,[1]Inventory!$A$2:$A$501,[1]Inventory!$E$2:$E$501)</f>
        <v>103</v>
      </c>
      <c r="N390" t="str">
        <f>_xlfn.XLOOKUP([1]Transactions!C390,[1]Customers!$A$2:$A$201,[1]Customers!$G$2:$G$201)</f>
        <v>Maharashtra</v>
      </c>
      <c r="O390" t="str">
        <f>_xlfn.XLOOKUP(C390,[1]Customers!$A$2:$A$201,[1]Customers!$H$2:$H$201)</f>
        <v>West</v>
      </c>
      <c r="P390" t="str">
        <f>_xlfn.XLOOKUP(C390,[1]Customers!$A$2:$A$201,[1]Customers!$F$2:$F$201)</f>
        <v>Pune</v>
      </c>
      <c r="Q390">
        <f>_xlfn.XLOOKUP(C390,[1]Customers!$A$2:$A$201,[1]Customers!$D$2:$D$201)</f>
        <v>33</v>
      </c>
      <c r="R390" t="str">
        <f>_xlfn.XLOOKUP([1]Transactions!C390,[1]Customers!$A$2:$A$201,[1]Customers!$C$2:$C$201)</f>
        <v>Male</v>
      </c>
      <c r="S390" t="str">
        <f>_xlfn.XLOOKUP(C390,[1]Customers!$A$2:$A$201,[1]Customers!$B$2:$B$201)</f>
        <v>Customer_96</v>
      </c>
      <c r="T390" t="str">
        <f>_xlfn.XLOOKUP(D390,[1]Products!$A$2:$A$101,[1]Products!$C$2:$C$101)</f>
        <v>Beverages</v>
      </c>
      <c r="U390">
        <f>_xlfn.XLOOKUP(D390,[1]Products!$A$2:$A$101,[1]Products!$E$2:$E$101)</f>
        <v>230</v>
      </c>
      <c r="V390">
        <f>[1]Transactions!F390*[1]Transactions!U390</f>
        <v>460</v>
      </c>
    </row>
    <row r="391" spans="1:22" x14ac:dyDescent="0.3">
      <c r="A391">
        <v>390</v>
      </c>
      <c r="B391">
        <v>147</v>
      </c>
      <c r="C391">
        <v>92</v>
      </c>
      <c r="D391">
        <v>54</v>
      </c>
      <c r="E391">
        <v>15</v>
      </c>
      <c r="F391">
        <v>4</v>
      </c>
      <c r="G391">
        <v>28</v>
      </c>
      <c r="H391">
        <v>112</v>
      </c>
      <c r="I391">
        <v>15</v>
      </c>
      <c r="J391">
        <f>[1]Transactions!F391*[1]Transactions!G391</f>
        <v>112</v>
      </c>
      <c r="K391">
        <f>_xlfn.XLOOKUP([1]Transactions!D391,[1]Inventory!$C$2:$C$501,[1]Inventory!$A$2:$A$501)</f>
        <v>21</v>
      </c>
      <c r="L391">
        <f>_xlfn.XLOOKUP(K391,[1]Inventory!$A$2:$A$501,[1]Inventory!$D$2:$D$501)</f>
        <v>124</v>
      </c>
      <c r="M391">
        <f>_xlfn.XLOOKUP(K391,[1]Inventory!$A$2:$A$501,[1]Inventory!$E$2:$E$501)</f>
        <v>101</v>
      </c>
      <c r="N391" t="str">
        <f>_xlfn.XLOOKUP([1]Transactions!C391,[1]Customers!$A$2:$A$201,[1]Customers!$G$2:$G$201)</f>
        <v>Maharashtra</v>
      </c>
      <c r="O391" t="str">
        <f>_xlfn.XLOOKUP(C391,[1]Customers!$A$2:$A$201,[1]Customers!$H$2:$H$201)</f>
        <v>West</v>
      </c>
      <c r="P391" t="str">
        <f>_xlfn.XLOOKUP(C391,[1]Customers!$A$2:$A$201,[1]Customers!$F$2:$F$201)</f>
        <v>Mumbai</v>
      </c>
      <c r="Q391">
        <f>_xlfn.XLOOKUP(C391,[1]Customers!$A$2:$A$201,[1]Customers!$D$2:$D$201)</f>
        <v>47</v>
      </c>
      <c r="R391" t="str">
        <f>_xlfn.XLOOKUP([1]Transactions!C391,[1]Customers!$A$2:$A$201,[1]Customers!$C$2:$C$201)</f>
        <v>Female</v>
      </c>
      <c r="S391" t="str">
        <f>_xlfn.XLOOKUP(C391,[1]Customers!$A$2:$A$201,[1]Customers!$B$2:$B$201)</f>
        <v>Customer_92</v>
      </c>
      <c r="T391" t="str">
        <f>_xlfn.XLOOKUP(D391,[1]Products!$A$2:$A$101,[1]Products!$C$2:$C$101)</f>
        <v>Beverages</v>
      </c>
      <c r="U391">
        <f>_xlfn.XLOOKUP(D391,[1]Products!$A$2:$A$101,[1]Products!$E$2:$E$101)</f>
        <v>426</v>
      </c>
      <c r="V391">
        <f>[1]Transactions!F391*[1]Transactions!U391</f>
        <v>1704</v>
      </c>
    </row>
    <row r="392" spans="1:22" x14ac:dyDescent="0.3">
      <c r="A392">
        <v>391</v>
      </c>
      <c r="B392">
        <v>96</v>
      </c>
      <c r="C392">
        <v>50</v>
      </c>
      <c r="D392">
        <v>49</v>
      </c>
      <c r="E392">
        <v>44</v>
      </c>
      <c r="F392">
        <v>1</v>
      </c>
      <c r="G392">
        <v>27</v>
      </c>
      <c r="H392">
        <v>27</v>
      </c>
      <c r="I392">
        <v>37</v>
      </c>
      <c r="J392">
        <f>[1]Transactions!F392*[1]Transactions!G392</f>
        <v>27</v>
      </c>
      <c r="K392">
        <f>_xlfn.XLOOKUP([1]Transactions!D392,[1]Inventory!$C$2:$C$501,[1]Inventory!$A$2:$A$501)</f>
        <v>4</v>
      </c>
      <c r="L392">
        <f>_xlfn.XLOOKUP(K392,[1]Inventory!$A$2:$A$501,[1]Inventory!$D$2:$D$501)</f>
        <v>344</v>
      </c>
      <c r="M392">
        <f>_xlfn.XLOOKUP(K392,[1]Inventory!$A$2:$A$501,[1]Inventory!$E$2:$E$501)</f>
        <v>3</v>
      </c>
      <c r="N392" t="str">
        <f>_xlfn.XLOOKUP([1]Transactions!C392,[1]Customers!$A$2:$A$201,[1]Customers!$G$2:$G$201)</f>
        <v>West Bengal</v>
      </c>
      <c r="O392" t="str">
        <f>_xlfn.XLOOKUP(C392,[1]Customers!$A$2:$A$201,[1]Customers!$H$2:$H$201)</f>
        <v>East</v>
      </c>
      <c r="P392" t="str">
        <f>_xlfn.XLOOKUP(C392,[1]Customers!$A$2:$A$201,[1]Customers!$F$2:$F$201)</f>
        <v>Kolkata</v>
      </c>
      <c r="Q392">
        <f>_xlfn.XLOOKUP(C392,[1]Customers!$A$2:$A$201,[1]Customers!$D$2:$D$201)</f>
        <v>40</v>
      </c>
      <c r="R392" t="str">
        <f>_xlfn.XLOOKUP([1]Transactions!C392,[1]Customers!$A$2:$A$201,[1]Customers!$C$2:$C$201)</f>
        <v>Female</v>
      </c>
      <c r="S392" t="str">
        <f>_xlfn.XLOOKUP(C392,[1]Customers!$A$2:$A$201,[1]Customers!$B$2:$B$201)</f>
        <v>Customer_50</v>
      </c>
      <c r="T392" t="str">
        <f>_xlfn.XLOOKUP(D392,[1]Products!$A$2:$A$101,[1]Products!$C$2:$C$101)</f>
        <v>Dairy</v>
      </c>
      <c r="U392">
        <f>_xlfn.XLOOKUP(D392,[1]Products!$A$2:$A$101,[1]Products!$E$2:$E$101)</f>
        <v>117</v>
      </c>
      <c r="V392">
        <f>[1]Transactions!F392*[1]Transactions!U392</f>
        <v>117</v>
      </c>
    </row>
    <row r="393" spans="1:22" x14ac:dyDescent="0.3">
      <c r="A393">
        <v>392</v>
      </c>
      <c r="B393">
        <v>23</v>
      </c>
      <c r="C393">
        <v>124</v>
      </c>
      <c r="D393">
        <v>41</v>
      </c>
      <c r="E393">
        <v>40</v>
      </c>
      <c r="F393">
        <v>1</v>
      </c>
      <c r="G393">
        <v>49</v>
      </c>
      <c r="H393">
        <v>49</v>
      </c>
      <c r="I393">
        <v>52</v>
      </c>
      <c r="J393">
        <f>[1]Transactions!F393*[1]Transactions!G393</f>
        <v>49</v>
      </c>
      <c r="K393">
        <f>_xlfn.XLOOKUP([1]Transactions!D393,[1]Inventory!$C$2:$C$501,[1]Inventory!$A$2:$A$501)</f>
        <v>19</v>
      </c>
      <c r="L393">
        <f>_xlfn.XLOOKUP(K393,[1]Inventory!$A$2:$A$501,[1]Inventory!$D$2:$D$501)</f>
        <v>60</v>
      </c>
      <c r="M393">
        <f>_xlfn.XLOOKUP(K393,[1]Inventory!$A$2:$A$501,[1]Inventory!$E$2:$E$501)</f>
        <v>140</v>
      </c>
      <c r="N393" t="str">
        <f>_xlfn.XLOOKUP([1]Transactions!C393,[1]Customers!$A$2:$A$201,[1]Customers!$G$2:$G$201)</f>
        <v>Maharashtra</v>
      </c>
      <c r="O393" t="str">
        <f>_xlfn.XLOOKUP(C393,[1]Customers!$A$2:$A$201,[1]Customers!$H$2:$H$201)</f>
        <v>West</v>
      </c>
      <c r="P393" t="str">
        <f>_xlfn.XLOOKUP(C393,[1]Customers!$A$2:$A$201,[1]Customers!$F$2:$F$201)</f>
        <v>Pune</v>
      </c>
      <c r="Q393">
        <f>_xlfn.XLOOKUP(C393,[1]Customers!$A$2:$A$201,[1]Customers!$D$2:$D$201)</f>
        <v>45</v>
      </c>
      <c r="R393" t="str">
        <f>_xlfn.XLOOKUP([1]Transactions!C393,[1]Customers!$A$2:$A$201,[1]Customers!$C$2:$C$201)</f>
        <v>Female</v>
      </c>
      <c r="S393" t="str">
        <f>_xlfn.XLOOKUP(C393,[1]Customers!$A$2:$A$201,[1]Customers!$B$2:$B$201)</f>
        <v>Customer_124</v>
      </c>
      <c r="T393" t="str">
        <f>_xlfn.XLOOKUP(D393,[1]Products!$A$2:$A$101,[1]Products!$C$2:$C$101)</f>
        <v>Snacks</v>
      </c>
      <c r="U393">
        <f>_xlfn.XLOOKUP(D393,[1]Products!$A$2:$A$101,[1]Products!$E$2:$E$101)</f>
        <v>459</v>
      </c>
      <c r="V393">
        <f>[1]Transactions!F393*[1]Transactions!U393</f>
        <v>459</v>
      </c>
    </row>
    <row r="394" spans="1:22" x14ac:dyDescent="0.3">
      <c r="A394">
        <v>393</v>
      </c>
      <c r="B394">
        <v>107</v>
      </c>
      <c r="C394">
        <v>79</v>
      </c>
      <c r="D394">
        <v>73</v>
      </c>
      <c r="E394">
        <v>36</v>
      </c>
      <c r="F394">
        <v>3</v>
      </c>
      <c r="G394">
        <v>174</v>
      </c>
      <c r="H394">
        <v>522</v>
      </c>
      <c r="I394">
        <v>24</v>
      </c>
      <c r="J394">
        <f>[1]Transactions!F394*[1]Transactions!G394</f>
        <v>522</v>
      </c>
      <c r="K394">
        <f>_xlfn.XLOOKUP([1]Transactions!D394,[1]Inventory!$C$2:$C$501,[1]Inventory!$A$2:$A$501)</f>
        <v>18</v>
      </c>
      <c r="L394">
        <f>_xlfn.XLOOKUP(K394,[1]Inventory!$A$2:$A$501,[1]Inventory!$D$2:$D$501)</f>
        <v>120</v>
      </c>
      <c r="M394">
        <f>_xlfn.XLOOKUP(K394,[1]Inventory!$A$2:$A$501,[1]Inventory!$E$2:$E$501)</f>
        <v>107</v>
      </c>
      <c r="N394" t="str">
        <f>_xlfn.XLOOKUP([1]Transactions!C394,[1]Customers!$A$2:$A$201,[1]Customers!$G$2:$G$201)</f>
        <v>Gujarat</v>
      </c>
      <c r="O394" t="str">
        <f>_xlfn.XLOOKUP(C394,[1]Customers!$A$2:$A$201,[1]Customers!$H$2:$H$201)</f>
        <v>West</v>
      </c>
      <c r="P394" t="str">
        <f>_xlfn.XLOOKUP(C394,[1]Customers!$A$2:$A$201,[1]Customers!$F$2:$F$201)</f>
        <v>Ahmedabad</v>
      </c>
      <c r="Q394">
        <f>_xlfn.XLOOKUP(C394,[1]Customers!$A$2:$A$201,[1]Customers!$D$2:$D$201)</f>
        <v>19</v>
      </c>
      <c r="R394" t="str">
        <f>_xlfn.XLOOKUP([1]Transactions!C394,[1]Customers!$A$2:$A$201,[1]Customers!$C$2:$C$201)</f>
        <v>Male</v>
      </c>
      <c r="S394" t="str">
        <f>_xlfn.XLOOKUP(C394,[1]Customers!$A$2:$A$201,[1]Customers!$B$2:$B$201)</f>
        <v>Customer_79</v>
      </c>
      <c r="T394" t="str">
        <f>_xlfn.XLOOKUP(D394,[1]Products!$A$2:$A$101,[1]Products!$C$2:$C$101)</f>
        <v>Beverages</v>
      </c>
      <c r="U394">
        <f>_xlfn.XLOOKUP(D394,[1]Products!$A$2:$A$101,[1]Products!$E$2:$E$101)</f>
        <v>55</v>
      </c>
      <c r="V394">
        <f>[1]Transactions!F394*[1]Transactions!U394</f>
        <v>165</v>
      </c>
    </row>
    <row r="395" spans="1:22" x14ac:dyDescent="0.3">
      <c r="A395">
        <v>394</v>
      </c>
      <c r="B395">
        <v>62</v>
      </c>
      <c r="C395">
        <v>148</v>
      </c>
      <c r="D395">
        <v>4</v>
      </c>
      <c r="E395">
        <v>38</v>
      </c>
      <c r="F395">
        <v>5</v>
      </c>
      <c r="G395">
        <v>174</v>
      </c>
      <c r="H395">
        <v>870</v>
      </c>
      <c r="I395">
        <v>12</v>
      </c>
      <c r="J395">
        <f>[1]Transactions!F395*[1]Transactions!G395</f>
        <v>870</v>
      </c>
      <c r="K395">
        <f>_xlfn.XLOOKUP([1]Transactions!D395,[1]Inventory!$C$2:$C$501,[1]Inventory!$A$2:$A$501)</f>
        <v>130</v>
      </c>
      <c r="L395">
        <f>_xlfn.XLOOKUP(K395,[1]Inventory!$A$2:$A$501,[1]Inventory!$D$2:$D$501)</f>
        <v>14</v>
      </c>
      <c r="M395">
        <f>_xlfn.XLOOKUP(K395,[1]Inventory!$A$2:$A$501,[1]Inventory!$E$2:$E$501)</f>
        <v>97</v>
      </c>
      <c r="N395" t="str">
        <f>_xlfn.XLOOKUP([1]Transactions!C395,[1]Customers!$A$2:$A$201,[1]Customers!$G$2:$G$201)</f>
        <v>Rajasthan</v>
      </c>
      <c r="O395" t="str">
        <f>_xlfn.XLOOKUP(C395,[1]Customers!$A$2:$A$201,[1]Customers!$H$2:$H$201)</f>
        <v>North</v>
      </c>
      <c r="P395" t="str">
        <f>_xlfn.XLOOKUP(C395,[1]Customers!$A$2:$A$201,[1]Customers!$F$2:$F$201)</f>
        <v>Jaipur</v>
      </c>
      <c r="Q395">
        <f>_xlfn.XLOOKUP(C395,[1]Customers!$A$2:$A$201,[1]Customers!$D$2:$D$201)</f>
        <v>42</v>
      </c>
      <c r="R395" t="str">
        <f>_xlfn.XLOOKUP([1]Transactions!C395,[1]Customers!$A$2:$A$201,[1]Customers!$C$2:$C$201)</f>
        <v>Female</v>
      </c>
      <c r="S395" t="str">
        <f>_xlfn.XLOOKUP(C395,[1]Customers!$A$2:$A$201,[1]Customers!$B$2:$B$201)</f>
        <v>Customer_148</v>
      </c>
      <c r="T395" t="str">
        <f>_xlfn.XLOOKUP(D395,[1]Products!$A$2:$A$101,[1]Products!$C$2:$C$101)</f>
        <v>Grocery</v>
      </c>
      <c r="U395">
        <f>_xlfn.XLOOKUP(D395,[1]Products!$A$2:$A$101,[1]Products!$E$2:$E$101)</f>
        <v>459</v>
      </c>
      <c r="V395">
        <f>[1]Transactions!F395*[1]Transactions!U395</f>
        <v>2295</v>
      </c>
    </row>
    <row r="396" spans="1:22" x14ac:dyDescent="0.3">
      <c r="A396">
        <v>395</v>
      </c>
      <c r="B396">
        <v>147</v>
      </c>
      <c r="C396">
        <v>33</v>
      </c>
      <c r="D396">
        <v>77</v>
      </c>
      <c r="E396">
        <v>25</v>
      </c>
      <c r="F396">
        <v>3</v>
      </c>
      <c r="G396">
        <v>283</v>
      </c>
      <c r="H396">
        <v>849</v>
      </c>
      <c r="I396">
        <v>14</v>
      </c>
      <c r="J396">
        <f>[1]Transactions!F396*[1]Transactions!G396</f>
        <v>849</v>
      </c>
      <c r="K396">
        <f>_xlfn.XLOOKUP([1]Transactions!D396,[1]Inventory!$C$2:$C$501,[1]Inventory!$A$2:$A$501)</f>
        <v>243</v>
      </c>
      <c r="L396">
        <f>_xlfn.XLOOKUP(K396,[1]Inventory!$A$2:$A$501,[1]Inventory!$D$2:$D$501)</f>
        <v>97</v>
      </c>
      <c r="M396">
        <f>_xlfn.XLOOKUP(K396,[1]Inventory!$A$2:$A$501,[1]Inventory!$E$2:$E$501)</f>
        <v>107</v>
      </c>
      <c r="N396" t="str">
        <f>_xlfn.XLOOKUP([1]Transactions!C396,[1]Customers!$A$2:$A$201,[1]Customers!$G$2:$G$201)</f>
        <v>West Bengal</v>
      </c>
      <c r="O396" t="str">
        <f>_xlfn.XLOOKUP(C396,[1]Customers!$A$2:$A$201,[1]Customers!$H$2:$H$201)</f>
        <v>East</v>
      </c>
      <c r="P396" t="str">
        <f>_xlfn.XLOOKUP(C396,[1]Customers!$A$2:$A$201,[1]Customers!$F$2:$F$201)</f>
        <v>Kolkata</v>
      </c>
      <c r="Q396">
        <f>_xlfn.XLOOKUP(C396,[1]Customers!$A$2:$A$201,[1]Customers!$D$2:$D$201)</f>
        <v>20</v>
      </c>
      <c r="R396" t="str">
        <f>_xlfn.XLOOKUP([1]Transactions!C396,[1]Customers!$A$2:$A$201,[1]Customers!$C$2:$C$201)</f>
        <v>Female</v>
      </c>
      <c r="S396" t="str">
        <f>_xlfn.XLOOKUP(C396,[1]Customers!$A$2:$A$201,[1]Customers!$B$2:$B$201)</f>
        <v>Customer_33</v>
      </c>
      <c r="T396" t="str">
        <f>_xlfn.XLOOKUP(D396,[1]Products!$A$2:$A$101,[1]Products!$C$2:$C$101)</f>
        <v>Grocery</v>
      </c>
      <c r="U396">
        <f>_xlfn.XLOOKUP(D396,[1]Products!$A$2:$A$101,[1]Products!$E$2:$E$101)</f>
        <v>389</v>
      </c>
      <c r="V396">
        <f>[1]Transactions!F396*[1]Transactions!U396</f>
        <v>1167</v>
      </c>
    </row>
    <row r="397" spans="1:22" x14ac:dyDescent="0.3">
      <c r="A397">
        <v>396</v>
      </c>
      <c r="B397">
        <v>113</v>
      </c>
      <c r="C397">
        <v>180</v>
      </c>
      <c r="D397">
        <v>27</v>
      </c>
      <c r="E397">
        <v>6</v>
      </c>
      <c r="F397">
        <v>1</v>
      </c>
      <c r="G397">
        <v>492</v>
      </c>
      <c r="H397">
        <v>492</v>
      </c>
      <c r="I397">
        <v>53</v>
      </c>
      <c r="J397">
        <f>[1]Transactions!F397*[1]Transactions!G397</f>
        <v>492</v>
      </c>
      <c r="K397">
        <f>_xlfn.XLOOKUP([1]Transactions!D397,[1]Inventory!$C$2:$C$501,[1]Inventory!$A$2:$A$501)</f>
        <v>24</v>
      </c>
      <c r="L397">
        <f>_xlfn.XLOOKUP(K397,[1]Inventory!$A$2:$A$501,[1]Inventory!$D$2:$D$501)</f>
        <v>384</v>
      </c>
      <c r="M397">
        <f>_xlfn.XLOOKUP(K397,[1]Inventory!$A$2:$A$501,[1]Inventory!$E$2:$E$501)</f>
        <v>116</v>
      </c>
      <c r="N397" t="str">
        <f>_xlfn.XLOOKUP([1]Transactions!C397,[1]Customers!$A$2:$A$201,[1]Customers!$G$2:$G$201)</f>
        <v>Delhi</v>
      </c>
      <c r="O397" t="str">
        <f>_xlfn.XLOOKUP(C397,[1]Customers!$A$2:$A$201,[1]Customers!$H$2:$H$201)</f>
        <v>North</v>
      </c>
      <c r="P397" t="str">
        <f>_xlfn.XLOOKUP(C397,[1]Customers!$A$2:$A$201,[1]Customers!$F$2:$F$201)</f>
        <v>Delhi</v>
      </c>
      <c r="Q397">
        <f>_xlfn.XLOOKUP(C397,[1]Customers!$A$2:$A$201,[1]Customers!$D$2:$D$201)</f>
        <v>30</v>
      </c>
      <c r="R397" t="str">
        <f>_xlfn.XLOOKUP([1]Transactions!C397,[1]Customers!$A$2:$A$201,[1]Customers!$C$2:$C$201)</f>
        <v>Female</v>
      </c>
      <c r="S397" t="str">
        <f>_xlfn.XLOOKUP(C397,[1]Customers!$A$2:$A$201,[1]Customers!$B$2:$B$201)</f>
        <v>Customer_180</v>
      </c>
      <c r="T397" t="str">
        <f>_xlfn.XLOOKUP(D397,[1]Products!$A$2:$A$101,[1]Products!$C$2:$C$101)</f>
        <v>Snacks</v>
      </c>
      <c r="U397">
        <f>_xlfn.XLOOKUP(D397,[1]Products!$A$2:$A$101,[1]Products!$E$2:$E$101)</f>
        <v>372</v>
      </c>
      <c r="V397">
        <f>[1]Transactions!F397*[1]Transactions!U397</f>
        <v>372</v>
      </c>
    </row>
    <row r="398" spans="1:22" x14ac:dyDescent="0.3">
      <c r="A398">
        <v>397</v>
      </c>
      <c r="B398">
        <v>1</v>
      </c>
      <c r="C398">
        <v>32</v>
      </c>
      <c r="D398">
        <v>14</v>
      </c>
      <c r="E398">
        <v>12</v>
      </c>
      <c r="F398">
        <v>1</v>
      </c>
      <c r="G398">
        <v>408</v>
      </c>
      <c r="H398">
        <v>408</v>
      </c>
      <c r="I398">
        <v>46</v>
      </c>
      <c r="J398">
        <f>[1]Transactions!F398*[1]Transactions!G398</f>
        <v>408</v>
      </c>
      <c r="K398">
        <f>_xlfn.XLOOKUP([1]Transactions!D398,[1]Inventory!$C$2:$C$501,[1]Inventory!$A$2:$A$501)</f>
        <v>8</v>
      </c>
      <c r="L398">
        <f>_xlfn.XLOOKUP(K398,[1]Inventory!$A$2:$A$501,[1]Inventory!$D$2:$D$501)</f>
        <v>197</v>
      </c>
      <c r="M398">
        <f>_xlfn.XLOOKUP(K398,[1]Inventory!$A$2:$A$501,[1]Inventory!$E$2:$E$501)</f>
        <v>82</v>
      </c>
      <c r="N398" t="str">
        <f>_xlfn.XLOOKUP([1]Transactions!C398,[1]Customers!$A$2:$A$201,[1]Customers!$G$2:$G$201)</f>
        <v>Gujarat</v>
      </c>
      <c r="O398" t="str">
        <f>_xlfn.XLOOKUP(C398,[1]Customers!$A$2:$A$201,[1]Customers!$H$2:$H$201)</f>
        <v>West</v>
      </c>
      <c r="P398" t="str">
        <f>_xlfn.XLOOKUP(C398,[1]Customers!$A$2:$A$201,[1]Customers!$F$2:$F$201)</f>
        <v>Ahmedabad</v>
      </c>
      <c r="Q398">
        <f>_xlfn.XLOOKUP(C398,[1]Customers!$A$2:$A$201,[1]Customers!$D$2:$D$201)</f>
        <v>46</v>
      </c>
      <c r="R398" t="str">
        <f>_xlfn.XLOOKUP([1]Transactions!C398,[1]Customers!$A$2:$A$201,[1]Customers!$C$2:$C$201)</f>
        <v>Male</v>
      </c>
      <c r="S398" t="str">
        <f>_xlfn.XLOOKUP(C398,[1]Customers!$A$2:$A$201,[1]Customers!$B$2:$B$201)</f>
        <v>Customer_32</v>
      </c>
      <c r="T398" t="str">
        <f>_xlfn.XLOOKUP(D398,[1]Products!$A$2:$A$101,[1]Products!$C$2:$C$101)</f>
        <v>Beverages</v>
      </c>
      <c r="U398">
        <f>_xlfn.XLOOKUP(D398,[1]Products!$A$2:$A$101,[1]Products!$E$2:$E$101)</f>
        <v>290</v>
      </c>
      <c r="V398">
        <f>[1]Transactions!F398*[1]Transactions!U398</f>
        <v>290</v>
      </c>
    </row>
    <row r="399" spans="1:22" x14ac:dyDescent="0.3">
      <c r="A399">
        <v>398</v>
      </c>
      <c r="B399">
        <v>123</v>
      </c>
      <c r="C399">
        <v>98</v>
      </c>
      <c r="D399">
        <v>71</v>
      </c>
      <c r="E399">
        <v>4</v>
      </c>
      <c r="F399">
        <v>2</v>
      </c>
      <c r="G399">
        <v>357</v>
      </c>
      <c r="H399">
        <v>714</v>
      </c>
      <c r="I399">
        <v>34</v>
      </c>
      <c r="J399">
        <f>[1]Transactions!F399*[1]Transactions!G399</f>
        <v>714</v>
      </c>
      <c r="K399">
        <f>_xlfn.XLOOKUP([1]Transactions!D399,[1]Inventory!$C$2:$C$501,[1]Inventory!$A$2:$A$501)</f>
        <v>30</v>
      </c>
      <c r="L399">
        <f>_xlfn.XLOOKUP(K399,[1]Inventory!$A$2:$A$501,[1]Inventory!$D$2:$D$501)</f>
        <v>155</v>
      </c>
      <c r="M399">
        <f>_xlfn.XLOOKUP(K399,[1]Inventory!$A$2:$A$501,[1]Inventory!$E$2:$E$501)</f>
        <v>79</v>
      </c>
      <c r="N399" t="str">
        <f>_xlfn.XLOOKUP([1]Transactions!C399,[1]Customers!$A$2:$A$201,[1]Customers!$G$2:$G$201)</f>
        <v>Gujarat</v>
      </c>
      <c r="O399" t="str">
        <f>_xlfn.XLOOKUP(C399,[1]Customers!$A$2:$A$201,[1]Customers!$H$2:$H$201)</f>
        <v>West</v>
      </c>
      <c r="P399" t="str">
        <f>_xlfn.XLOOKUP(C399,[1]Customers!$A$2:$A$201,[1]Customers!$F$2:$F$201)</f>
        <v>Ahmedabad</v>
      </c>
      <c r="Q399">
        <f>_xlfn.XLOOKUP(C399,[1]Customers!$A$2:$A$201,[1]Customers!$D$2:$D$201)</f>
        <v>33</v>
      </c>
      <c r="R399" t="str">
        <f>_xlfn.XLOOKUP([1]Transactions!C399,[1]Customers!$A$2:$A$201,[1]Customers!$C$2:$C$201)</f>
        <v>Male</v>
      </c>
      <c r="S399" t="str">
        <f>_xlfn.XLOOKUP(C399,[1]Customers!$A$2:$A$201,[1]Customers!$B$2:$B$201)</f>
        <v>Customer_98</v>
      </c>
      <c r="T399" t="str">
        <f>_xlfn.XLOOKUP(D399,[1]Products!$A$2:$A$101,[1]Products!$C$2:$C$101)</f>
        <v>Snacks</v>
      </c>
      <c r="U399">
        <f>_xlfn.XLOOKUP(D399,[1]Products!$A$2:$A$101,[1]Products!$E$2:$E$101)</f>
        <v>389</v>
      </c>
      <c r="V399">
        <f>[1]Transactions!F399*[1]Transactions!U399</f>
        <v>778</v>
      </c>
    </row>
    <row r="400" spans="1:22" x14ac:dyDescent="0.3">
      <c r="A400">
        <v>399</v>
      </c>
      <c r="B400">
        <v>129</v>
      </c>
      <c r="C400">
        <v>163</v>
      </c>
      <c r="D400">
        <v>51</v>
      </c>
      <c r="E400">
        <v>40</v>
      </c>
      <c r="F400">
        <v>4</v>
      </c>
      <c r="G400">
        <v>123</v>
      </c>
      <c r="H400">
        <v>492</v>
      </c>
      <c r="I400">
        <v>27</v>
      </c>
      <c r="J400">
        <f>[1]Transactions!F400*[1]Transactions!G400</f>
        <v>492</v>
      </c>
      <c r="K400">
        <f>_xlfn.XLOOKUP([1]Transactions!D400,[1]Inventory!$C$2:$C$501,[1]Inventory!$A$2:$A$501)</f>
        <v>55</v>
      </c>
      <c r="L400">
        <f>_xlfn.XLOOKUP(K400,[1]Inventory!$A$2:$A$501,[1]Inventory!$D$2:$D$501)</f>
        <v>336</v>
      </c>
      <c r="M400">
        <f>_xlfn.XLOOKUP(K400,[1]Inventory!$A$2:$A$501,[1]Inventory!$E$2:$E$501)</f>
        <v>49</v>
      </c>
      <c r="N400" t="str">
        <f>_xlfn.XLOOKUP([1]Transactions!C400,[1]Customers!$A$2:$A$201,[1]Customers!$G$2:$G$201)</f>
        <v>Karnataka</v>
      </c>
      <c r="O400" t="str">
        <f>_xlfn.XLOOKUP(C400,[1]Customers!$A$2:$A$201,[1]Customers!$H$2:$H$201)</f>
        <v>South</v>
      </c>
      <c r="P400" t="str">
        <f>_xlfn.XLOOKUP(C400,[1]Customers!$A$2:$A$201,[1]Customers!$F$2:$F$201)</f>
        <v>Bangalore</v>
      </c>
      <c r="Q400">
        <f>_xlfn.XLOOKUP(C400,[1]Customers!$A$2:$A$201,[1]Customers!$D$2:$D$201)</f>
        <v>47</v>
      </c>
      <c r="R400" t="str">
        <f>_xlfn.XLOOKUP([1]Transactions!C400,[1]Customers!$A$2:$A$201,[1]Customers!$C$2:$C$201)</f>
        <v>Male</v>
      </c>
      <c r="S400" t="str">
        <f>_xlfn.XLOOKUP(C400,[1]Customers!$A$2:$A$201,[1]Customers!$B$2:$B$201)</f>
        <v>Customer_163</v>
      </c>
      <c r="T400" t="str">
        <f>_xlfn.XLOOKUP(D400,[1]Products!$A$2:$A$101,[1]Products!$C$2:$C$101)</f>
        <v>Beverages</v>
      </c>
      <c r="U400">
        <f>_xlfn.XLOOKUP(D400,[1]Products!$A$2:$A$101,[1]Products!$E$2:$E$101)</f>
        <v>27</v>
      </c>
      <c r="V400">
        <f>[1]Transactions!F400*[1]Transactions!U400</f>
        <v>108</v>
      </c>
    </row>
    <row r="401" spans="1:22" x14ac:dyDescent="0.3">
      <c r="A401">
        <v>400</v>
      </c>
      <c r="B401">
        <v>158</v>
      </c>
      <c r="C401">
        <v>114</v>
      </c>
      <c r="D401">
        <v>28</v>
      </c>
      <c r="E401">
        <v>43</v>
      </c>
      <c r="F401">
        <v>3</v>
      </c>
      <c r="G401">
        <v>217</v>
      </c>
      <c r="H401">
        <v>651</v>
      </c>
      <c r="I401">
        <v>25</v>
      </c>
      <c r="J401">
        <f>[1]Transactions!F401*[1]Transactions!G401</f>
        <v>651</v>
      </c>
      <c r="K401">
        <f>_xlfn.XLOOKUP([1]Transactions!D401,[1]Inventory!$C$2:$C$501,[1]Inventory!$A$2:$A$501)</f>
        <v>16</v>
      </c>
      <c r="L401">
        <f>_xlfn.XLOOKUP(K401,[1]Inventory!$A$2:$A$501,[1]Inventory!$D$2:$D$501)</f>
        <v>284</v>
      </c>
      <c r="M401">
        <f>_xlfn.XLOOKUP(K401,[1]Inventory!$A$2:$A$501,[1]Inventory!$E$2:$E$501)</f>
        <v>80</v>
      </c>
      <c r="N401" t="str">
        <f>_xlfn.XLOOKUP([1]Transactions!C401,[1]Customers!$A$2:$A$201,[1]Customers!$G$2:$G$201)</f>
        <v>Delhi</v>
      </c>
      <c r="O401" t="str">
        <f>_xlfn.XLOOKUP(C401,[1]Customers!$A$2:$A$201,[1]Customers!$H$2:$H$201)</f>
        <v>North</v>
      </c>
      <c r="P401" t="str">
        <f>_xlfn.XLOOKUP(C401,[1]Customers!$A$2:$A$201,[1]Customers!$F$2:$F$201)</f>
        <v>Delhi</v>
      </c>
      <c r="Q401">
        <f>_xlfn.XLOOKUP(C401,[1]Customers!$A$2:$A$201,[1]Customers!$D$2:$D$201)</f>
        <v>38</v>
      </c>
      <c r="R401" t="str">
        <f>_xlfn.XLOOKUP([1]Transactions!C401,[1]Customers!$A$2:$A$201,[1]Customers!$C$2:$C$201)</f>
        <v>Male</v>
      </c>
      <c r="S401" t="str">
        <f>_xlfn.XLOOKUP(C401,[1]Customers!$A$2:$A$201,[1]Customers!$B$2:$B$201)</f>
        <v>Customer_114</v>
      </c>
      <c r="T401" t="str">
        <f>_xlfn.XLOOKUP(D401,[1]Products!$A$2:$A$101,[1]Products!$C$2:$C$101)</f>
        <v>Grocery</v>
      </c>
      <c r="U401">
        <f>_xlfn.XLOOKUP(D401,[1]Products!$A$2:$A$101,[1]Products!$E$2:$E$101)</f>
        <v>203</v>
      </c>
      <c r="V401">
        <f>[1]Transactions!F401*[1]Transactions!U401</f>
        <v>609</v>
      </c>
    </row>
    <row r="402" spans="1:22" x14ac:dyDescent="0.3">
      <c r="A402">
        <v>401</v>
      </c>
      <c r="B402">
        <v>40</v>
      </c>
      <c r="C402">
        <v>151</v>
      </c>
      <c r="D402">
        <v>34</v>
      </c>
      <c r="E402">
        <v>17</v>
      </c>
      <c r="F402">
        <v>1</v>
      </c>
      <c r="G402">
        <v>188</v>
      </c>
      <c r="H402">
        <v>188</v>
      </c>
      <c r="I402">
        <v>16</v>
      </c>
      <c r="J402">
        <f>[1]Transactions!F402*[1]Transactions!G402</f>
        <v>188</v>
      </c>
      <c r="K402">
        <f>_xlfn.XLOOKUP([1]Transactions!D402,[1]Inventory!$C$2:$C$501,[1]Inventory!$A$2:$A$501)</f>
        <v>43</v>
      </c>
      <c r="L402">
        <f>_xlfn.XLOOKUP(K402,[1]Inventory!$A$2:$A$501,[1]Inventory!$D$2:$D$501)</f>
        <v>315</v>
      </c>
      <c r="M402">
        <f>_xlfn.XLOOKUP(K402,[1]Inventory!$A$2:$A$501,[1]Inventory!$E$2:$E$501)</f>
        <v>18</v>
      </c>
      <c r="N402" t="str">
        <f>_xlfn.XLOOKUP([1]Transactions!C402,[1]Customers!$A$2:$A$201,[1]Customers!$G$2:$G$201)</f>
        <v>Delhi</v>
      </c>
      <c r="O402" t="str">
        <f>_xlfn.XLOOKUP(C402,[1]Customers!$A$2:$A$201,[1]Customers!$H$2:$H$201)</f>
        <v>North</v>
      </c>
      <c r="P402" t="str">
        <f>_xlfn.XLOOKUP(C402,[1]Customers!$A$2:$A$201,[1]Customers!$F$2:$F$201)</f>
        <v>Delhi</v>
      </c>
      <c r="Q402">
        <f>_xlfn.XLOOKUP(C402,[1]Customers!$A$2:$A$201,[1]Customers!$D$2:$D$201)</f>
        <v>26</v>
      </c>
      <c r="R402" t="str">
        <f>_xlfn.XLOOKUP([1]Transactions!C402,[1]Customers!$A$2:$A$201,[1]Customers!$C$2:$C$201)</f>
        <v>Male</v>
      </c>
      <c r="S402" t="str">
        <f>_xlfn.XLOOKUP(C402,[1]Customers!$A$2:$A$201,[1]Customers!$B$2:$B$201)</f>
        <v>Customer_151</v>
      </c>
      <c r="T402" t="str">
        <f>_xlfn.XLOOKUP(D402,[1]Products!$A$2:$A$101,[1]Products!$C$2:$C$101)</f>
        <v>Snacks</v>
      </c>
      <c r="U402">
        <f>_xlfn.XLOOKUP(D402,[1]Products!$A$2:$A$101,[1]Products!$E$2:$E$101)</f>
        <v>349</v>
      </c>
      <c r="V402">
        <f>[1]Transactions!F402*[1]Transactions!U402</f>
        <v>349</v>
      </c>
    </row>
    <row r="403" spans="1:22" x14ac:dyDescent="0.3">
      <c r="A403">
        <v>402</v>
      </c>
      <c r="B403">
        <v>42</v>
      </c>
      <c r="C403">
        <v>53</v>
      </c>
      <c r="D403">
        <v>33</v>
      </c>
      <c r="E403">
        <v>1</v>
      </c>
      <c r="F403">
        <v>3</v>
      </c>
      <c r="G403">
        <v>218</v>
      </c>
      <c r="H403">
        <v>654</v>
      </c>
      <c r="I403">
        <v>34</v>
      </c>
      <c r="J403">
        <f>[1]Transactions!F403*[1]Transactions!G403</f>
        <v>654</v>
      </c>
      <c r="K403">
        <f>_xlfn.XLOOKUP([1]Transactions!D403,[1]Inventory!$C$2:$C$501,[1]Inventory!$A$2:$A$501)</f>
        <v>77</v>
      </c>
      <c r="L403">
        <f>_xlfn.XLOOKUP(K403,[1]Inventory!$A$2:$A$501,[1]Inventory!$D$2:$D$501)</f>
        <v>5</v>
      </c>
      <c r="M403">
        <f>_xlfn.XLOOKUP(K403,[1]Inventory!$A$2:$A$501,[1]Inventory!$E$2:$E$501)</f>
        <v>43</v>
      </c>
      <c r="N403" t="str">
        <f>_xlfn.XLOOKUP([1]Transactions!C403,[1]Customers!$A$2:$A$201,[1]Customers!$G$2:$G$201)</f>
        <v>Maharashtra</v>
      </c>
      <c r="O403" t="str">
        <f>_xlfn.XLOOKUP(C403,[1]Customers!$A$2:$A$201,[1]Customers!$H$2:$H$201)</f>
        <v>West</v>
      </c>
      <c r="P403" t="str">
        <f>_xlfn.XLOOKUP(C403,[1]Customers!$A$2:$A$201,[1]Customers!$F$2:$F$201)</f>
        <v>Pune</v>
      </c>
      <c r="Q403">
        <f>_xlfn.XLOOKUP(C403,[1]Customers!$A$2:$A$201,[1]Customers!$D$2:$D$201)</f>
        <v>35</v>
      </c>
      <c r="R403" t="str">
        <f>_xlfn.XLOOKUP([1]Transactions!C403,[1]Customers!$A$2:$A$201,[1]Customers!$C$2:$C$201)</f>
        <v>Male</v>
      </c>
      <c r="S403" t="str">
        <f>_xlfn.XLOOKUP(C403,[1]Customers!$A$2:$A$201,[1]Customers!$B$2:$B$201)</f>
        <v>Customer_53</v>
      </c>
      <c r="T403" t="str">
        <f>_xlfn.XLOOKUP(D403,[1]Products!$A$2:$A$101,[1]Products!$C$2:$C$101)</f>
        <v>Beverages</v>
      </c>
      <c r="U403">
        <f>_xlfn.XLOOKUP(D403,[1]Products!$A$2:$A$101,[1]Products!$E$2:$E$101)</f>
        <v>51</v>
      </c>
      <c r="V403">
        <f>[1]Transactions!F403*[1]Transactions!U403</f>
        <v>153</v>
      </c>
    </row>
    <row r="404" spans="1:22" x14ac:dyDescent="0.3">
      <c r="A404">
        <v>403</v>
      </c>
      <c r="B404">
        <v>138</v>
      </c>
      <c r="C404">
        <v>168</v>
      </c>
      <c r="D404">
        <v>18</v>
      </c>
      <c r="E404">
        <v>15</v>
      </c>
      <c r="F404">
        <v>1</v>
      </c>
      <c r="G404">
        <v>171</v>
      </c>
      <c r="H404">
        <v>171</v>
      </c>
      <c r="I404">
        <v>40</v>
      </c>
      <c r="J404">
        <f>[1]Transactions!F404*[1]Transactions!G404</f>
        <v>171</v>
      </c>
      <c r="K404">
        <f>_xlfn.XLOOKUP([1]Transactions!D404,[1]Inventory!$C$2:$C$501,[1]Inventory!$A$2:$A$501)</f>
        <v>78</v>
      </c>
      <c r="L404">
        <f>_xlfn.XLOOKUP(K404,[1]Inventory!$A$2:$A$501,[1]Inventory!$D$2:$D$501)</f>
        <v>109</v>
      </c>
      <c r="M404">
        <f>_xlfn.XLOOKUP(K404,[1]Inventory!$A$2:$A$501,[1]Inventory!$E$2:$E$501)</f>
        <v>51</v>
      </c>
      <c r="N404" t="str">
        <f>_xlfn.XLOOKUP([1]Transactions!C404,[1]Customers!$A$2:$A$201,[1]Customers!$G$2:$G$201)</f>
        <v>West Bengal</v>
      </c>
      <c r="O404" t="str">
        <f>_xlfn.XLOOKUP(C404,[1]Customers!$A$2:$A$201,[1]Customers!$H$2:$H$201)</f>
        <v>East</v>
      </c>
      <c r="P404" t="str">
        <f>_xlfn.XLOOKUP(C404,[1]Customers!$A$2:$A$201,[1]Customers!$F$2:$F$201)</f>
        <v>Kolkata</v>
      </c>
      <c r="Q404">
        <f>_xlfn.XLOOKUP(C404,[1]Customers!$A$2:$A$201,[1]Customers!$D$2:$D$201)</f>
        <v>27</v>
      </c>
      <c r="R404" t="str">
        <f>_xlfn.XLOOKUP([1]Transactions!C404,[1]Customers!$A$2:$A$201,[1]Customers!$C$2:$C$201)</f>
        <v>Female</v>
      </c>
      <c r="S404" t="str">
        <f>_xlfn.XLOOKUP(C404,[1]Customers!$A$2:$A$201,[1]Customers!$B$2:$B$201)</f>
        <v>Customer_168</v>
      </c>
      <c r="T404" t="str">
        <f>_xlfn.XLOOKUP(D404,[1]Products!$A$2:$A$101,[1]Products!$C$2:$C$101)</f>
        <v>Snacks</v>
      </c>
      <c r="U404">
        <f>_xlfn.XLOOKUP(D404,[1]Products!$A$2:$A$101,[1]Products!$E$2:$E$101)</f>
        <v>460</v>
      </c>
      <c r="V404">
        <f>[1]Transactions!F404*[1]Transactions!U404</f>
        <v>460</v>
      </c>
    </row>
    <row r="405" spans="1:22" x14ac:dyDescent="0.3">
      <c r="A405">
        <v>404</v>
      </c>
      <c r="B405">
        <v>157</v>
      </c>
      <c r="C405">
        <v>124</v>
      </c>
      <c r="D405">
        <v>41</v>
      </c>
      <c r="E405">
        <v>40</v>
      </c>
      <c r="F405">
        <v>4</v>
      </c>
      <c r="G405">
        <v>161</v>
      </c>
      <c r="H405">
        <v>644</v>
      </c>
      <c r="I405">
        <v>28</v>
      </c>
      <c r="J405">
        <f>[1]Transactions!F405*[1]Transactions!G405</f>
        <v>644</v>
      </c>
      <c r="K405">
        <f>_xlfn.XLOOKUP([1]Transactions!D405,[1]Inventory!$C$2:$C$501,[1]Inventory!$A$2:$A$501)</f>
        <v>19</v>
      </c>
      <c r="L405">
        <f>_xlfn.XLOOKUP(K405,[1]Inventory!$A$2:$A$501,[1]Inventory!$D$2:$D$501)</f>
        <v>60</v>
      </c>
      <c r="M405">
        <f>_xlfn.XLOOKUP(K405,[1]Inventory!$A$2:$A$501,[1]Inventory!$E$2:$E$501)</f>
        <v>140</v>
      </c>
      <c r="N405" t="str">
        <f>_xlfn.XLOOKUP([1]Transactions!C405,[1]Customers!$A$2:$A$201,[1]Customers!$G$2:$G$201)</f>
        <v>Maharashtra</v>
      </c>
      <c r="O405" t="str">
        <f>_xlfn.XLOOKUP(C405,[1]Customers!$A$2:$A$201,[1]Customers!$H$2:$H$201)</f>
        <v>West</v>
      </c>
      <c r="P405" t="str">
        <f>_xlfn.XLOOKUP(C405,[1]Customers!$A$2:$A$201,[1]Customers!$F$2:$F$201)</f>
        <v>Pune</v>
      </c>
      <c r="Q405">
        <f>_xlfn.XLOOKUP(C405,[1]Customers!$A$2:$A$201,[1]Customers!$D$2:$D$201)</f>
        <v>45</v>
      </c>
      <c r="R405" t="str">
        <f>_xlfn.XLOOKUP([1]Transactions!C405,[1]Customers!$A$2:$A$201,[1]Customers!$C$2:$C$201)</f>
        <v>Female</v>
      </c>
      <c r="S405" t="str">
        <f>_xlfn.XLOOKUP(C405,[1]Customers!$A$2:$A$201,[1]Customers!$B$2:$B$201)</f>
        <v>Customer_124</v>
      </c>
      <c r="T405" t="str">
        <f>_xlfn.XLOOKUP(D405,[1]Products!$A$2:$A$101,[1]Products!$C$2:$C$101)</f>
        <v>Snacks</v>
      </c>
      <c r="U405">
        <f>_xlfn.XLOOKUP(D405,[1]Products!$A$2:$A$101,[1]Products!$E$2:$E$101)</f>
        <v>459</v>
      </c>
      <c r="V405">
        <f>[1]Transactions!F405*[1]Transactions!U405</f>
        <v>1836</v>
      </c>
    </row>
    <row r="406" spans="1:22" x14ac:dyDescent="0.3">
      <c r="A406">
        <v>405</v>
      </c>
      <c r="B406">
        <v>91</v>
      </c>
      <c r="C406">
        <v>112</v>
      </c>
      <c r="D406">
        <v>63</v>
      </c>
      <c r="E406">
        <v>23</v>
      </c>
      <c r="F406">
        <v>3</v>
      </c>
      <c r="G406">
        <v>213</v>
      </c>
      <c r="H406">
        <v>639</v>
      </c>
      <c r="I406">
        <v>23</v>
      </c>
      <c r="J406">
        <f>[1]Transactions!F406*[1]Transactions!G406</f>
        <v>639</v>
      </c>
      <c r="K406">
        <f>_xlfn.XLOOKUP([1]Transactions!D406,[1]Inventory!$C$2:$C$501,[1]Inventory!$A$2:$A$501)</f>
        <v>36</v>
      </c>
      <c r="L406">
        <f>_xlfn.XLOOKUP(K406,[1]Inventory!$A$2:$A$501,[1]Inventory!$D$2:$D$501)</f>
        <v>75</v>
      </c>
      <c r="M406">
        <f>_xlfn.XLOOKUP(K406,[1]Inventory!$A$2:$A$501,[1]Inventory!$E$2:$E$501)</f>
        <v>177</v>
      </c>
      <c r="N406" t="str">
        <f>_xlfn.XLOOKUP([1]Transactions!C406,[1]Customers!$A$2:$A$201,[1]Customers!$G$2:$G$201)</f>
        <v>Telangana</v>
      </c>
      <c r="O406" t="str">
        <f>_xlfn.XLOOKUP(C406,[1]Customers!$A$2:$A$201,[1]Customers!$H$2:$H$201)</f>
        <v>South</v>
      </c>
      <c r="P406" t="str">
        <f>_xlfn.XLOOKUP(C406,[1]Customers!$A$2:$A$201,[1]Customers!$F$2:$F$201)</f>
        <v>Hyderabad</v>
      </c>
      <c r="Q406">
        <f>_xlfn.XLOOKUP(C406,[1]Customers!$A$2:$A$201,[1]Customers!$D$2:$D$201)</f>
        <v>59</v>
      </c>
      <c r="R406" t="str">
        <f>_xlfn.XLOOKUP([1]Transactions!C406,[1]Customers!$A$2:$A$201,[1]Customers!$C$2:$C$201)</f>
        <v>Female</v>
      </c>
      <c r="S406" t="str">
        <f>_xlfn.XLOOKUP(C406,[1]Customers!$A$2:$A$201,[1]Customers!$B$2:$B$201)</f>
        <v>Customer_112</v>
      </c>
      <c r="T406" t="str">
        <f>_xlfn.XLOOKUP(D406,[1]Products!$A$2:$A$101,[1]Products!$C$2:$C$101)</f>
        <v>Grocery</v>
      </c>
      <c r="U406">
        <f>_xlfn.XLOOKUP(D406,[1]Products!$A$2:$A$101,[1]Products!$E$2:$E$101)</f>
        <v>171</v>
      </c>
      <c r="V406">
        <f>[1]Transactions!F406*[1]Transactions!U406</f>
        <v>513</v>
      </c>
    </row>
    <row r="407" spans="1:22" x14ac:dyDescent="0.3">
      <c r="A407">
        <v>406</v>
      </c>
      <c r="B407">
        <v>131</v>
      </c>
      <c r="C407">
        <v>37</v>
      </c>
      <c r="D407">
        <v>89</v>
      </c>
      <c r="E407">
        <v>5</v>
      </c>
      <c r="F407">
        <v>5</v>
      </c>
      <c r="G407">
        <v>112</v>
      </c>
      <c r="H407">
        <v>560</v>
      </c>
      <c r="I407">
        <v>32</v>
      </c>
      <c r="J407">
        <f>[1]Transactions!F407*[1]Transactions!G407</f>
        <v>560</v>
      </c>
      <c r="K407">
        <f>_xlfn.XLOOKUP([1]Transactions!D407,[1]Inventory!$C$2:$C$501,[1]Inventory!$A$2:$A$501)</f>
        <v>10</v>
      </c>
      <c r="L407">
        <f>_xlfn.XLOOKUP(K407,[1]Inventory!$A$2:$A$501,[1]Inventory!$D$2:$D$501)</f>
        <v>340</v>
      </c>
      <c r="M407">
        <f>_xlfn.XLOOKUP(K407,[1]Inventory!$A$2:$A$501,[1]Inventory!$E$2:$E$501)</f>
        <v>121</v>
      </c>
      <c r="N407" t="str">
        <f>_xlfn.XLOOKUP([1]Transactions!C407,[1]Customers!$A$2:$A$201,[1]Customers!$G$2:$G$201)</f>
        <v>Karnataka</v>
      </c>
      <c r="O407" t="str">
        <f>_xlfn.XLOOKUP(C407,[1]Customers!$A$2:$A$201,[1]Customers!$H$2:$H$201)</f>
        <v>South</v>
      </c>
      <c r="P407" t="str">
        <f>_xlfn.XLOOKUP(C407,[1]Customers!$A$2:$A$201,[1]Customers!$F$2:$F$201)</f>
        <v>Bangalore</v>
      </c>
      <c r="Q407">
        <f>_xlfn.XLOOKUP(C407,[1]Customers!$A$2:$A$201,[1]Customers!$D$2:$D$201)</f>
        <v>43</v>
      </c>
      <c r="R407" t="str">
        <f>_xlfn.XLOOKUP([1]Transactions!C407,[1]Customers!$A$2:$A$201,[1]Customers!$C$2:$C$201)</f>
        <v>Male</v>
      </c>
      <c r="S407" t="str">
        <f>_xlfn.XLOOKUP(C407,[1]Customers!$A$2:$A$201,[1]Customers!$B$2:$B$201)</f>
        <v>Customer_37</v>
      </c>
      <c r="T407" t="str">
        <f>_xlfn.XLOOKUP(D407,[1]Products!$A$2:$A$101,[1]Products!$C$2:$C$101)</f>
        <v>Snacks</v>
      </c>
      <c r="U407">
        <f>_xlfn.XLOOKUP(D407,[1]Products!$A$2:$A$101,[1]Products!$E$2:$E$101)</f>
        <v>387</v>
      </c>
      <c r="V407">
        <f>[1]Transactions!F407*[1]Transactions!U407</f>
        <v>1935</v>
      </c>
    </row>
    <row r="408" spans="1:22" x14ac:dyDescent="0.3">
      <c r="A408">
        <v>407</v>
      </c>
      <c r="B408">
        <v>53</v>
      </c>
      <c r="C408">
        <v>132</v>
      </c>
      <c r="D408">
        <v>8</v>
      </c>
      <c r="E408">
        <v>29</v>
      </c>
      <c r="F408">
        <v>1</v>
      </c>
      <c r="G408">
        <v>485</v>
      </c>
      <c r="H408">
        <v>485</v>
      </c>
      <c r="I408">
        <v>29</v>
      </c>
      <c r="J408">
        <f>[1]Transactions!F408*[1]Transactions!G408</f>
        <v>485</v>
      </c>
      <c r="K408">
        <f>_xlfn.XLOOKUP([1]Transactions!D408,[1]Inventory!$C$2:$C$501,[1]Inventory!$A$2:$A$501)</f>
        <v>67</v>
      </c>
      <c r="L408">
        <f>_xlfn.XLOOKUP(K408,[1]Inventory!$A$2:$A$501,[1]Inventory!$D$2:$D$501)</f>
        <v>378</v>
      </c>
      <c r="M408">
        <f>_xlfn.XLOOKUP(K408,[1]Inventory!$A$2:$A$501,[1]Inventory!$E$2:$E$501)</f>
        <v>151</v>
      </c>
      <c r="N408" t="str">
        <f>_xlfn.XLOOKUP([1]Transactions!C408,[1]Customers!$A$2:$A$201,[1]Customers!$G$2:$G$201)</f>
        <v>Tamil Nadu</v>
      </c>
      <c r="O408" t="str">
        <f>_xlfn.XLOOKUP(C408,[1]Customers!$A$2:$A$201,[1]Customers!$H$2:$H$201)</f>
        <v>South</v>
      </c>
      <c r="P408" t="str">
        <f>_xlfn.XLOOKUP(C408,[1]Customers!$A$2:$A$201,[1]Customers!$F$2:$F$201)</f>
        <v>Chennai</v>
      </c>
      <c r="Q408">
        <f>_xlfn.XLOOKUP(C408,[1]Customers!$A$2:$A$201,[1]Customers!$D$2:$D$201)</f>
        <v>28</v>
      </c>
      <c r="R408" t="str">
        <f>_xlfn.XLOOKUP([1]Transactions!C408,[1]Customers!$A$2:$A$201,[1]Customers!$C$2:$C$201)</f>
        <v>Male</v>
      </c>
      <c r="S408" t="str">
        <f>_xlfn.XLOOKUP(C408,[1]Customers!$A$2:$A$201,[1]Customers!$B$2:$B$201)</f>
        <v>Customer_132</v>
      </c>
      <c r="T408" t="str">
        <f>_xlfn.XLOOKUP(D408,[1]Products!$A$2:$A$101,[1]Products!$C$2:$C$101)</f>
        <v>Dairy</v>
      </c>
      <c r="U408">
        <f>_xlfn.XLOOKUP(D408,[1]Products!$A$2:$A$101,[1]Products!$E$2:$E$101)</f>
        <v>293</v>
      </c>
      <c r="V408">
        <f>[1]Transactions!F408*[1]Transactions!U408</f>
        <v>293</v>
      </c>
    </row>
    <row r="409" spans="1:22" x14ac:dyDescent="0.3">
      <c r="A409">
        <v>408</v>
      </c>
      <c r="B409">
        <v>44</v>
      </c>
      <c r="C409">
        <v>66</v>
      </c>
      <c r="D409">
        <v>1</v>
      </c>
      <c r="E409">
        <v>38</v>
      </c>
      <c r="F409">
        <v>4</v>
      </c>
      <c r="G409">
        <v>410</v>
      </c>
      <c r="H409">
        <v>1640</v>
      </c>
      <c r="I409">
        <v>59</v>
      </c>
      <c r="J409">
        <f>[1]Transactions!F409*[1]Transactions!G409</f>
        <v>1640</v>
      </c>
      <c r="K409">
        <f>_xlfn.XLOOKUP([1]Transactions!D409,[1]Inventory!$C$2:$C$501,[1]Inventory!$A$2:$A$501)</f>
        <v>106</v>
      </c>
      <c r="L409">
        <f>_xlfn.XLOOKUP(K409,[1]Inventory!$A$2:$A$501,[1]Inventory!$D$2:$D$501)</f>
        <v>94</v>
      </c>
      <c r="M409">
        <f>_xlfn.XLOOKUP(K409,[1]Inventory!$A$2:$A$501,[1]Inventory!$E$2:$E$501)</f>
        <v>58</v>
      </c>
      <c r="N409" t="str">
        <f>_xlfn.XLOOKUP([1]Transactions!C409,[1]Customers!$A$2:$A$201,[1]Customers!$G$2:$G$201)</f>
        <v>Delhi</v>
      </c>
      <c r="O409" t="str">
        <f>_xlfn.XLOOKUP(C409,[1]Customers!$A$2:$A$201,[1]Customers!$H$2:$H$201)</f>
        <v>North</v>
      </c>
      <c r="P409" t="str">
        <f>_xlfn.XLOOKUP(C409,[1]Customers!$A$2:$A$201,[1]Customers!$F$2:$F$201)</f>
        <v>Delhi</v>
      </c>
      <c r="Q409">
        <f>_xlfn.XLOOKUP(C409,[1]Customers!$A$2:$A$201,[1]Customers!$D$2:$D$201)</f>
        <v>38</v>
      </c>
      <c r="R409" t="str">
        <f>_xlfn.XLOOKUP([1]Transactions!C409,[1]Customers!$A$2:$A$201,[1]Customers!$C$2:$C$201)</f>
        <v>Female</v>
      </c>
      <c r="S409" t="str">
        <f>_xlfn.XLOOKUP(C409,[1]Customers!$A$2:$A$201,[1]Customers!$B$2:$B$201)</f>
        <v>Customer_66</v>
      </c>
      <c r="T409" t="str">
        <f>_xlfn.XLOOKUP(D409,[1]Products!$A$2:$A$101,[1]Products!$C$2:$C$101)</f>
        <v>Snacks</v>
      </c>
      <c r="U409">
        <f>_xlfn.XLOOKUP(D409,[1]Products!$A$2:$A$101,[1]Products!$E$2:$E$101)</f>
        <v>68</v>
      </c>
      <c r="V409">
        <f>[1]Transactions!F409*[1]Transactions!U409</f>
        <v>272</v>
      </c>
    </row>
    <row r="410" spans="1:22" x14ac:dyDescent="0.3">
      <c r="A410">
        <v>409</v>
      </c>
      <c r="B410">
        <v>70</v>
      </c>
      <c r="C410">
        <v>110</v>
      </c>
      <c r="D410">
        <v>24</v>
      </c>
      <c r="E410">
        <v>18</v>
      </c>
      <c r="F410">
        <v>3</v>
      </c>
      <c r="G410">
        <v>37</v>
      </c>
      <c r="H410">
        <v>111</v>
      </c>
      <c r="I410">
        <v>48</v>
      </c>
      <c r="J410">
        <f>[1]Transactions!F410*[1]Transactions!G410</f>
        <v>111</v>
      </c>
      <c r="K410">
        <f>_xlfn.XLOOKUP([1]Transactions!D410,[1]Inventory!$C$2:$C$501,[1]Inventory!$A$2:$A$501)</f>
        <v>111</v>
      </c>
      <c r="L410">
        <f>_xlfn.XLOOKUP(K410,[1]Inventory!$A$2:$A$501,[1]Inventory!$D$2:$D$501)</f>
        <v>237</v>
      </c>
      <c r="M410">
        <f>_xlfn.XLOOKUP(K410,[1]Inventory!$A$2:$A$501,[1]Inventory!$E$2:$E$501)</f>
        <v>154</v>
      </c>
      <c r="N410" t="str">
        <f>_xlfn.XLOOKUP([1]Transactions!C410,[1]Customers!$A$2:$A$201,[1]Customers!$G$2:$G$201)</f>
        <v>Karnataka</v>
      </c>
      <c r="O410" t="str">
        <f>_xlfn.XLOOKUP(C410,[1]Customers!$A$2:$A$201,[1]Customers!$H$2:$H$201)</f>
        <v>South</v>
      </c>
      <c r="P410" t="str">
        <f>_xlfn.XLOOKUP(C410,[1]Customers!$A$2:$A$201,[1]Customers!$F$2:$F$201)</f>
        <v>Bangalore</v>
      </c>
      <c r="Q410">
        <f>_xlfn.XLOOKUP(C410,[1]Customers!$A$2:$A$201,[1]Customers!$D$2:$D$201)</f>
        <v>51</v>
      </c>
      <c r="R410" t="str">
        <f>_xlfn.XLOOKUP([1]Transactions!C410,[1]Customers!$A$2:$A$201,[1]Customers!$C$2:$C$201)</f>
        <v>Male</v>
      </c>
      <c r="S410" t="str">
        <f>_xlfn.XLOOKUP(C410,[1]Customers!$A$2:$A$201,[1]Customers!$B$2:$B$201)</f>
        <v>Customer_110</v>
      </c>
      <c r="T410" t="str">
        <f>_xlfn.XLOOKUP(D410,[1]Products!$A$2:$A$101,[1]Products!$C$2:$C$101)</f>
        <v>Personal Care</v>
      </c>
      <c r="U410">
        <f>_xlfn.XLOOKUP(D410,[1]Products!$A$2:$A$101,[1]Products!$E$2:$E$101)</f>
        <v>435</v>
      </c>
      <c r="V410">
        <f>[1]Transactions!F410*[1]Transactions!U410</f>
        <v>1305</v>
      </c>
    </row>
    <row r="411" spans="1:22" x14ac:dyDescent="0.3">
      <c r="A411">
        <v>410</v>
      </c>
      <c r="B411">
        <v>96</v>
      </c>
      <c r="C411">
        <v>32</v>
      </c>
      <c r="D411">
        <v>52</v>
      </c>
      <c r="E411">
        <v>7</v>
      </c>
      <c r="F411">
        <v>5</v>
      </c>
      <c r="G411">
        <v>146</v>
      </c>
      <c r="H411">
        <v>730</v>
      </c>
      <c r="I411">
        <v>36</v>
      </c>
      <c r="J411">
        <f>[1]Transactions!F411*[1]Transactions!G411</f>
        <v>730</v>
      </c>
      <c r="K411">
        <f>_xlfn.XLOOKUP([1]Transactions!D411,[1]Inventory!$C$2:$C$501,[1]Inventory!$A$2:$A$501)</f>
        <v>2</v>
      </c>
      <c r="L411">
        <f>_xlfn.XLOOKUP(K411,[1]Inventory!$A$2:$A$501,[1]Inventory!$D$2:$D$501)</f>
        <v>420</v>
      </c>
      <c r="M411">
        <f>_xlfn.XLOOKUP(K411,[1]Inventory!$A$2:$A$501,[1]Inventory!$E$2:$E$501)</f>
        <v>29</v>
      </c>
      <c r="N411" t="str">
        <f>_xlfn.XLOOKUP([1]Transactions!C411,[1]Customers!$A$2:$A$201,[1]Customers!$G$2:$G$201)</f>
        <v>Gujarat</v>
      </c>
      <c r="O411" t="str">
        <f>_xlfn.XLOOKUP(C411,[1]Customers!$A$2:$A$201,[1]Customers!$H$2:$H$201)</f>
        <v>West</v>
      </c>
      <c r="P411" t="str">
        <f>_xlfn.XLOOKUP(C411,[1]Customers!$A$2:$A$201,[1]Customers!$F$2:$F$201)</f>
        <v>Ahmedabad</v>
      </c>
      <c r="Q411">
        <f>_xlfn.XLOOKUP(C411,[1]Customers!$A$2:$A$201,[1]Customers!$D$2:$D$201)</f>
        <v>46</v>
      </c>
      <c r="R411" t="str">
        <f>_xlfn.XLOOKUP([1]Transactions!C411,[1]Customers!$A$2:$A$201,[1]Customers!$C$2:$C$201)</f>
        <v>Male</v>
      </c>
      <c r="S411" t="str">
        <f>_xlfn.XLOOKUP(C411,[1]Customers!$A$2:$A$201,[1]Customers!$B$2:$B$201)</f>
        <v>Customer_32</v>
      </c>
      <c r="T411" t="str">
        <f>_xlfn.XLOOKUP(D411,[1]Products!$A$2:$A$101,[1]Products!$C$2:$C$101)</f>
        <v>Dairy</v>
      </c>
      <c r="U411">
        <f>_xlfn.XLOOKUP(D411,[1]Products!$A$2:$A$101,[1]Products!$E$2:$E$101)</f>
        <v>257</v>
      </c>
      <c r="V411">
        <f>[1]Transactions!F411*[1]Transactions!U411</f>
        <v>1285</v>
      </c>
    </row>
    <row r="412" spans="1:22" x14ac:dyDescent="0.3">
      <c r="A412">
        <v>411</v>
      </c>
      <c r="B412">
        <v>55</v>
      </c>
      <c r="C412">
        <v>180</v>
      </c>
      <c r="D412">
        <v>8</v>
      </c>
      <c r="E412">
        <v>18</v>
      </c>
      <c r="F412">
        <v>5</v>
      </c>
      <c r="G412">
        <v>59</v>
      </c>
      <c r="H412">
        <v>295</v>
      </c>
      <c r="I412">
        <v>17</v>
      </c>
      <c r="J412">
        <f>[1]Transactions!F412*[1]Transactions!G412</f>
        <v>295</v>
      </c>
      <c r="K412">
        <f>_xlfn.XLOOKUP([1]Transactions!D412,[1]Inventory!$C$2:$C$501,[1]Inventory!$A$2:$A$501)</f>
        <v>67</v>
      </c>
      <c r="L412">
        <f>_xlfn.XLOOKUP(K412,[1]Inventory!$A$2:$A$501,[1]Inventory!$D$2:$D$501)</f>
        <v>378</v>
      </c>
      <c r="M412">
        <f>_xlfn.XLOOKUP(K412,[1]Inventory!$A$2:$A$501,[1]Inventory!$E$2:$E$501)</f>
        <v>151</v>
      </c>
      <c r="N412" t="str">
        <f>_xlfn.XLOOKUP([1]Transactions!C412,[1]Customers!$A$2:$A$201,[1]Customers!$G$2:$G$201)</f>
        <v>Delhi</v>
      </c>
      <c r="O412" t="str">
        <f>_xlfn.XLOOKUP(C412,[1]Customers!$A$2:$A$201,[1]Customers!$H$2:$H$201)</f>
        <v>North</v>
      </c>
      <c r="P412" t="str">
        <f>_xlfn.XLOOKUP(C412,[1]Customers!$A$2:$A$201,[1]Customers!$F$2:$F$201)</f>
        <v>Delhi</v>
      </c>
      <c r="Q412">
        <f>_xlfn.XLOOKUP(C412,[1]Customers!$A$2:$A$201,[1]Customers!$D$2:$D$201)</f>
        <v>30</v>
      </c>
      <c r="R412" t="str">
        <f>_xlfn.XLOOKUP([1]Transactions!C412,[1]Customers!$A$2:$A$201,[1]Customers!$C$2:$C$201)</f>
        <v>Female</v>
      </c>
      <c r="S412" t="str">
        <f>_xlfn.XLOOKUP(C412,[1]Customers!$A$2:$A$201,[1]Customers!$B$2:$B$201)</f>
        <v>Customer_180</v>
      </c>
      <c r="T412" t="str">
        <f>_xlfn.XLOOKUP(D412,[1]Products!$A$2:$A$101,[1]Products!$C$2:$C$101)</f>
        <v>Dairy</v>
      </c>
      <c r="U412">
        <f>_xlfn.XLOOKUP(D412,[1]Products!$A$2:$A$101,[1]Products!$E$2:$E$101)</f>
        <v>293</v>
      </c>
      <c r="V412">
        <f>[1]Transactions!F412*[1]Transactions!U412</f>
        <v>1465</v>
      </c>
    </row>
    <row r="413" spans="1:22" x14ac:dyDescent="0.3">
      <c r="A413">
        <v>412</v>
      </c>
      <c r="B413">
        <v>165</v>
      </c>
      <c r="C413">
        <v>150</v>
      </c>
      <c r="D413">
        <v>21</v>
      </c>
      <c r="E413">
        <v>25</v>
      </c>
      <c r="F413">
        <v>4</v>
      </c>
      <c r="G413">
        <v>331</v>
      </c>
      <c r="H413">
        <v>1324</v>
      </c>
      <c r="I413">
        <v>28</v>
      </c>
      <c r="J413">
        <f>[1]Transactions!F413*[1]Transactions!G413</f>
        <v>1324</v>
      </c>
      <c r="K413">
        <f>_xlfn.XLOOKUP([1]Transactions!D413,[1]Inventory!$C$2:$C$501,[1]Inventory!$A$2:$A$501)</f>
        <v>126</v>
      </c>
      <c r="L413">
        <f>_xlfn.XLOOKUP(K413,[1]Inventory!$A$2:$A$501,[1]Inventory!$D$2:$D$501)</f>
        <v>52</v>
      </c>
      <c r="M413">
        <f>_xlfn.XLOOKUP(K413,[1]Inventory!$A$2:$A$501,[1]Inventory!$E$2:$E$501)</f>
        <v>139</v>
      </c>
      <c r="N413" t="str">
        <f>_xlfn.XLOOKUP([1]Transactions!C413,[1]Customers!$A$2:$A$201,[1]Customers!$G$2:$G$201)</f>
        <v>Rajasthan</v>
      </c>
      <c r="O413" t="str">
        <f>_xlfn.XLOOKUP(C413,[1]Customers!$A$2:$A$201,[1]Customers!$H$2:$H$201)</f>
        <v>North</v>
      </c>
      <c r="P413" t="str">
        <f>_xlfn.XLOOKUP(C413,[1]Customers!$A$2:$A$201,[1]Customers!$F$2:$F$201)</f>
        <v>Jaipur</v>
      </c>
      <c r="Q413">
        <f>_xlfn.XLOOKUP(C413,[1]Customers!$A$2:$A$201,[1]Customers!$D$2:$D$201)</f>
        <v>26</v>
      </c>
      <c r="R413" t="str">
        <f>_xlfn.XLOOKUP([1]Transactions!C413,[1]Customers!$A$2:$A$201,[1]Customers!$C$2:$C$201)</f>
        <v>Female</v>
      </c>
      <c r="S413" t="str">
        <f>_xlfn.XLOOKUP(C413,[1]Customers!$A$2:$A$201,[1]Customers!$B$2:$B$201)</f>
        <v>Customer_150</v>
      </c>
      <c r="T413" t="str">
        <f>_xlfn.XLOOKUP(D413,[1]Products!$A$2:$A$101,[1]Products!$C$2:$C$101)</f>
        <v>Beverages</v>
      </c>
      <c r="U413">
        <f>_xlfn.XLOOKUP(D413,[1]Products!$A$2:$A$101,[1]Products!$E$2:$E$101)</f>
        <v>327</v>
      </c>
      <c r="V413">
        <f>[1]Transactions!F413*[1]Transactions!U413</f>
        <v>1308</v>
      </c>
    </row>
    <row r="414" spans="1:22" x14ac:dyDescent="0.3">
      <c r="A414">
        <v>413</v>
      </c>
      <c r="B414">
        <v>62</v>
      </c>
      <c r="C414">
        <v>152</v>
      </c>
      <c r="D414">
        <v>86</v>
      </c>
      <c r="E414">
        <v>5</v>
      </c>
      <c r="F414">
        <v>1</v>
      </c>
      <c r="G414">
        <v>477</v>
      </c>
      <c r="H414">
        <v>477</v>
      </c>
      <c r="I414">
        <v>12</v>
      </c>
      <c r="J414">
        <f>[1]Transactions!F414*[1]Transactions!G414</f>
        <v>477</v>
      </c>
      <c r="K414">
        <f>_xlfn.XLOOKUP([1]Transactions!D414,[1]Inventory!$C$2:$C$501,[1]Inventory!$A$2:$A$501)</f>
        <v>84</v>
      </c>
      <c r="L414">
        <f>_xlfn.XLOOKUP(K414,[1]Inventory!$A$2:$A$501,[1]Inventory!$D$2:$D$501)</f>
        <v>450</v>
      </c>
      <c r="M414">
        <f>_xlfn.XLOOKUP(K414,[1]Inventory!$A$2:$A$501,[1]Inventory!$E$2:$E$501)</f>
        <v>85</v>
      </c>
      <c r="N414" t="str">
        <f>_xlfn.XLOOKUP([1]Transactions!C414,[1]Customers!$A$2:$A$201,[1]Customers!$G$2:$G$201)</f>
        <v>Delhi</v>
      </c>
      <c r="O414" t="str">
        <f>_xlfn.XLOOKUP(C414,[1]Customers!$A$2:$A$201,[1]Customers!$H$2:$H$201)</f>
        <v>North</v>
      </c>
      <c r="P414" t="str">
        <f>_xlfn.XLOOKUP(C414,[1]Customers!$A$2:$A$201,[1]Customers!$F$2:$F$201)</f>
        <v>Delhi</v>
      </c>
      <c r="Q414">
        <f>_xlfn.XLOOKUP(C414,[1]Customers!$A$2:$A$201,[1]Customers!$D$2:$D$201)</f>
        <v>28</v>
      </c>
      <c r="R414" t="str">
        <f>_xlfn.XLOOKUP([1]Transactions!C414,[1]Customers!$A$2:$A$201,[1]Customers!$C$2:$C$201)</f>
        <v>Male</v>
      </c>
      <c r="S414" t="str">
        <f>_xlfn.XLOOKUP(C414,[1]Customers!$A$2:$A$201,[1]Customers!$B$2:$B$201)</f>
        <v>Customer_152</v>
      </c>
      <c r="T414" t="str">
        <f>_xlfn.XLOOKUP(D414,[1]Products!$A$2:$A$101,[1]Products!$C$2:$C$101)</f>
        <v>Snacks</v>
      </c>
      <c r="U414">
        <f>_xlfn.XLOOKUP(D414,[1]Products!$A$2:$A$101,[1]Products!$E$2:$E$101)</f>
        <v>405</v>
      </c>
      <c r="V414">
        <f>[1]Transactions!F414*[1]Transactions!U414</f>
        <v>405</v>
      </c>
    </row>
    <row r="415" spans="1:22" x14ac:dyDescent="0.3">
      <c r="A415">
        <v>414</v>
      </c>
      <c r="B415">
        <v>125</v>
      </c>
      <c r="C415">
        <v>58</v>
      </c>
      <c r="D415">
        <v>30</v>
      </c>
      <c r="E415">
        <v>43</v>
      </c>
      <c r="F415">
        <v>5</v>
      </c>
      <c r="G415">
        <v>371</v>
      </c>
      <c r="H415">
        <v>1855</v>
      </c>
      <c r="I415">
        <v>33</v>
      </c>
      <c r="J415">
        <f>[1]Transactions!F415*[1]Transactions!G415</f>
        <v>1855</v>
      </c>
      <c r="K415">
        <f>_xlfn.XLOOKUP([1]Transactions!D415,[1]Inventory!$C$2:$C$501,[1]Inventory!$A$2:$A$501)</f>
        <v>68</v>
      </c>
      <c r="L415">
        <f>_xlfn.XLOOKUP(K415,[1]Inventory!$A$2:$A$501,[1]Inventory!$D$2:$D$501)</f>
        <v>179</v>
      </c>
      <c r="M415">
        <f>_xlfn.XLOOKUP(K415,[1]Inventory!$A$2:$A$501,[1]Inventory!$E$2:$E$501)</f>
        <v>103</v>
      </c>
      <c r="N415" t="str">
        <f>_xlfn.XLOOKUP([1]Transactions!C415,[1]Customers!$A$2:$A$201,[1]Customers!$G$2:$G$201)</f>
        <v>Gujarat</v>
      </c>
      <c r="O415" t="str">
        <f>_xlfn.XLOOKUP(C415,[1]Customers!$A$2:$A$201,[1]Customers!$H$2:$H$201)</f>
        <v>West</v>
      </c>
      <c r="P415" t="str">
        <f>_xlfn.XLOOKUP(C415,[1]Customers!$A$2:$A$201,[1]Customers!$F$2:$F$201)</f>
        <v>Ahmedabad</v>
      </c>
      <c r="Q415">
        <f>_xlfn.XLOOKUP(C415,[1]Customers!$A$2:$A$201,[1]Customers!$D$2:$D$201)</f>
        <v>34</v>
      </c>
      <c r="R415" t="str">
        <f>_xlfn.XLOOKUP([1]Transactions!C415,[1]Customers!$A$2:$A$201,[1]Customers!$C$2:$C$201)</f>
        <v>Male</v>
      </c>
      <c r="S415" t="str">
        <f>_xlfn.XLOOKUP(C415,[1]Customers!$A$2:$A$201,[1]Customers!$B$2:$B$201)</f>
        <v>Customer_58</v>
      </c>
      <c r="T415" t="str">
        <f>_xlfn.XLOOKUP(D415,[1]Products!$A$2:$A$101,[1]Products!$C$2:$C$101)</f>
        <v>Beverages</v>
      </c>
      <c r="U415">
        <f>_xlfn.XLOOKUP(D415,[1]Products!$A$2:$A$101,[1]Products!$E$2:$E$101)</f>
        <v>230</v>
      </c>
      <c r="V415">
        <f>[1]Transactions!F415*[1]Transactions!U415</f>
        <v>1150</v>
      </c>
    </row>
    <row r="416" spans="1:22" x14ac:dyDescent="0.3">
      <c r="A416">
        <v>415</v>
      </c>
      <c r="B416">
        <v>144</v>
      </c>
      <c r="C416">
        <v>151</v>
      </c>
      <c r="D416">
        <v>21</v>
      </c>
      <c r="E416">
        <v>2</v>
      </c>
      <c r="F416">
        <v>1</v>
      </c>
      <c r="G416">
        <v>370</v>
      </c>
      <c r="H416">
        <v>370</v>
      </c>
      <c r="I416">
        <v>13</v>
      </c>
      <c r="J416">
        <f>[1]Transactions!F416*[1]Transactions!G416</f>
        <v>370</v>
      </c>
      <c r="K416">
        <f>_xlfn.XLOOKUP([1]Transactions!D416,[1]Inventory!$C$2:$C$501,[1]Inventory!$A$2:$A$501)</f>
        <v>126</v>
      </c>
      <c r="L416">
        <f>_xlfn.XLOOKUP(K416,[1]Inventory!$A$2:$A$501,[1]Inventory!$D$2:$D$501)</f>
        <v>52</v>
      </c>
      <c r="M416">
        <f>_xlfn.XLOOKUP(K416,[1]Inventory!$A$2:$A$501,[1]Inventory!$E$2:$E$501)</f>
        <v>139</v>
      </c>
      <c r="N416" t="str">
        <f>_xlfn.XLOOKUP([1]Transactions!C416,[1]Customers!$A$2:$A$201,[1]Customers!$G$2:$G$201)</f>
        <v>Delhi</v>
      </c>
      <c r="O416" t="str">
        <f>_xlfn.XLOOKUP(C416,[1]Customers!$A$2:$A$201,[1]Customers!$H$2:$H$201)</f>
        <v>North</v>
      </c>
      <c r="P416" t="str">
        <f>_xlfn.XLOOKUP(C416,[1]Customers!$A$2:$A$201,[1]Customers!$F$2:$F$201)</f>
        <v>Delhi</v>
      </c>
      <c r="Q416">
        <f>_xlfn.XLOOKUP(C416,[1]Customers!$A$2:$A$201,[1]Customers!$D$2:$D$201)</f>
        <v>26</v>
      </c>
      <c r="R416" t="str">
        <f>_xlfn.XLOOKUP([1]Transactions!C416,[1]Customers!$A$2:$A$201,[1]Customers!$C$2:$C$201)</f>
        <v>Male</v>
      </c>
      <c r="S416" t="str">
        <f>_xlfn.XLOOKUP(C416,[1]Customers!$A$2:$A$201,[1]Customers!$B$2:$B$201)</f>
        <v>Customer_151</v>
      </c>
      <c r="T416" t="str">
        <f>_xlfn.XLOOKUP(D416,[1]Products!$A$2:$A$101,[1]Products!$C$2:$C$101)</f>
        <v>Beverages</v>
      </c>
      <c r="U416">
        <f>_xlfn.XLOOKUP(D416,[1]Products!$A$2:$A$101,[1]Products!$E$2:$E$101)</f>
        <v>327</v>
      </c>
      <c r="V416">
        <f>[1]Transactions!F416*[1]Transactions!U416</f>
        <v>327</v>
      </c>
    </row>
    <row r="417" spans="1:22" x14ac:dyDescent="0.3">
      <c r="A417">
        <v>416</v>
      </c>
      <c r="B417">
        <v>119</v>
      </c>
      <c r="C417">
        <v>113</v>
      </c>
      <c r="D417">
        <v>32</v>
      </c>
      <c r="E417">
        <v>11</v>
      </c>
      <c r="F417">
        <v>3</v>
      </c>
      <c r="G417">
        <v>203</v>
      </c>
      <c r="H417">
        <v>609</v>
      </c>
      <c r="I417">
        <v>25</v>
      </c>
      <c r="J417">
        <f>[1]Transactions!F417*[1]Transactions!G417</f>
        <v>609</v>
      </c>
      <c r="K417">
        <f>_xlfn.XLOOKUP([1]Transactions!D417,[1]Inventory!$C$2:$C$501,[1]Inventory!$A$2:$A$501)</f>
        <v>27</v>
      </c>
      <c r="L417">
        <f>_xlfn.XLOOKUP(K417,[1]Inventory!$A$2:$A$501,[1]Inventory!$D$2:$D$501)</f>
        <v>76</v>
      </c>
      <c r="M417">
        <f>_xlfn.XLOOKUP(K417,[1]Inventory!$A$2:$A$501,[1]Inventory!$E$2:$E$501)</f>
        <v>128</v>
      </c>
      <c r="N417" t="str">
        <f>_xlfn.XLOOKUP([1]Transactions!C417,[1]Customers!$A$2:$A$201,[1]Customers!$G$2:$G$201)</f>
        <v>Maharashtra</v>
      </c>
      <c r="O417" t="str">
        <f>_xlfn.XLOOKUP(C417,[1]Customers!$A$2:$A$201,[1]Customers!$H$2:$H$201)</f>
        <v>West</v>
      </c>
      <c r="P417" t="str">
        <f>_xlfn.XLOOKUP(C417,[1]Customers!$A$2:$A$201,[1]Customers!$F$2:$F$201)</f>
        <v>Mumbai</v>
      </c>
      <c r="Q417">
        <f>_xlfn.XLOOKUP(C417,[1]Customers!$A$2:$A$201,[1]Customers!$D$2:$D$201)</f>
        <v>36</v>
      </c>
      <c r="R417" t="str">
        <f>_xlfn.XLOOKUP([1]Transactions!C417,[1]Customers!$A$2:$A$201,[1]Customers!$C$2:$C$201)</f>
        <v>Male</v>
      </c>
      <c r="S417" t="str">
        <f>_xlfn.XLOOKUP(C417,[1]Customers!$A$2:$A$201,[1]Customers!$B$2:$B$201)</f>
        <v>Customer_113</v>
      </c>
      <c r="T417" t="str">
        <f>_xlfn.XLOOKUP(D417,[1]Products!$A$2:$A$101,[1]Products!$C$2:$C$101)</f>
        <v>Snacks</v>
      </c>
      <c r="U417">
        <f>_xlfn.XLOOKUP(D417,[1]Products!$A$2:$A$101,[1]Products!$E$2:$E$101)</f>
        <v>366</v>
      </c>
      <c r="V417">
        <f>[1]Transactions!F417*[1]Transactions!U417</f>
        <v>1098</v>
      </c>
    </row>
    <row r="418" spans="1:22" x14ac:dyDescent="0.3">
      <c r="A418">
        <v>417</v>
      </c>
      <c r="B418">
        <v>92</v>
      </c>
      <c r="C418">
        <v>176</v>
      </c>
      <c r="D418">
        <v>66</v>
      </c>
      <c r="E418">
        <v>10</v>
      </c>
      <c r="F418">
        <v>4</v>
      </c>
      <c r="G418">
        <v>22</v>
      </c>
      <c r="H418">
        <v>88</v>
      </c>
      <c r="I418">
        <v>60</v>
      </c>
      <c r="J418">
        <f>[1]Transactions!F418*[1]Transactions!G418</f>
        <v>88</v>
      </c>
      <c r="K418">
        <f>_xlfn.XLOOKUP([1]Transactions!D418,[1]Inventory!$C$2:$C$501,[1]Inventory!$A$2:$A$501)</f>
        <v>76</v>
      </c>
      <c r="L418">
        <f>_xlfn.XLOOKUP(K418,[1]Inventory!$A$2:$A$501,[1]Inventory!$D$2:$D$501)</f>
        <v>210</v>
      </c>
      <c r="M418">
        <f>_xlfn.XLOOKUP(K418,[1]Inventory!$A$2:$A$501,[1]Inventory!$E$2:$E$501)</f>
        <v>178</v>
      </c>
      <c r="N418" t="str">
        <f>_xlfn.XLOOKUP([1]Transactions!C418,[1]Customers!$A$2:$A$201,[1]Customers!$G$2:$G$201)</f>
        <v>Gujarat</v>
      </c>
      <c r="O418" t="str">
        <f>_xlfn.XLOOKUP(C418,[1]Customers!$A$2:$A$201,[1]Customers!$H$2:$H$201)</f>
        <v>West</v>
      </c>
      <c r="P418" t="str">
        <f>_xlfn.XLOOKUP(C418,[1]Customers!$A$2:$A$201,[1]Customers!$F$2:$F$201)</f>
        <v>Ahmedabad</v>
      </c>
      <c r="Q418">
        <f>_xlfn.XLOOKUP(C418,[1]Customers!$A$2:$A$201,[1]Customers!$D$2:$D$201)</f>
        <v>45</v>
      </c>
      <c r="R418" t="str">
        <f>_xlfn.XLOOKUP([1]Transactions!C418,[1]Customers!$A$2:$A$201,[1]Customers!$C$2:$C$201)</f>
        <v>Female</v>
      </c>
      <c r="S418" t="str">
        <f>_xlfn.XLOOKUP(C418,[1]Customers!$A$2:$A$201,[1]Customers!$B$2:$B$201)</f>
        <v>Customer_176</v>
      </c>
      <c r="T418" t="str">
        <f>_xlfn.XLOOKUP(D418,[1]Products!$A$2:$A$101,[1]Products!$C$2:$C$101)</f>
        <v>Beverages</v>
      </c>
      <c r="U418">
        <f>_xlfn.XLOOKUP(D418,[1]Products!$A$2:$A$101,[1]Products!$E$2:$E$101)</f>
        <v>452</v>
      </c>
      <c r="V418">
        <f>[1]Transactions!F418*[1]Transactions!U418</f>
        <v>1808</v>
      </c>
    </row>
    <row r="419" spans="1:22" x14ac:dyDescent="0.3">
      <c r="A419">
        <v>418</v>
      </c>
      <c r="B419">
        <v>70</v>
      </c>
      <c r="C419">
        <v>147</v>
      </c>
      <c r="D419">
        <v>59</v>
      </c>
      <c r="E419">
        <v>47</v>
      </c>
      <c r="F419">
        <v>1</v>
      </c>
      <c r="G419">
        <v>402</v>
      </c>
      <c r="H419">
        <v>402</v>
      </c>
      <c r="I419">
        <v>29</v>
      </c>
      <c r="J419">
        <f>[1]Transactions!F419*[1]Transactions!G419</f>
        <v>402</v>
      </c>
      <c r="K419">
        <f>_xlfn.XLOOKUP([1]Transactions!D419,[1]Inventory!$C$2:$C$501,[1]Inventory!$A$2:$A$501)</f>
        <v>148</v>
      </c>
      <c r="L419">
        <f>_xlfn.XLOOKUP(K419,[1]Inventory!$A$2:$A$501,[1]Inventory!$D$2:$D$501)</f>
        <v>410</v>
      </c>
      <c r="M419">
        <f>_xlfn.XLOOKUP(K419,[1]Inventory!$A$2:$A$501,[1]Inventory!$E$2:$E$501)</f>
        <v>25</v>
      </c>
      <c r="N419" t="str">
        <f>_xlfn.XLOOKUP([1]Transactions!C419,[1]Customers!$A$2:$A$201,[1]Customers!$G$2:$G$201)</f>
        <v>West Bengal</v>
      </c>
      <c r="O419" t="str">
        <f>_xlfn.XLOOKUP(C419,[1]Customers!$A$2:$A$201,[1]Customers!$H$2:$H$201)</f>
        <v>East</v>
      </c>
      <c r="P419" t="str">
        <f>_xlfn.XLOOKUP(C419,[1]Customers!$A$2:$A$201,[1]Customers!$F$2:$F$201)</f>
        <v>Kolkata</v>
      </c>
      <c r="Q419">
        <f>_xlfn.XLOOKUP(C419,[1]Customers!$A$2:$A$201,[1]Customers!$D$2:$D$201)</f>
        <v>43</v>
      </c>
      <c r="R419" t="str">
        <f>_xlfn.XLOOKUP([1]Transactions!C419,[1]Customers!$A$2:$A$201,[1]Customers!$C$2:$C$201)</f>
        <v>Female</v>
      </c>
      <c r="S419" t="str">
        <f>_xlfn.XLOOKUP(C419,[1]Customers!$A$2:$A$201,[1]Customers!$B$2:$B$201)</f>
        <v>Customer_147</v>
      </c>
      <c r="T419" t="str">
        <f>_xlfn.XLOOKUP(D419,[1]Products!$A$2:$A$101,[1]Products!$C$2:$C$101)</f>
        <v>Dairy</v>
      </c>
      <c r="U419">
        <f>_xlfn.XLOOKUP(D419,[1]Products!$A$2:$A$101,[1]Products!$E$2:$E$101)</f>
        <v>183</v>
      </c>
      <c r="V419">
        <f>[1]Transactions!F419*[1]Transactions!U419</f>
        <v>183</v>
      </c>
    </row>
    <row r="420" spans="1:22" x14ac:dyDescent="0.3">
      <c r="A420">
        <v>419</v>
      </c>
      <c r="B420">
        <v>124</v>
      </c>
      <c r="C420">
        <v>32</v>
      </c>
      <c r="D420">
        <v>2</v>
      </c>
      <c r="E420">
        <v>47</v>
      </c>
      <c r="F420">
        <v>2</v>
      </c>
      <c r="G420">
        <v>146</v>
      </c>
      <c r="H420">
        <v>292</v>
      </c>
      <c r="I420">
        <v>52</v>
      </c>
      <c r="J420">
        <f>[1]Transactions!F420*[1]Transactions!G420</f>
        <v>292</v>
      </c>
      <c r="K420">
        <f>_xlfn.XLOOKUP([1]Transactions!D420,[1]Inventory!$C$2:$C$501,[1]Inventory!$A$2:$A$501)</f>
        <v>49</v>
      </c>
      <c r="L420">
        <f>_xlfn.XLOOKUP(K420,[1]Inventory!$A$2:$A$501,[1]Inventory!$D$2:$D$501)</f>
        <v>337</v>
      </c>
      <c r="M420">
        <f>_xlfn.XLOOKUP(K420,[1]Inventory!$A$2:$A$501,[1]Inventory!$E$2:$E$501)</f>
        <v>6</v>
      </c>
      <c r="N420" t="str">
        <f>_xlfn.XLOOKUP([1]Transactions!C420,[1]Customers!$A$2:$A$201,[1]Customers!$G$2:$G$201)</f>
        <v>Gujarat</v>
      </c>
      <c r="O420" t="str">
        <f>_xlfn.XLOOKUP(C420,[1]Customers!$A$2:$A$201,[1]Customers!$H$2:$H$201)</f>
        <v>West</v>
      </c>
      <c r="P420" t="str">
        <f>_xlfn.XLOOKUP(C420,[1]Customers!$A$2:$A$201,[1]Customers!$F$2:$F$201)</f>
        <v>Ahmedabad</v>
      </c>
      <c r="Q420">
        <f>_xlfn.XLOOKUP(C420,[1]Customers!$A$2:$A$201,[1]Customers!$D$2:$D$201)</f>
        <v>46</v>
      </c>
      <c r="R420" t="str">
        <f>_xlfn.XLOOKUP([1]Transactions!C420,[1]Customers!$A$2:$A$201,[1]Customers!$C$2:$C$201)</f>
        <v>Male</v>
      </c>
      <c r="S420" t="str">
        <f>_xlfn.XLOOKUP(C420,[1]Customers!$A$2:$A$201,[1]Customers!$B$2:$B$201)</f>
        <v>Customer_32</v>
      </c>
      <c r="T420" t="str">
        <f>_xlfn.XLOOKUP(D420,[1]Products!$A$2:$A$101,[1]Products!$C$2:$C$101)</f>
        <v>Dairy</v>
      </c>
      <c r="U420">
        <f>_xlfn.XLOOKUP(D420,[1]Products!$A$2:$A$101,[1]Products!$E$2:$E$101)</f>
        <v>223</v>
      </c>
      <c r="V420">
        <f>[1]Transactions!F420*[1]Transactions!U420</f>
        <v>446</v>
      </c>
    </row>
    <row r="421" spans="1:22" x14ac:dyDescent="0.3">
      <c r="A421">
        <v>420</v>
      </c>
      <c r="B421">
        <v>78</v>
      </c>
      <c r="C421">
        <v>160</v>
      </c>
      <c r="D421">
        <v>30</v>
      </c>
      <c r="E421">
        <v>13</v>
      </c>
      <c r="F421">
        <v>2</v>
      </c>
      <c r="G421">
        <v>186</v>
      </c>
      <c r="H421">
        <v>372</v>
      </c>
      <c r="I421">
        <v>20</v>
      </c>
      <c r="J421">
        <f>[1]Transactions!F421*[1]Transactions!G421</f>
        <v>372</v>
      </c>
      <c r="K421">
        <f>_xlfn.XLOOKUP([1]Transactions!D421,[1]Inventory!$C$2:$C$501,[1]Inventory!$A$2:$A$501)</f>
        <v>68</v>
      </c>
      <c r="L421">
        <f>_xlfn.XLOOKUP(K421,[1]Inventory!$A$2:$A$501,[1]Inventory!$D$2:$D$501)</f>
        <v>179</v>
      </c>
      <c r="M421">
        <f>_xlfn.XLOOKUP(K421,[1]Inventory!$A$2:$A$501,[1]Inventory!$E$2:$E$501)</f>
        <v>103</v>
      </c>
      <c r="N421" t="str">
        <f>_xlfn.XLOOKUP([1]Transactions!C421,[1]Customers!$A$2:$A$201,[1]Customers!$G$2:$G$201)</f>
        <v>Gujarat</v>
      </c>
      <c r="O421" t="str">
        <f>_xlfn.XLOOKUP(C421,[1]Customers!$A$2:$A$201,[1]Customers!$H$2:$H$201)</f>
        <v>West</v>
      </c>
      <c r="P421" t="str">
        <f>_xlfn.XLOOKUP(C421,[1]Customers!$A$2:$A$201,[1]Customers!$F$2:$F$201)</f>
        <v>Ahmedabad</v>
      </c>
      <c r="Q421">
        <f>_xlfn.XLOOKUP(C421,[1]Customers!$A$2:$A$201,[1]Customers!$D$2:$D$201)</f>
        <v>25</v>
      </c>
      <c r="R421" t="str">
        <f>_xlfn.XLOOKUP([1]Transactions!C421,[1]Customers!$A$2:$A$201,[1]Customers!$C$2:$C$201)</f>
        <v>Female</v>
      </c>
      <c r="S421" t="str">
        <f>_xlfn.XLOOKUP(C421,[1]Customers!$A$2:$A$201,[1]Customers!$B$2:$B$201)</f>
        <v>Customer_160</v>
      </c>
      <c r="T421" t="str">
        <f>_xlfn.XLOOKUP(D421,[1]Products!$A$2:$A$101,[1]Products!$C$2:$C$101)</f>
        <v>Beverages</v>
      </c>
      <c r="U421">
        <f>_xlfn.XLOOKUP(D421,[1]Products!$A$2:$A$101,[1]Products!$E$2:$E$101)</f>
        <v>230</v>
      </c>
      <c r="V421">
        <f>[1]Transactions!F421*[1]Transactions!U421</f>
        <v>460</v>
      </c>
    </row>
    <row r="422" spans="1:22" x14ac:dyDescent="0.3">
      <c r="A422">
        <v>421</v>
      </c>
      <c r="B422">
        <v>49</v>
      </c>
      <c r="C422">
        <v>37</v>
      </c>
      <c r="D422">
        <v>66</v>
      </c>
      <c r="E422">
        <v>22</v>
      </c>
      <c r="F422">
        <v>2</v>
      </c>
      <c r="G422">
        <v>261</v>
      </c>
      <c r="H422">
        <v>522</v>
      </c>
      <c r="I422">
        <v>45</v>
      </c>
      <c r="J422">
        <f>[1]Transactions!F422*[1]Transactions!G422</f>
        <v>522</v>
      </c>
      <c r="K422">
        <f>_xlfn.XLOOKUP([1]Transactions!D422,[1]Inventory!$C$2:$C$501,[1]Inventory!$A$2:$A$501)</f>
        <v>76</v>
      </c>
      <c r="L422">
        <f>_xlfn.XLOOKUP(K422,[1]Inventory!$A$2:$A$501,[1]Inventory!$D$2:$D$501)</f>
        <v>210</v>
      </c>
      <c r="M422">
        <f>_xlfn.XLOOKUP(K422,[1]Inventory!$A$2:$A$501,[1]Inventory!$E$2:$E$501)</f>
        <v>178</v>
      </c>
      <c r="N422" t="str">
        <f>_xlfn.XLOOKUP([1]Transactions!C422,[1]Customers!$A$2:$A$201,[1]Customers!$G$2:$G$201)</f>
        <v>Karnataka</v>
      </c>
      <c r="O422" t="str">
        <f>_xlfn.XLOOKUP(C422,[1]Customers!$A$2:$A$201,[1]Customers!$H$2:$H$201)</f>
        <v>South</v>
      </c>
      <c r="P422" t="str">
        <f>_xlfn.XLOOKUP(C422,[1]Customers!$A$2:$A$201,[1]Customers!$F$2:$F$201)</f>
        <v>Bangalore</v>
      </c>
      <c r="Q422">
        <f>_xlfn.XLOOKUP(C422,[1]Customers!$A$2:$A$201,[1]Customers!$D$2:$D$201)</f>
        <v>43</v>
      </c>
      <c r="R422" t="str">
        <f>_xlfn.XLOOKUP([1]Transactions!C422,[1]Customers!$A$2:$A$201,[1]Customers!$C$2:$C$201)</f>
        <v>Male</v>
      </c>
      <c r="S422" t="str">
        <f>_xlfn.XLOOKUP(C422,[1]Customers!$A$2:$A$201,[1]Customers!$B$2:$B$201)</f>
        <v>Customer_37</v>
      </c>
      <c r="T422" t="str">
        <f>_xlfn.XLOOKUP(D422,[1]Products!$A$2:$A$101,[1]Products!$C$2:$C$101)</f>
        <v>Beverages</v>
      </c>
      <c r="U422">
        <f>_xlfn.XLOOKUP(D422,[1]Products!$A$2:$A$101,[1]Products!$E$2:$E$101)</f>
        <v>452</v>
      </c>
      <c r="V422">
        <f>[1]Transactions!F422*[1]Transactions!U422</f>
        <v>904</v>
      </c>
    </row>
    <row r="423" spans="1:22" x14ac:dyDescent="0.3">
      <c r="A423">
        <v>422</v>
      </c>
      <c r="B423">
        <v>74</v>
      </c>
      <c r="C423">
        <v>166</v>
      </c>
      <c r="D423">
        <v>76</v>
      </c>
      <c r="E423">
        <v>26</v>
      </c>
      <c r="F423">
        <v>3</v>
      </c>
      <c r="G423">
        <v>436</v>
      </c>
      <c r="H423">
        <v>1308</v>
      </c>
      <c r="I423">
        <v>37</v>
      </c>
      <c r="J423">
        <f>[1]Transactions!F423*[1]Transactions!G423</f>
        <v>1308</v>
      </c>
      <c r="K423">
        <f>_xlfn.XLOOKUP([1]Transactions!D423,[1]Inventory!$C$2:$C$501,[1]Inventory!$A$2:$A$501)</f>
        <v>29</v>
      </c>
      <c r="L423">
        <f>_xlfn.XLOOKUP(K423,[1]Inventory!$A$2:$A$501,[1]Inventory!$D$2:$D$501)</f>
        <v>328</v>
      </c>
      <c r="M423">
        <f>_xlfn.XLOOKUP(K423,[1]Inventory!$A$2:$A$501,[1]Inventory!$E$2:$E$501)</f>
        <v>97</v>
      </c>
      <c r="N423" t="str">
        <f>_xlfn.XLOOKUP([1]Transactions!C423,[1]Customers!$A$2:$A$201,[1]Customers!$G$2:$G$201)</f>
        <v>UP</v>
      </c>
      <c r="O423" t="str">
        <f>_xlfn.XLOOKUP(C423,[1]Customers!$A$2:$A$201,[1]Customers!$H$2:$H$201)</f>
        <v>North</v>
      </c>
      <c r="P423" t="str">
        <f>_xlfn.XLOOKUP(C423,[1]Customers!$A$2:$A$201,[1]Customers!$F$2:$F$201)</f>
        <v>Lucknow</v>
      </c>
      <c r="Q423">
        <f>_xlfn.XLOOKUP(C423,[1]Customers!$A$2:$A$201,[1]Customers!$D$2:$D$201)</f>
        <v>28</v>
      </c>
      <c r="R423" t="str">
        <f>_xlfn.XLOOKUP([1]Transactions!C423,[1]Customers!$A$2:$A$201,[1]Customers!$C$2:$C$201)</f>
        <v>Male</v>
      </c>
      <c r="S423" t="str">
        <f>_xlfn.XLOOKUP(C423,[1]Customers!$A$2:$A$201,[1]Customers!$B$2:$B$201)</f>
        <v>Customer_166</v>
      </c>
      <c r="T423" t="str">
        <f>_xlfn.XLOOKUP(D423,[1]Products!$A$2:$A$101,[1]Products!$C$2:$C$101)</f>
        <v>Dairy</v>
      </c>
      <c r="U423">
        <f>_xlfn.XLOOKUP(D423,[1]Products!$A$2:$A$101,[1]Products!$E$2:$E$101)</f>
        <v>164</v>
      </c>
      <c r="V423">
        <f>[1]Transactions!F423*[1]Transactions!U423</f>
        <v>492</v>
      </c>
    </row>
    <row r="424" spans="1:22" x14ac:dyDescent="0.3">
      <c r="A424">
        <v>423</v>
      </c>
      <c r="B424">
        <v>133</v>
      </c>
      <c r="C424">
        <v>11</v>
      </c>
      <c r="D424">
        <v>16</v>
      </c>
      <c r="E424">
        <v>19</v>
      </c>
      <c r="F424">
        <v>4</v>
      </c>
      <c r="G424">
        <v>430</v>
      </c>
      <c r="H424">
        <v>1720</v>
      </c>
      <c r="I424">
        <v>30</v>
      </c>
      <c r="J424">
        <f>[1]Transactions!F424*[1]Transactions!G424</f>
        <v>1720</v>
      </c>
      <c r="K424">
        <f>_xlfn.XLOOKUP([1]Transactions!D424,[1]Inventory!$C$2:$C$501,[1]Inventory!$A$2:$A$501)</f>
        <v>42</v>
      </c>
      <c r="L424">
        <f>_xlfn.XLOOKUP(K424,[1]Inventory!$A$2:$A$501,[1]Inventory!$D$2:$D$501)</f>
        <v>76</v>
      </c>
      <c r="M424">
        <f>_xlfn.XLOOKUP(K424,[1]Inventory!$A$2:$A$501,[1]Inventory!$E$2:$E$501)</f>
        <v>109</v>
      </c>
      <c r="N424" t="str">
        <f>_xlfn.XLOOKUP([1]Transactions!C424,[1]Customers!$A$2:$A$201,[1]Customers!$G$2:$G$201)</f>
        <v>Rajasthan</v>
      </c>
      <c r="O424" t="str">
        <f>_xlfn.XLOOKUP(C424,[1]Customers!$A$2:$A$201,[1]Customers!$H$2:$H$201)</f>
        <v>North</v>
      </c>
      <c r="P424" t="str">
        <f>_xlfn.XLOOKUP(C424,[1]Customers!$A$2:$A$201,[1]Customers!$F$2:$F$201)</f>
        <v>Jaipur</v>
      </c>
      <c r="Q424">
        <f>_xlfn.XLOOKUP(C424,[1]Customers!$A$2:$A$201,[1]Customers!$D$2:$D$201)</f>
        <v>46</v>
      </c>
      <c r="R424" t="str">
        <f>_xlfn.XLOOKUP([1]Transactions!C424,[1]Customers!$A$2:$A$201,[1]Customers!$C$2:$C$201)</f>
        <v>Female</v>
      </c>
      <c r="S424" t="str">
        <f>_xlfn.XLOOKUP(C424,[1]Customers!$A$2:$A$201,[1]Customers!$B$2:$B$201)</f>
        <v>Customer_11</v>
      </c>
      <c r="T424" t="str">
        <f>_xlfn.XLOOKUP(D424,[1]Products!$A$2:$A$101,[1]Products!$C$2:$C$101)</f>
        <v>Beverages</v>
      </c>
      <c r="U424">
        <f>_xlfn.XLOOKUP(D424,[1]Products!$A$2:$A$101,[1]Products!$E$2:$E$101)</f>
        <v>440</v>
      </c>
      <c r="V424">
        <f>[1]Transactions!F424*[1]Transactions!U424</f>
        <v>1760</v>
      </c>
    </row>
    <row r="425" spans="1:22" x14ac:dyDescent="0.3">
      <c r="A425">
        <v>424</v>
      </c>
      <c r="B425">
        <v>21</v>
      </c>
      <c r="C425">
        <v>3</v>
      </c>
      <c r="D425">
        <v>74</v>
      </c>
      <c r="E425">
        <v>7</v>
      </c>
      <c r="F425">
        <v>4</v>
      </c>
      <c r="G425">
        <v>45</v>
      </c>
      <c r="H425">
        <v>180</v>
      </c>
      <c r="I425">
        <v>37</v>
      </c>
      <c r="J425">
        <f>[1]Transactions!F425*[1]Transactions!G425</f>
        <v>180</v>
      </c>
      <c r="K425">
        <f>_xlfn.XLOOKUP([1]Transactions!D425,[1]Inventory!$C$2:$C$501,[1]Inventory!$A$2:$A$501)</f>
        <v>165</v>
      </c>
      <c r="L425">
        <f>_xlfn.XLOOKUP(K425,[1]Inventory!$A$2:$A$501,[1]Inventory!$D$2:$D$501)</f>
        <v>414</v>
      </c>
      <c r="M425">
        <f>_xlfn.XLOOKUP(K425,[1]Inventory!$A$2:$A$501,[1]Inventory!$E$2:$E$501)</f>
        <v>51</v>
      </c>
      <c r="N425" t="str">
        <f>_xlfn.XLOOKUP([1]Transactions!C425,[1]Customers!$A$2:$A$201,[1]Customers!$G$2:$G$201)</f>
        <v>Maharashtra</v>
      </c>
      <c r="O425" t="str">
        <f>_xlfn.XLOOKUP(C425,[1]Customers!$A$2:$A$201,[1]Customers!$H$2:$H$201)</f>
        <v>West</v>
      </c>
      <c r="P425" t="str">
        <f>_xlfn.XLOOKUP(C425,[1]Customers!$A$2:$A$201,[1]Customers!$F$2:$F$201)</f>
        <v>Mumbai</v>
      </c>
      <c r="Q425">
        <f>_xlfn.XLOOKUP(C425,[1]Customers!$A$2:$A$201,[1]Customers!$D$2:$D$201)</f>
        <v>24</v>
      </c>
      <c r="R425" t="str">
        <f>_xlfn.XLOOKUP([1]Transactions!C425,[1]Customers!$A$2:$A$201,[1]Customers!$C$2:$C$201)</f>
        <v>Male</v>
      </c>
      <c r="S425" t="str">
        <f>_xlfn.XLOOKUP(C425,[1]Customers!$A$2:$A$201,[1]Customers!$B$2:$B$201)</f>
        <v>Customer_3</v>
      </c>
      <c r="T425" t="str">
        <f>_xlfn.XLOOKUP(D425,[1]Products!$A$2:$A$101,[1]Products!$C$2:$C$101)</f>
        <v>Snacks</v>
      </c>
      <c r="U425">
        <f>_xlfn.XLOOKUP(D425,[1]Products!$A$2:$A$101,[1]Products!$E$2:$E$101)</f>
        <v>251</v>
      </c>
      <c r="V425">
        <f>[1]Transactions!F425*[1]Transactions!U425</f>
        <v>1004</v>
      </c>
    </row>
    <row r="426" spans="1:22" x14ac:dyDescent="0.3">
      <c r="A426">
        <v>425</v>
      </c>
      <c r="B426">
        <v>51</v>
      </c>
      <c r="C426">
        <v>144</v>
      </c>
      <c r="D426">
        <v>85</v>
      </c>
      <c r="E426">
        <v>10</v>
      </c>
      <c r="F426">
        <v>3</v>
      </c>
      <c r="G426">
        <v>192</v>
      </c>
      <c r="H426">
        <v>576</v>
      </c>
      <c r="I426">
        <v>14</v>
      </c>
      <c r="J426">
        <f>[1]Transactions!F426*[1]Transactions!G426</f>
        <v>576</v>
      </c>
      <c r="K426">
        <f>_xlfn.XLOOKUP([1]Transactions!D426,[1]Inventory!$C$2:$C$501,[1]Inventory!$A$2:$A$501)</f>
        <v>12</v>
      </c>
      <c r="L426">
        <f>_xlfn.XLOOKUP(K426,[1]Inventory!$A$2:$A$501,[1]Inventory!$D$2:$D$501)</f>
        <v>276</v>
      </c>
      <c r="M426">
        <f>_xlfn.XLOOKUP(K426,[1]Inventory!$A$2:$A$501,[1]Inventory!$E$2:$E$501)</f>
        <v>118</v>
      </c>
      <c r="N426" t="str">
        <f>_xlfn.XLOOKUP([1]Transactions!C426,[1]Customers!$A$2:$A$201,[1]Customers!$G$2:$G$201)</f>
        <v>Gujarat</v>
      </c>
      <c r="O426" t="str">
        <f>_xlfn.XLOOKUP(C426,[1]Customers!$A$2:$A$201,[1]Customers!$H$2:$H$201)</f>
        <v>West</v>
      </c>
      <c r="P426" t="str">
        <f>_xlfn.XLOOKUP(C426,[1]Customers!$A$2:$A$201,[1]Customers!$F$2:$F$201)</f>
        <v>Ahmedabad</v>
      </c>
      <c r="Q426">
        <f>_xlfn.XLOOKUP(C426,[1]Customers!$A$2:$A$201,[1]Customers!$D$2:$D$201)</f>
        <v>53</v>
      </c>
      <c r="R426" t="str">
        <f>_xlfn.XLOOKUP([1]Transactions!C426,[1]Customers!$A$2:$A$201,[1]Customers!$C$2:$C$201)</f>
        <v>Male</v>
      </c>
      <c r="S426" t="str">
        <f>_xlfn.XLOOKUP(C426,[1]Customers!$A$2:$A$201,[1]Customers!$B$2:$B$201)</f>
        <v>Customer_144</v>
      </c>
      <c r="T426" t="str">
        <f>_xlfn.XLOOKUP(D426,[1]Products!$A$2:$A$101,[1]Products!$C$2:$C$101)</f>
        <v>Beverages</v>
      </c>
      <c r="U426">
        <f>_xlfn.XLOOKUP(D426,[1]Products!$A$2:$A$101,[1]Products!$E$2:$E$101)</f>
        <v>78</v>
      </c>
      <c r="V426">
        <f>[1]Transactions!F426*[1]Transactions!U426</f>
        <v>234</v>
      </c>
    </row>
    <row r="427" spans="1:22" x14ac:dyDescent="0.3">
      <c r="A427">
        <v>426</v>
      </c>
      <c r="B427">
        <v>28</v>
      </c>
      <c r="C427">
        <v>29</v>
      </c>
      <c r="D427">
        <v>59</v>
      </c>
      <c r="E427">
        <v>43</v>
      </c>
      <c r="F427">
        <v>1</v>
      </c>
      <c r="G427">
        <v>275</v>
      </c>
      <c r="H427">
        <v>275</v>
      </c>
      <c r="I427">
        <v>42</v>
      </c>
      <c r="J427">
        <f>[1]Transactions!F427*[1]Transactions!G427</f>
        <v>275</v>
      </c>
      <c r="K427">
        <f>_xlfn.XLOOKUP([1]Transactions!D427,[1]Inventory!$C$2:$C$501,[1]Inventory!$A$2:$A$501)</f>
        <v>148</v>
      </c>
      <c r="L427">
        <f>_xlfn.XLOOKUP(K427,[1]Inventory!$A$2:$A$501,[1]Inventory!$D$2:$D$501)</f>
        <v>410</v>
      </c>
      <c r="M427">
        <f>_xlfn.XLOOKUP(K427,[1]Inventory!$A$2:$A$501,[1]Inventory!$E$2:$E$501)</f>
        <v>25</v>
      </c>
      <c r="N427" t="str">
        <f>_xlfn.XLOOKUP([1]Transactions!C427,[1]Customers!$A$2:$A$201,[1]Customers!$G$2:$G$201)</f>
        <v>Telangana</v>
      </c>
      <c r="O427" t="str">
        <f>_xlfn.XLOOKUP(C427,[1]Customers!$A$2:$A$201,[1]Customers!$H$2:$H$201)</f>
        <v>South</v>
      </c>
      <c r="P427" t="str">
        <f>_xlfn.XLOOKUP(C427,[1]Customers!$A$2:$A$201,[1]Customers!$F$2:$F$201)</f>
        <v>Hyderabad</v>
      </c>
      <c r="Q427">
        <f>_xlfn.XLOOKUP(C427,[1]Customers!$A$2:$A$201,[1]Customers!$D$2:$D$201)</f>
        <v>23</v>
      </c>
      <c r="R427" t="str">
        <f>_xlfn.XLOOKUP([1]Transactions!C427,[1]Customers!$A$2:$A$201,[1]Customers!$C$2:$C$201)</f>
        <v>Male</v>
      </c>
      <c r="S427" t="str">
        <f>_xlfn.XLOOKUP(C427,[1]Customers!$A$2:$A$201,[1]Customers!$B$2:$B$201)</f>
        <v>Customer_29</v>
      </c>
      <c r="T427" t="str">
        <f>_xlfn.XLOOKUP(D427,[1]Products!$A$2:$A$101,[1]Products!$C$2:$C$101)</f>
        <v>Dairy</v>
      </c>
      <c r="U427">
        <f>_xlfn.XLOOKUP(D427,[1]Products!$A$2:$A$101,[1]Products!$E$2:$E$101)</f>
        <v>183</v>
      </c>
      <c r="V427">
        <f>[1]Transactions!F427*[1]Transactions!U427</f>
        <v>183</v>
      </c>
    </row>
    <row r="428" spans="1:22" x14ac:dyDescent="0.3">
      <c r="A428">
        <v>427</v>
      </c>
      <c r="B428">
        <v>50</v>
      </c>
      <c r="C428">
        <v>58</v>
      </c>
      <c r="D428">
        <v>3</v>
      </c>
      <c r="E428">
        <v>47</v>
      </c>
      <c r="F428">
        <v>2</v>
      </c>
      <c r="G428">
        <v>115</v>
      </c>
      <c r="H428">
        <v>230</v>
      </c>
      <c r="I428">
        <v>21</v>
      </c>
      <c r="J428">
        <f>[1]Transactions!F428*[1]Transactions!G428</f>
        <v>230</v>
      </c>
      <c r="K428">
        <f>_xlfn.XLOOKUP([1]Transactions!D428,[1]Inventory!$C$2:$C$501,[1]Inventory!$A$2:$A$501)</f>
        <v>147</v>
      </c>
      <c r="L428">
        <f>_xlfn.XLOOKUP(K428,[1]Inventory!$A$2:$A$501,[1]Inventory!$D$2:$D$501)</f>
        <v>137</v>
      </c>
      <c r="M428">
        <f>_xlfn.XLOOKUP(K428,[1]Inventory!$A$2:$A$501,[1]Inventory!$E$2:$E$501)</f>
        <v>160</v>
      </c>
      <c r="N428" t="str">
        <f>_xlfn.XLOOKUP([1]Transactions!C428,[1]Customers!$A$2:$A$201,[1]Customers!$G$2:$G$201)</f>
        <v>Gujarat</v>
      </c>
      <c r="O428" t="str">
        <f>_xlfn.XLOOKUP(C428,[1]Customers!$A$2:$A$201,[1]Customers!$H$2:$H$201)</f>
        <v>West</v>
      </c>
      <c r="P428" t="str">
        <f>_xlfn.XLOOKUP(C428,[1]Customers!$A$2:$A$201,[1]Customers!$F$2:$F$201)</f>
        <v>Ahmedabad</v>
      </c>
      <c r="Q428">
        <f>_xlfn.XLOOKUP(C428,[1]Customers!$A$2:$A$201,[1]Customers!$D$2:$D$201)</f>
        <v>34</v>
      </c>
      <c r="R428" t="str">
        <f>_xlfn.XLOOKUP([1]Transactions!C428,[1]Customers!$A$2:$A$201,[1]Customers!$C$2:$C$201)</f>
        <v>Male</v>
      </c>
      <c r="S428" t="str">
        <f>_xlfn.XLOOKUP(C428,[1]Customers!$A$2:$A$201,[1]Customers!$B$2:$B$201)</f>
        <v>Customer_58</v>
      </c>
      <c r="T428" t="str">
        <f>_xlfn.XLOOKUP(D428,[1]Products!$A$2:$A$101,[1]Products!$C$2:$C$101)</f>
        <v>Dairy</v>
      </c>
      <c r="U428">
        <f>_xlfn.XLOOKUP(D428,[1]Products!$A$2:$A$101,[1]Products!$E$2:$E$101)</f>
        <v>357</v>
      </c>
      <c r="V428">
        <f>[1]Transactions!F428*[1]Transactions!U428</f>
        <v>714</v>
      </c>
    </row>
    <row r="429" spans="1:22" x14ac:dyDescent="0.3">
      <c r="A429">
        <v>428</v>
      </c>
      <c r="B429">
        <v>168</v>
      </c>
      <c r="C429">
        <v>120</v>
      </c>
      <c r="D429">
        <v>100</v>
      </c>
      <c r="E429">
        <v>27</v>
      </c>
      <c r="F429">
        <v>1</v>
      </c>
      <c r="G429">
        <v>208</v>
      </c>
      <c r="H429">
        <v>208</v>
      </c>
      <c r="I429">
        <v>43</v>
      </c>
      <c r="J429">
        <f>[1]Transactions!F429*[1]Transactions!G429</f>
        <v>208</v>
      </c>
      <c r="K429">
        <f>_xlfn.XLOOKUP([1]Transactions!D429,[1]Inventory!$C$2:$C$501,[1]Inventory!$A$2:$A$501)</f>
        <v>54</v>
      </c>
      <c r="L429">
        <f>_xlfn.XLOOKUP(K429,[1]Inventory!$A$2:$A$501,[1]Inventory!$D$2:$D$501)</f>
        <v>397</v>
      </c>
      <c r="M429">
        <f>_xlfn.XLOOKUP(K429,[1]Inventory!$A$2:$A$501,[1]Inventory!$E$2:$E$501)</f>
        <v>5</v>
      </c>
      <c r="N429" t="str">
        <f>_xlfn.XLOOKUP([1]Transactions!C429,[1]Customers!$A$2:$A$201,[1]Customers!$G$2:$G$201)</f>
        <v>Gujarat</v>
      </c>
      <c r="O429" t="str">
        <f>_xlfn.XLOOKUP(C429,[1]Customers!$A$2:$A$201,[1]Customers!$H$2:$H$201)</f>
        <v>West</v>
      </c>
      <c r="P429" t="str">
        <f>_xlfn.XLOOKUP(C429,[1]Customers!$A$2:$A$201,[1]Customers!$F$2:$F$201)</f>
        <v>Ahmedabad</v>
      </c>
      <c r="Q429">
        <f>_xlfn.XLOOKUP(C429,[1]Customers!$A$2:$A$201,[1]Customers!$D$2:$D$201)</f>
        <v>42</v>
      </c>
      <c r="R429" t="str">
        <f>_xlfn.XLOOKUP([1]Transactions!C429,[1]Customers!$A$2:$A$201,[1]Customers!$C$2:$C$201)</f>
        <v>Female</v>
      </c>
      <c r="S429" t="str">
        <f>_xlfn.XLOOKUP(C429,[1]Customers!$A$2:$A$201,[1]Customers!$B$2:$B$201)</f>
        <v>Customer_120</v>
      </c>
      <c r="T429" t="str">
        <f>_xlfn.XLOOKUP(D429,[1]Products!$A$2:$A$101,[1]Products!$C$2:$C$101)</f>
        <v>Dairy</v>
      </c>
      <c r="U429">
        <f>_xlfn.XLOOKUP(D429,[1]Products!$A$2:$A$101,[1]Products!$E$2:$E$101)</f>
        <v>472</v>
      </c>
      <c r="V429">
        <f>[1]Transactions!F429*[1]Transactions!U429</f>
        <v>472</v>
      </c>
    </row>
    <row r="430" spans="1:22" x14ac:dyDescent="0.3">
      <c r="A430">
        <v>429</v>
      </c>
      <c r="B430">
        <v>43</v>
      </c>
      <c r="C430">
        <v>86</v>
      </c>
      <c r="D430">
        <v>4</v>
      </c>
      <c r="E430">
        <v>5</v>
      </c>
      <c r="F430">
        <v>5</v>
      </c>
      <c r="G430">
        <v>427</v>
      </c>
      <c r="H430">
        <v>2135</v>
      </c>
      <c r="I430">
        <v>24</v>
      </c>
      <c r="J430">
        <f>[1]Transactions!F430*[1]Transactions!G430</f>
        <v>2135</v>
      </c>
      <c r="K430">
        <f>_xlfn.XLOOKUP([1]Transactions!D430,[1]Inventory!$C$2:$C$501,[1]Inventory!$A$2:$A$501)</f>
        <v>130</v>
      </c>
      <c r="L430">
        <f>_xlfn.XLOOKUP(K430,[1]Inventory!$A$2:$A$501,[1]Inventory!$D$2:$D$501)</f>
        <v>14</v>
      </c>
      <c r="M430">
        <f>_xlfn.XLOOKUP(K430,[1]Inventory!$A$2:$A$501,[1]Inventory!$E$2:$E$501)</f>
        <v>97</v>
      </c>
      <c r="N430" t="str">
        <f>_xlfn.XLOOKUP([1]Transactions!C430,[1]Customers!$A$2:$A$201,[1]Customers!$G$2:$G$201)</f>
        <v>Rajasthan</v>
      </c>
      <c r="O430" t="str">
        <f>_xlfn.XLOOKUP(C430,[1]Customers!$A$2:$A$201,[1]Customers!$H$2:$H$201)</f>
        <v>North</v>
      </c>
      <c r="P430" t="str">
        <f>_xlfn.XLOOKUP(C430,[1]Customers!$A$2:$A$201,[1]Customers!$F$2:$F$201)</f>
        <v>Jaipur</v>
      </c>
      <c r="Q430">
        <f>_xlfn.XLOOKUP(C430,[1]Customers!$A$2:$A$201,[1]Customers!$D$2:$D$201)</f>
        <v>50</v>
      </c>
      <c r="R430" t="str">
        <f>_xlfn.XLOOKUP([1]Transactions!C430,[1]Customers!$A$2:$A$201,[1]Customers!$C$2:$C$201)</f>
        <v>Female</v>
      </c>
      <c r="S430" t="str">
        <f>_xlfn.XLOOKUP(C430,[1]Customers!$A$2:$A$201,[1]Customers!$B$2:$B$201)</f>
        <v>Customer_86</v>
      </c>
      <c r="T430" t="str">
        <f>_xlfn.XLOOKUP(D430,[1]Products!$A$2:$A$101,[1]Products!$C$2:$C$101)</f>
        <v>Grocery</v>
      </c>
      <c r="U430">
        <f>_xlfn.XLOOKUP(D430,[1]Products!$A$2:$A$101,[1]Products!$E$2:$E$101)</f>
        <v>459</v>
      </c>
      <c r="V430">
        <f>[1]Transactions!F430*[1]Transactions!U430</f>
        <v>2295</v>
      </c>
    </row>
    <row r="431" spans="1:22" x14ac:dyDescent="0.3">
      <c r="A431">
        <v>430</v>
      </c>
      <c r="B431">
        <v>44</v>
      </c>
      <c r="C431">
        <v>92</v>
      </c>
      <c r="D431">
        <v>4</v>
      </c>
      <c r="E431">
        <v>14</v>
      </c>
      <c r="F431">
        <v>3</v>
      </c>
      <c r="G431">
        <v>48</v>
      </c>
      <c r="H431">
        <v>144</v>
      </c>
      <c r="I431">
        <v>58</v>
      </c>
      <c r="J431">
        <f>[1]Transactions!F431*[1]Transactions!G431</f>
        <v>144</v>
      </c>
      <c r="K431">
        <f>_xlfn.XLOOKUP([1]Transactions!D431,[1]Inventory!$C$2:$C$501,[1]Inventory!$A$2:$A$501)</f>
        <v>130</v>
      </c>
      <c r="L431">
        <f>_xlfn.XLOOKUP(K431,[1]Inventory!$A$2:$A$501,[1]Inventory!$D$2:$D$501)</f>
        <v>14</v>
      </c>
      <c r="M431">
        <f>_xlfn.XLOOKUP(K431,[1]Inventory!$A$2:$A$501,[1]Inventory!$E$2:$E$501)</f>
        <v>97</v>
      </c>
      <c r="N431" t="str">
        <f>_xlfn.XLOOKUP([1]Transactions!C431,[1]Customers!$A$2:$A$201,[1]Customers!$G$2:$G$201)</f>
        <v>Maharashtra</v>
      </c>
      <c r="O431" t="str">
        <f>_xlfn.XLOOKUP(C431,[1]Customers!$A$2:$A$201,[1]Customers!$H$2:$H$201)</f>
        <v>West</v>
      </c>
      <c r="P431" t="str">
        <f>_xlfn.XLOOKUP(C431,[1]Customers!$A$2:$A$201,[1]Customers!$F$2:$F$201)</f>
        <v>Mumbai</v>
      </c>
      <c r="Q431">
        <f>_xlfn.XLOOKUP(C431,[1]Customers!$A$2:$A$201,[1]Customers!$D$2:$D$201)</f>
        <v>47</v>
      </c>
      <c r="R431" t="str">
        <f>_xlfn.XLOOKUP([1]Transactions!C431,[1]Customers!$A$2:$A$201,[1]Customers!$C$2:$C$201)</f>
        <v>Female</v>
      </c>
      <c r="S431" t="str">
        <f>_xlfn.XLOOKUP(C431,[1]Customers!$A$2:$A$201,[1]Customers!$B$2:$B$201)</f>
        <v>Customer_92</v>
      </c>
      <c r="T431" t="str">
        <f>_xlfn.XLOOKUP(D431,[1]Products!$A$2:$A$101,[1]Products!$C$2:$C$101)</f>
        <v>Grocery</v>
      </c>
      <c r="U431">
        <f>_xlfn.XLOOKUP(D431,[1]Products!$A$2:$A$101,[1]Products!$E$2:$E$101)</f>
        <v>459</v>
      </c>
      <c r="V431">
        <f>[1]Transactions!F431*[1]Transactions!U431</f>
        <v>1377</v>
      </c>
    </row>
    <row r="432" spans="1:22" x14ac:dyDescent="0.3">
      <c r="A432">
        <v>431</v>
      </c>
      <c r="B432">
        <v>48</v>
      </c>
      <c r="C432">
        <v>94</v>
      </c>
      <c r="D432">
        <v>50</v>
      </c>
      <c r="E432">
        <v>49</v>
      </c>
      <c r="F432">
        <v>2</v>
      </c>
      <c r="G432">
        <v>330</v>
      </c>
      <c r="H432">
        <v>660</v>
      </c>
      <c r="I432">
        <v>55</v>
      </c>
      <c r="J432">
        <f>[1]Transactions!F432*[1]Transactions!G432</f>
        <v>660</v>
      </c>
      <c r="K432">
        <f>_xlfn.XLOOKUP([1]Transactions!D432,[1]Inventory!$C$2:$C$501,[1]Inventory!$A$2:$A$501)</f>
        <v>50</v>
      </c>
      <c r="L432">
        <f>_xlfn.XLOOKUP(K432,[1]Inventory!$A$2:$A$501,[1]Inventory!$D$2:$D$501)</f>
        <v>220</v>
      </c>
      <c r="M432">
        <f>_xlfn.XLOOKUP(K432,[1]Inventory!$A$2:$A$501,[1]Inventory!$E$2:$E$501)</f>
        <v>144</v>
      </c>
      <c r="N432" t="str">
        <f>_xlfn.XLOOKUP([1]Transactions!C432,[1]Customers!$A$2:$A$201,[1]Customers!$G$2:$G$201)</f>
        <v>UP</v>
      </c>
      <c r="O432" t="str">
        <f>_xlfn.XLOOKUP(C432,[1]Customers!$A$2:$A$201,[1]Customers!$H$2:$H$201)</f>
        <v>North</v>
      </c>
      <c r="P432" t="str">
        <f>_xlfn.XLOOKUP(C432,[1]Customers!$A$2:$A$201,[1]Customers!$F$2:$F$201)</f>
        <v>Lucknow</v>
      </c>
      <c r="Q432">
        <f>_xlfn.XLOOKUP(C432,[1]Customers!$A$2:$A$201,[1]Customers!$D$2:$D$201)</f>
        <v>45</v>
      </c>
      <c r="R432" t="str">
        <f>_xlfn.XLOOKUP([1]Transactions!C432,[1]Customers!$A$2:$A$201,[1]Customers!$C$2:$C$201)</f>
        <v>Female</v>
      </c>
      <c r="S432" t="str">
        <f>_xlfn.XLOOKUP(C432,[1]Customers!$A$2:$A$201,[1]Customers!$B$2:$B$201)</f>
        <v>Customer_94</v>
      </c>
      <c r="T432" t="str">
        <f>_xlfn.XLOOKUP(D432,[1]Products!$A$2:$A$101,[1]Products!$C$2:$C$101)</f>
        <v>Personal Care</v>
      </c>
      <c r="U432">
        <f>_xlfn.XLOOKUP(D432,[1]Products!$A$2:$A$101,[1]Products!$E$2:$E$101)</f>
        <v>407</v>
      </c>
      <c r="V432">
        <f>[1]Transactions!F432*[1]Transactions!U432</f>
        <v>814</v>
      </c>
    </row>
    <row r="433" spans="1:22" x14ac:dyDescent="0.3">
      <c r="A433">
        <v>432</v>
      </c>
      <c r="B433">
        <v>112</v>
      </c>
      <c r="C433">
        <v>1</v>
      </c>
      <c r="D433">
        <v>48</v>
      </c>
      <c r="E433">
        <v>47</v>
      </c>
      <c r="F433">
        <v>4</v>
      </c>
      <c r="G433">
        <v>446</v>
      </c>
      <c r="H433">
        <v>1784</v>
      </c>
      <c r="I433">
        <v>25</v>
      </c>
      <c r="J433">
        <f>[1]Transactions!F433*[1]Transactions!G433</f>
        <v>1784</v>
      </c>
      <c r="K433">
        <f>_xlfn.XLOOKUP([1]Transactions!D433,[1]Inventory!$C$2:$C$501,[1]Inventory!$A$2:$A$501)</f>
        <v>86</v>
      </c>
      <c r="L433">
        <f>_xlfn.XLOOKUP(K433,[1]Inventory!$A$2:$A$501,[1]Inventory!$D$2:$D$501)</f>
        <v>310</v>
      </c>
      <c r="M433">
        <f>_xlfn.XLOOKUP(K433,[1]Inventory!$A$2:$A$501,[1]Inventory!$E$2:$E$501)</f>
        <v>76</v>
      </c>
      <c r="N433" t="str">
        <f>_xlfn.XLOOKUP([1]Transactions!C433,[1]Customers!$A$2:$A$201,[1]Customers!$G$2:$G$201)</f>
        <v>Rajasthan</v>
      </c>
      <c r="O433" t="str">
        <f>_xlfn.XLOOKUP(C433,[1]Customers!$A$2:$A$201,[1]Customers!$H$2:$H$201)</f>
        <v>North</v>
      </c>
      <c r="P433" t="str">
        <f>_xlfn.XLOOKUP(C433,[1]Customers!$A$2:$A$201,[1]Customers!$F$2:$F$201)</f>
        <v>Jaipur</v>
      </c>
      <c r="Q433">
        <f>_xlfn.XLOOKUP(C433,[1]Customers!$A$2:$A$201,[1]Customers!$D$2:$D$201)</f>
        <v>39</v>
      </c>
      <c r="R433" t="str">
        <f>_xlfn.XLOOKUP([1]Transactions!C433,[1]Customers!$A$2:$A$201,[1]Customers!$C$2:$C$201)</f>
        <v>Female</v>
      </c>
      <c r="S433" t="str">
        <f>_xlfn.XLOOKUP(C433,[1]Customers!$A$2:$A$201,[1]Customers!$B$2:$B$201)</f>
        <v>Customer_1</v>
      </c>
      <c r="T433" t="str">
        <f>_xlfn.XLOOKUP(D433,[1]Products!$A$2:$A$101,[1]Products!$C$2:$C$101)</f>
        <v>Snacks</v>
      </c>
      <c r="U433">
        <f>_xlfn.XLOOKUP(D433,[1]Products!$A$2:$A$101,[1]Products!$E$2:$E$101)</f>
        <v>315</v>
      </c>
      <c r="V433">
        <f>[1]Transactions!F433*[1]Transactions!U433</f>
        <v>1260</v>
      </c>
    </row>
    <row r="434" spans="1:22" x14ac:dyDescent="0.3">
      <c r="A434">
        <v>433</v>
      </c>
      <c r="B434">
        <v>163</v>
      </c>
      <c r="C434">
        <v>75</v>
      </c>
      <c r="D434">
        <v>98</v>
      </c>
      <c r="E434">
        <v>6</v>
      </c>
      <c r="F434">
        <v>2</v>
      </c>
      <c r="G434">
        <v>340</v>
      </c>
      <c r="H434">
        <v>680</v>
      </c>
      <c r="I434">
        <v>51</v>
      </c>
      <c r="J434">
        <f>[1]Transactions!F434*[1]Transactions!G434</f>
        <v>680</v>
      </c>
      <c r="K434">
        <f>_xlfn.XLOOKUP([1]Transactions!D434,[1]Inventory!$C$2:$C$501,[1]Inventory!$A$2:$A$501)</f>
        <v>139</v>
      </c>
      <c r="L434">
        <f>_xlfn.XLOOKUP(K434,[1]Inventory!$A$2:$A$501,[1]Inventory!$D$2:$D$501)</f>
        <v>374</v>
      </c>
      <c r="M434">
        <f>_xlfn.XLOOKUP(K434,[1]Inventory!$A$2:$A$501,[1]Inventory!$E$2:$E$501)</f>
        <v>174</v>
      </c>
      <c r="N434" t="str">
        <f>_xlfn.XLOOKUP([1]Transactions!C434,[1]Customers!$A$2:$A$201,[1]Customers!$G$2:$G$201)</f>
        <v>Rajasthan</v>
      </c>
      <c r="O434" t="str">
        <f>_xlfn.XLOOKUP(C434,[1]Customers!$A$2:$A$201,[1]Customers!$H$2:$H$201)</f>
        <v>North</v>
      </c>
      <c r="P434" t="str">
        <f>_xlfn.XLOOKUP(C434,[1]Customers!$A$2:$A$201,[1]Customers!$F$2:$F$201)</f>
        <v>Jaipur</v>
      </c>
      <c r="Q434">
        <f>_xlfn.XLOOKUP(C434,[1]Customers!$A$2:$A$201,[1]Customers!$D$2:$D$201)</f>
        <v>35</v>
      </c>
      <c r="R434" t="str">
        <f>_xlfn.XLOOKUP([1]Transactions!C434,[1]Customers!$A$2:$A$201,[1]Customers!$C$2:$C$201)</f>
        <v>Male</v>
      </c>
      <c r="S434" t="str">
        <f>_xlfn.XLOOKUP(C434,[1]Customers!$A$2:$A$201,[1]Customers!$B$2:$B$201)</f>
        <v>Customer_75</v>
      </c>
      <c r="T434" t="str">
        <f>_xlfn.XLOOKUP(D434,[1]Products!$A$2:$A$101,[1]Products!$C$2:$C$101)</f>
        <v>Snacks</v>
      </c>
      <c r="U434">
        <f>_xlfn.XLOOKUP(D434,[1]Products!$A$2:$A$101,[1]Products!$E$2:$E$101)</f>
        <v>460</v>
      </c>
      <c r="V434">
        <f>[1]Transactions!F434*[1]Transactions!U434</f>
        <v>920</v>
      </c>
    </row>
    <row r="435" spans="1:22" x14ac:dyDescent="0.3">
      <c r="A435">
        <v>434</v>
      </c>
      <c r="B435">
        <v>32</v>
      </c>
      <c r="C435">
        <v>74</v>
      </c>
      <c r="D435">
        <v>99</v>
      </c>
      <c r="E435">
        <v>43</v>
      </c>
      <c r="F435">
        <v>4</v>
      </c>
      <c r="G435">
        <v>124</v>
      </c>
      <c r="H435">
        <v>496</v>
      </c>
      <c r="I435">
        <v>10</v>
      </c>
      <c r="J435">
        <f>[1]Transactions!F435*[1]Transactions!G435</f>
        <v>496</v>
      </c>
      <c r="K435">
        <f>_xlfn.XLOOKUP([1]Transactions!D435,[1]Inventory!$C$2:$C$501,[1]Inventory!$A$2:$A$501)</f>
        <v>13</v>
      </c>
      <c r="L435">
        <f>_xlfn.XLOOKUP(K435,[1]Inventory!$A$2:$A$501,[1]Inventory!$D$2:$D$501)</f>
        <v>285</v>
      </c>
      <c r="M435">
        <f>_xlfn.XLOOKUP(K435,[1]Inventory!$A$2:$A$501,[1]Inventory!$E$2:$E$501)</f>
        <v>98</v>
      </c>
      <c r="N435" t="str">
        <f>_xlfn.XLOOKUP([1]Transactions!C435,[1]Customers!$A$2:$A$201,[1]Customers!$G$2:$G$201)</f>
        <v>Karnataka</v>
      </c>
      <c r="O435" t="str">
        <f>_xlfn.XLOOKUP(C435,[1]Customers!$A$2:$A$201,[1]Customers!$H$2:$H$201)</f>
        <v>South</v>
      </c>
      <c r="P435" t="str">
        <f>_xlfn.XLOOKUP(C435,[1]Customers!$A$2:$A$201,[1]Customers!$F$2:$F$201)</f>
        <v>Bangalore</v>
      </c>
      <c r="Q435">
        <f>_xlfn.XLOOKUP(C435,[1]Customers!$A$2:$A$201,[1]Customers!$D$2:$D$201)</f>
        <v>22</v>
      </c>
      <c r="R435" t="str">
        <f>_xlfn.XLOOKUP([1]Transactions!C435,[1]Customers!$A$2:$A$201,[1]Customers!$C$2:$C$201)</f>
        <v>Male</v>
      </c>
      <c r="S435" t="str">
        <f>_xlfn.XLOOKUP(C435,[1]Customers!$A$2:$A$201,[1]Customers!$B$2:$B$201)</f>
        <v>Customer_74</v>
      </c>
      <c r="T435" t="str">
        <f>_xlfn.XLOOKUP(D435,[1]Products!$A$2:$A$101,[1]Products!$C$2:$C$101)</f>
        <v>Personal Care</v>
      </c>
      <c r="U435">
        <f>_xlfn.XLOOKUP(D435,[1]Products!$A$2:$A$101,[1]Products!$E$2:$E$101)</f>
        <v>340</v>
      </c>
      <c r="V435">
        <f>[1]Transactions!F435*[1]Transactions!U435</f>
        <v>1360</v>
      </c>
    </row>
    <row r="436" spans="1:22" x14ac:dyDescent="0.3">
      <c r="A436">
        <v>435</v>
      </c>
      <c r="B436">
        <v>56</v>
      </c>
      <c r="C436">
        <v>47</v>
      </c>
      <c r="D436">
        <v>73</v>
      </c>
      <c r="E436">
        <v>50</v>
      </c>
      <c r="F436">
        <v>5</v>
      </c>
      <c r="G436">
        <v>419</v>
      </c>
      <c r="H436">
        <v>2095</v>
      </c>
      <c r="I436">
        <v>20</v>
      </c>
      <c r="J436">
        <f>[1]Transactions!F436*[1]Transactions!G436</f>
        <v>2095</v>
      </c>
      <c r="K436">
        <f>_xlfn.XLOOKUP([1]Transactions!D436,[1]Inventory!$C$2:$C$501,[1]Inventory!$A$2:$A$501)</f>
        <v>18</v>
      </c>
      <c r="L436">
        <f>_xlfn.XLOOKUP(K436,[1]Inventory!$A$2:$A$501,[1]Inventory!$D$2:$D$501)</f>
        <v>120</v>
      </c>
      <c r="M436">
        <f>_xlfn.XLOOKUP(K436,[1]Inventory!$A$2:$A$501,[1]Inventory!$E$2:$E$501)</f>
        <v>107</v>
      </c>
      <c r="N436" t="str">
        <f>_xlfn.XLOOKUP([1]Transactions!C436,[1]Customers!$A$2:$A$201,[1]Customers!$G$2:$G$201)</f>
        <v>West Bengal</v>
      </c>
      <c r="O436" t="str">
        <f>_xlfn.XLOOKUP(C436,[1]Customers!$A$2:$A$201,[1]Customers!$H$2:$H$201)</f>
        <v>East</v>
      </c>
      <c r="P436" t="str">
        <f>_xlfn.XLOOKUP(C436,[1]Customers!$A$2:$A$201,[1]Customers!$F$2:$F$201)</f>
        <v>Kolkata</v>
      </c>
      <c r="Q436">
        <f>_xlfn.XLOOKUP(C436,[1]Customers!$A$2:$A$201,[1]Customers!$D$2:$D$201)</f>
        <v>33</v>
      </c>
      <c r="R436" t="str">
        <f>_xlfn.XLOOKUP([1]Transactions!C436,[1]Customers!$A$2:$A$201,[1]Customers!$C$2:$C$201)</f>
        <v>Male</v>
      </c>
      <c r="S436" t="str">
        <f>_xlfn.XLOOKUP(C436,[1]Customers!$A$2:$A$201,[1]Customers!$B$2:$B$201)</f>
        <v>Customer_47</v>
      </c>
      <c r="T436" t="str">
        <f>_xlfn.XLOOKUP(D436,[1]Products!$A$2:$A$101,[1]Products!$C$2:$C$101)</f>
        <v>Beverages</v>
      </c>
      <c r="U436">
        <f>_xlfn.XLOOKUP(D436,[1]Products!$A$2:$A$101,[1]Products!$E$2:$E$101)</f>
        <v>55</v>
      </c>
      <c r="V436">
        <f>[1]Transactions!F436*[1]Transactions!U436</f>
        <v>275</v>
      </c>
    </row>
    <row r="437" spans="1:22" x14ac:dyDescent="0.3">
      <c r="A437">
        <v>436</v>
      </c>
      <c r="B437">
        <v>58</v>
      </c>
      <c r="C437">
        <v>1</v>
      </c>
      <c r="D437">
        <v>46</v>
      </c>
      <c r="E437">
        <v>40</v>
      </c>
      <c r="F437">
        <v>5</v>
      </c>
      <c r="G437">
        <v>285</v>
      </c>
      <c r="H437">
        <v>1425</v>
      </c>
      <c r="I437">
        <v>49</v>
      </c>
      <c r="J437">
        <f>[1]Transactions!F437*[1]Transactions!G437</f>
        <v>1425</v>
      </c>
      <c r="K437">
        <f>_xlfn.XLOOKUP([1]Transactions!D437,[1]Inventory!$C$2:$C$501,[1]Inventory!$A$2:$A$501)</f>
        <v>218</v>
      </c>
      <c r="L437">
        <f>_xlfn.XLOOKUP(K437,[1]Inventory!$A$2:$A$501,[1]Inventory!$D$2:$D$501)</f>
        <v>426</v>
      </c>
      <c r="M437">
        <f>_xlfn.XLOOKUP(K437,[1]Inventory!$A$2:$A$501,[1]Inventory!$E$2:$E$501)</f>
        <v>14</v>
      </c>
      <c r="N437" t="str">
        <f>_xlfn.XLOOKUP([1]Transactions!C437,[1]Customers!$A$2:$A$201,[1]Customers!$G$2:$G$201)</f>
        <v>Rajasthan</v>
      </c>
      <c r="O437" t="str">
        <f>_xlfn.XLOOKUP(C437,[1]Customers!$A$2:$A$201,[1]Customers!$H$2:$H$201)</f>
        <v>North</v>
      </c>
      <c r="P437" t="str">
        <f>_xlfn.XLOOKUP(C437,[1]Customers!$A$2:$A$201,[1]Customers!$F$2:$F$201)</f>
        <v>Jaipur</v>
      </c>
      <c r="Q437">
        <f>_xlfn.XLOOKUP(C437,[1]Customers!$A$2:$A$201,[1]Customers!$D$2:$D$201)</f>
        <v>39</v>
      </c>
      <c r="R437" t="str">
        <f>_xlfn.XLOOKUP([1]Transactions!C437,[1]Customers!$A$2:$A$201,[1]Customers!$C$2:$C$201)</f>
        <v>Female</v>
      </c>
      <c r="S437" t="str">
        <f>_xlfn.XLOOKUP(C437,[1]Customers!$A$2:$A$201,[1]Customers!$B$2:$B$201)</f>
        <v>Customer_1</v>
      </c>
      <c r="T437" t="str">
        <f>_xlfn.XLOOKUP(D437,[1]Products!$A$2:$A$101,[1]Products!$C$2:$C$101)</f>
        <v>Personal Care</v>
      </c>
      <c r="U437">
        <f>_xlfn.XLOOKUP(D437,[1]Products!$A$2:$A$101,[1]Products!$E$2:$E$101)</f>
        <v>56</v>
      </c>
      <c r="V437">
        <f>[1]Transactions!F437*[1]Transactions!U437</f>
        <v>280</v>
      </c>
    </row>
    <row r="438" spans="1:22" x14ac:dyDescent="0.3">
      <c r="A438">
        <v>437</v>
      </c>
      <c r="B438">
        <v>38</v>
      </c>
      <c r="C438">
        <v>59</v>
      </c>
      <c r="D438">
        <v>48</v>
      </c>
      <c r="E438">
        <v>17</v>
      </c>
      <c r="F438">
        <v>1</v>
      </c>
      <c r="G438">
        <v>361</v>
      </c>
      <c r="H438">
        <v>361</v>
      </c>
      <c r="I438">
        <v>27</v>
      </c>
      <c r="J438">
        <f>[1]Transactions!F438*[1]Transactions!G438</f>
        <v>361</v>
      </c>
      <c r="K438">
        <f>_xlfn.XLOOKUP([1]Transactions!D438,[1]Inventory!$C$2:$C$501,[1]Inventory!$A$2:$A$501)</f>
        <v>86</v>
      </c>
      <c r="L438">
        <f>_xlfn.XLOOKUP(K438,[1]Inventory!$A$2:$A$501,[1]Inventory!$D$2:$D$501)</f>
        <v>310</v>
      </c>
      <c r="M438">
        <f>_xlfn.XLOOKUP(K438,[1]Inventory!$A$2:$A$501,[1]Inventory!$E$2:$E$501)</f>
        <v>76</v>
      </c>
      <c r="N438" t="str">
        <f>_xlfn.XLOOKUP([1]Transactions!C438,[1]Customers!$A$2:$A$201,[1]Customers!$G$2:$G$201)</f>
        <v>Tamil Nadu</v>
      </c>
      <c r="O438" t="str">
        <f>_xlfn.XLOOKUP(C438,[1]Customers!$A$2:$A$201,[1]Customers!$H$2:$H$201)</f>
        <v>South</v>
      </c>
      <c r="P438" t="str">
        <f>_xlfn.XLOOKUP(C438,[1]Customers!$A$2:$A$201,[1]Customers!$F$2:$F$201)</f>
        <v>Chennai</v>
      </c>
      <c r="Q438">
        <f>_xlfn.XLOOKUP(C438,[1]Customers!$A$2:$A$201,[1]Customers!$D$2:$D$201)</f>
        <v>25</v>
      </c>
      <c r="R438" t="str">
        <f>_xlfn.XLOOKUP([1]Transactions!C438,[1]Customers!$A$2:$A$201,[1]Customers!$C$2:$C$201)</f>
        <v>Male</v>
      </c>
      <c r="S438" t="str">
        <f>_xlfn.XLOOKUP(C438,[1]Customers!$A$2:$A$201,[1]Customers!$B$2:$B$201)</f>
        <v>Customer_59</v>
      </c>
      <c r="T438" t="str">
        <f>_xlfn.XLOOKUP(D438,[1]Products!$A$2:$A$101,[1]Products!$C$2:$C$101)</f>
        <v>Snacks</v>
      </c>
      <c r="U438">
        <f>_xlfn.XLOOKUP(D438,[1]Products!$A$2:$A$101,[1]Products!$E$2:$E$101)</f>
        <v>315</v>
      </c>
      <c r="V438">
        <f>[1]Transactions!F438*[1]Transactions!U438</f>
        <v>315</v>
      </c>
    </row>
    <row r="439" spans="1:22" x14ac:dyDescent="0.3">
      <c r="A439">
        <v>438</v>
      </c>
      <c r="B439">
        <v>2</v>
      </c>
      <c r="C439">
        <v>112</v>
      </c>
      <c r="D439">
        <v>25</v>
      </c>
      <c r="E439">
        <v>5</v>
      </c>
      <c r="F439">
        <v>3</v>
      </c>
      <c r="G439">
        <v>414</v>
      </c>
      <c r="H439">
        <v>1242</v>
      </c>
      <c r="I439">
        <v>45</v>
      </c>
      <c r="J439">
        <f>[1]Transactions!F439*[1]Transactions!G439</f>
        <v>1242</v>
      </c>
      <c r="K439">
        <f>_xlfn.XLOOKUP([1]Transactions!D439,[1]Inventory!$C$2:$C$501,[1]Inventory!$A$2:$A$501)</f>
        <v>85</v>
      </c>
      <c r="L439">
        <f>_xlfn.XLOOKUP(K439,[1]Inventory!$A$2:$A$501,[1]Inventory!$D$2:$D$501)</f>
        <v>32</v>
      </c>
      <c r="M439">
        <f>_xlfn.XLOOKUP(K439,[1]Inventory!$A$2:$A$501,[1]Inventory!$E$2:$E$501)</f>
        <v>25</v>
      </c>
      <c r="N439" t="str">
        <f>_xlfn.XLOOKUP([1]Transactions!C439,[1]Customers!$A$2:$A$201,[1]Customers!$G$2:$G$201)</f>
        <v>Telangana</v>
      </c>
      <c r="O439" t="str">
        <f>_xlfn.XLOOKUP(C439,[1]Customers!$A$2:$A$201,[1]Customers!$H$2:$H$201)</f>
        <v>South</v>
      </c>
      <c r="P439" t="str">
        <f>_xlfn.XLOOKUP(C439,[1]Customers!$A$2:$A$201,[1]Customers!$F$2:$F$201)</f>
        <v>Hyderabad</v>
      </c>
      <c r="Q439">
        <f>_xlfn.XLOOKUP(C439,[1]Customers!$A$2:$A$201,[1]Customers!$D$2:$D$201)</f>
        <v>59</v>
      </c>
      <c r="R439" t="str">
        <f>_xlfn.XLOOKUP([1]Transactions!C439,[1]Customers!$A$2:$A$201,[1]Customers!$C$2:$C$201)</f>
        <v>Female</v>
      </c>
      <c r="S439" t="str">
        <f>_xlfn.XLOOKUP(C439,[1]Customers!$A$2:$A$201,[1]Customers!$B$2:$B$201)</f>
        <v>Customer_112</v>
      </c>
      <c r="T439" t="str">
        <f>_xlfn.XLOOKUP(D439,[1]Products!$A$2:$A$101,[1]Products!$C$2:$C$101)</f>
        <v>Personal Care</v>
      </c>
      <c r="U439">
        <f>_xlfn.XLOOKUP(D439,[1]Products!$A$2:$A$101,[1]Products!$E$2:$E$101)</f>
        <v>212</v>
      </c>
      <c r="V439">
        <f>[1]Transactions!F439*[1]Transactions!U439</f>
        <v>636</v>
      </c>
    </row>
    <row r="440" spans="1:22" x14ac:dyDescent="0.3">
      <c r="A440">
        <v>439</v>
      </c>
      <c r="B440">
        <v>109</v>
      </c>
      <c r="C440">
        <v>186</v>
      </c>
      <c r="D440">
        <v>28</v>
      </c>
      <c r="E440">
        <v>48</v>
      </c>
      <c r="F440">
        <v>1</v>
      </c>
      <c r="G440">
        <v>453</v>
      </c>
      <c r="H440">
        <v>453</v>
      </c>
      <c r="I440">
        <v>32</v>
      </c>
      <c r="J440">
        <f>[1]Transactions!F440*[1]Transactions!G440</f>
        <v>453</v>
      </c>
      <c r="K440">
        <f>_xlfn.XLOOKUP([1]Transactions!D440,[1]Inventory!$C$2:$C$501,[1]Inventory!$A$2:$A$501)</f>
        <v>16</v>
      </c>
      <c r="L440">
        <f>_xlfn.XLOOKUP(K440,[1]Inventory!$A$2:$A$501,[1]Inventory!$D$2:$D$501)</f>
        <v>284</v>
      </c>
      <c r="M440">
        <f>_xlfn.XLOOKUP(K440,[1]Inventory!$A$2:$A$501,[1]Inventory!$E$2:$E$501)</f>
        <v>80</v>
      </c>
      <c r="N440" t="str">
        <f>_xlfn.XLOOKUP([1]Transactions!C440,[1]Customers!$A$2:$A$201,[1]Customers!$G$2:$G$201)</f>
        <v>West Bengal</v>
      </c>
      <c r="O440" t="str">
        <f>_xlfn.XLOOKUP(C440,[1]Customers!$A$2:$A$201,[1]Customers!$H$2:$H$201)</f>
        <v>East</v>
      </c>
      <c r="P440" t="str">
        <f>_xlfn.XLOOKUP(C440,[1]Customers!$A$2:$A$201,[1]Customers!$F$2:$F$201)</f>
        <v>Kolkata</v>
      </c>
      <c r="Q440">
        <f>_xlfn.XLOOKUP(C440,[1]Customers!$A$2:$A$201,[1]Customers!$D$2:$D$201)</f>
        <v>36</v>
      </c>
      <c r="R440" t="str">
        <f>_xlfn.XLOOKUP([1]Transactions!C440,[1]Customers!$A$2:$A$201,[1]Customers!$C$2:$C$201)</f>
        <v>Female</v>
      </c>
      <c r="S440" t="str">
        <f>_xlfn.XLOOKUP(C440,[1]Customers!$A$2:$A$201,[1]Customers!$B$2:$B$201)</f>
        <v>Customer_186</v>
      </c>
      <c r="T440" t="str">
        <f>_xlfn.XLOOKUP(D440,[1]Products!$A$2:$A$101,[1]Products!$C$2:$C$101)</f>
        <v>Grocery</v>
      </c>
      <c r="U440">
        <f>_xlfn.XLOOKUP(D440,[1]Products!$A$2:$A$101,[1]Products!$E$2:$E$101)</f>
        <v>203</v>
      </c>
      <c r="V440">
        <f>[1]Transactions!F440*[1]Transactions!U440</f>
        <v>203</v>
      </c>
    </row>
    <row r="441" spans="1:22" x14ac:dyDescent="0.3">
      <c r="A441">
        <v>440</v>
      </c>
      <c r="B441">
        <v>170</v>
      </c>
      <c r="C441">
        <v>165</v>
      </c>
      <c r="D441">
        <v>79</v>
      </c>
      <c r="E441">
        <v>44</v>
      </c>
      <c r="F441">
        <v>3</v>
      </c>
      <c r="G441">
        <v>54</v>
      </c>
      <c r="H441">
        <v>162</v>
      </c>
      <c r="I441">
        <v>52</v>
      </c>
      <c r="J441">
        <f>[1]Transactions!F441*[1]Transactions!G441</f>
        <v>162</v>
      </c>
      <c r="K441">
        <f>_xlfn.XLOOKUP([1]Transactions!D441,[1]Inventory!$C$2:$C$501,[1]Inventory!$A$2:$A$501)</f>
        <v>45</v>
      </c>
      <c r="L441">
        <f>_xlfn.XLOOKUP(K441,[1]Inventory!$A$2:$A$501,[1]Inventory!$D$2:$D$501)</f>
        <v>84</v>
      </c>
      <c r="M441">
        <f>_xlfn.XLOOKUP(K441,[1]Inventory!$A$2:$A$501,[1]Inventory!$E$2:$E$501)</f>
        <v>121</v>
      </c>
      <c r="N441" t="str">
        <f>_xlfn.XLOOKUP([1]Transactions!C441,[1]Customers!$A$2:$A$201,[1]Customers!$G$2:$G$201)</f>
        <v>UP</v>
      </c>
      <c r="O441" t="str">
        <f>_xlfn.XLOOKUP(C441,[1]Customers!$A$2:$A$201,[1]Customers!$H$2:$H$201)</f>
        <v>North</v>
      </c>
      <c r="P441" t="str">
        <f>_xlfn.XLOOKUP(C441,[1]Customers!$A$2:$A$201,[1]Customers!$F$2:$F$201)</f>
        <v>Lucknow</v>
      </c>
      <c r="Q441">
        <f>_xlfn.XLOOKUP(C441,[1]Customers!$A$2:$A$201,[1]Customers!$D$2:$D$201)</f>
        <v>58</v>
      </c>
      <c r="R441" t="str">
        <f>_xlfn.XLOOKUP([1]Transactions!C441,[1]Customers!$A$2:$A$201,[1]Customers!$C$2:$C$201)</f>
        <v>Male</v>
      </c>
      <c r="S441" t="str">
        <f>_xlfn.XLOOKUP(C441,[1]Customers!$A$2:$A$201,[1]Customers!$B$2:$B$201)</f>
        <v>Customer_165</v>
      </c>
      <c r="T441" t="str">
        <f>_xlfn.XLOOKUP(D441,[1]Products!$A$2:$A$101,[1]Products!$C$2:$C$101)</f>
        <v>Beverages</v>
      </c>
      <c r="U441">
        <f>_xlfn.XLOOKUP(D441,[1]Products!$A$2:$A$101,[1]Products!$E$2:$E$101)</f>
        <v>298</v>
      </c>
      <c r="V441">
        <f>[1]Transactions!F441*[1]Transactions!U441</f>
        <v>894</v>
      </c>
    </row>
    <row r="442" spans="1:22" x14ac:dyDescent="0.3">
      <c r="A442">
        <v>441</v>
      </c>
      <c r="B442">
        <v>122</v>
      </c>
      <c r="C442">
        <v>17</v>
      </c>
      <c r="D442">
        <v>62</v>
      </c>
      <c r="E442">
        <v>48</v>
      </c>
      <c r="F442">
        <v>4</v>
      </c>
      <c r="G442">
        <v>37</v>
      </c>
      <c r="H442">
        <v>148</v>
      </c>
      <c r="I442">
        <v>36</v>
      </c>
      <c r="J442">
        <f>[1]Transactions!F442*[1]Transactions!G442</f>
        <v>148</v>
      </c>
      <c r="K442">
        <f>_xlfn.XLOOKUP([1]Transactions!D442,[1]Inventory!$C$2:$C$501,[1]Inventory!$A$2:$A$501)</f>
        <v>26</v>
      </c>
      <c r="L442">
        <f>_xlfn.XLOOKUP(K442,[1]Inventory!$A$2:$A$501,[1]Inventory!$D$2:$D$501)</f>
        <v>449</v>
      </c>
      <c r="M442">
        <f>_xlfn.XLOOKUP(K442,[1]Inventory!$A$2:$A$501,[1]Inventory!$E$2:$E$501)</f>
        <v>132</v>
      </c>
      <c r="N442" t="str">
        <f>_xlfn.XLOOKUP([1]Transactions!C442,[1]Customers!$A$2:$A$201,[1]Customers!$G$2:$G$201)</f>
        <v>Telangana</v>
      </c>
      <c r="O442" t="str">
        <f>_xlfn.XLOOKUP(C442,[1]Customers!$A$2:$A$201,[1]Customers!$H$2:$H$201)</f>
        <v>South</v>
      </c>
      <c r="P442" t="str">
        <f>_xlfn.XLOOKUP(C442,[1]Customers!$A$2:$A$201,[1]Customers!$F$2:$F$201)</f>
        <v>Hyderabad</v>
      </c>
      <c r="Q442">
        <f>_xlfn.XLOOKUP(C442,[1]Customers!$A$2:$A$201,[1]Customers!$D$2:$D$201)</f>
        <v>31</v>
      </c>
      <c r="R442" t="str">
        <f>_xlfn.XLOOKUP([1]Transactions!C442,[1]Customers!$A$2:$A$201,[1]Customers!$C$2:$C$201)</f>
        <v>Male</v>
      </c>
      <c r="S442" t="str">
        <f>_xlfn.XLOOKUP(C442,[1]Customers!$A$2:$A$201,[1]Customers!$B$2:$B$201)</f>
        <v>Customer_17</v>
      </c>
      <c r="T442" t="str">
        <f>_xlfn.XLOOKUP(D442,[1]Products!$A$2:$A$101,[1]Products!$C$2:$C$101)</f>
        <v>Snacks</v>
      </c>
      <c r="U442">
        <f>_xlfn.XLOOKUP(D442,[1]Products!$A$2:$A$101,[1]Products!$E$2:$E$101)</f>
        <v>32</v>
      </c>
      <c r="V442">
        <f>[1]Transactions!F442*[1]Transactions!U442</f>
        <v>128</v>
      </c>
    </row>
    <row r="443" spans="1:22" x14ac:dyDescent="0.3">
      <c r="A443">
        <v>442</v>
      </c>
      <c r="B443">
        <v>131</v>
      </c>
      <c r="C443">
        <v>42</v>
      </c>
      <c r="D443">
        <v>32</v>
      </c>
      <c r="E443">
        <v>37</v>
      </c>
      <c r="F443">
        <v>4</v>
      </c>
      <c r="G443">
        <v>41</v>
      </c>
      <c r="H443">
        <v>164</v>
      </c>
      <c r="I443">
        <v>48</v>
      </c>
      <c r="J443">
        <f>[1]Transactions!F443*[1]Transactions!G443</f>
        <v>164</v>
      </c>
      <c r="K443">
        <f>_xlfn.XLOOKUP([1]Transactions!D443,[1]Inventory!$C$2:$C$501,[1]Inventory!$A$2:$A$501)</f>
        <v>27</v>
      </c>
      <c r="L443">
        <f>_xlfn.XLOOKUP(K443,[1]Inventory!$A$2:$A$501,[1]Inventory!$D$2:$D$501)</f>
        <v>76</v>
      </c>
      <c r="M443">
        <f>_xlfn.XLOOKUP(K443,[1]Inventory!$A$2:$A$501,[1]Inventory!$E$2:$E$501)</f>
        <v>128</v>
      </c>
      <c r="N443" t="str">
        <f>_xlfn.XLOOKUP([1]Transactions!C443,[1]Customers!$A$2:$A$201,[1]Customers!$G$2:$G$201)</f>
        <v>Maharashtra</v>
      </c>
      <c r="O443" t="str">
        <f>_xlfn.XLOOKUP(C443,[1]Customers!$A$2:$A$201,[1]Customers!$H$2:$H$201)</f>
        <v>West</v>
      </c>
      <c r="P443" t="str">
        <f>_xlfn.XLOOKUP(C443,[1]Customers!$A$2:$A$201,[1]Customers!$F$2:$F$201)</f>
        <v>Mumbai</v>
      </c>
      <c r="Q443">
        <f>_xlfn.XLOOKUP(C443,[1]Customers!$A$2:$A$201,[1]Customers!$D$2:$D$201)</f>
        <v>23</v>
      </c>
      <c r="R443" t="str">
        <f>_xlfn.XLOOKUP([1]Transactions!C443,[1]Customers!$A$2:$A$201,[1]Customers!$C$2:$C$201)</f>
        <v>Male</v>
      </c>
      <c r="S443" t="str">
        <f>_xlfn.XLOOKUP(C443,[1]Customers!$A$2:$A$201,[1]Customers!$B$2:$B$201)</f>
        <v>Customer_42</v>
      </c>
      <c r="T443" t="str">
        <f>_xlfn.XLOOKUP(D443,[1]Products!$A$2:$A$101,[1]Products!$C$2:$C$101)</f>
        <v>Snacks</v>
      </c>
      <c r="U443">
        <f>_xlfn.XLOOKUP(D443,[1]Products!$A$2:$A$101,[1]Products!$E$2:$E$101)</f>
        <v>366</v>
      </c>
      <c r="V443">
        <f>[1]Transactions!F443*[1]Transactions!U443</f>
        <v>1464</v>
      </c>
    </row>
    <row r="444" spans="1:22" x14ac:dyDescent="0.3">
      <c r="A444">
        <v>443</v>
      </c>
      <c r="B444">
        <v>173</v>
      </c>
      <c r="C444">
        <v>9</v>
      </c>
      <c r="D444">
        <v>80</v>
      </c>
      <c r="E444">
        <v>12</v>
      </c>
      <c r="F444">
        <v>3</v>
      </c>
      <c r="G444">
        <v>229</v>
      </c>
      <c r="H444">
        <v>687</v>
      </c>
      <c r="I444">
        <v>52</v>
      </c>
      <c r="J444">
        <f>[1]Transactions!F444*[1]Transactions!G444</f>
        <v>687</v>
      </c>
      <c r="K444">
        <f>_xlfn.XLOOKUP([1]Transactions!D444,[1]Inventory!$C$2:$C$501,[1]Inventory!$A$2:$A$501)</f>
        <v>44</v>
      </c>
      <c r="L444">
        <f>_xlfn.XLOOKUP(K444,[1]Inventory!$A$2:$A$501,[1]Inventory!$D$2:$D$501)</f>
        <v>128</v>
      </c>
      <c r="M444">
        <f>_xlfn.XLOOKUP(K444,[1]Inventory!$A$2:$A$501,[1]Inventory!$E$2:$E$501)</f>
        <v>15</v>
      </c>
      <c r="N444" t="str">
        <f>_xlfn.XLOOKUP([1]Transactions!C444,[1]Customers!$A$2:$A$201,[1]Customers!$G$2:$G$201)</f>
        <v>Telangana</v>
      </c>
      <c r="O444" t="str">
        <f>_xlfn.XLOOKUP(C444,[1]Customers!$A$2:$A$201,[1]Customers!$H$2:$H$201)</f>
        <v>South</v>
      </c>
      <c r="P444" t="str">
        <f>_xlfn.XLOOKUP(C444,[1]Customers!$A$2:$A$201,[1]Customers!$F$2:$F$201)</f>
        <v>Hyderabad</v>
      </c>
      <c r="Q444">
        <f>_xlfn.XLOOKUP(C444,[1]Customers!$A$2:$A$201,[1]Customers!$D$2:$D$201)</f>
        <v>31</v>
      </c>
      <c r="R444" t="str">
        <f>_xlfn.XLOOKUP([1]Transactions!C444,[1]Customers!$A$2:$A$201,[1]Customers!$C$2:$C$201)</f>
        <v>Female</v>
      </c>
      <c r="S444" t="str">
        <f>_xlfn.XLOOKUP(C444,[1]Customers!$A$2:$A$201,[1]Customers!$B$2:$B$201)</f>
        <v>Customer_9</v>
      </c>
      <c r="T444" t="str">
        <f>_xlfn.XLOOKUP(D444,[1]Products!$A$2:$A$101,[1]Products!$C$2:$C$101)</f>
        <v>Dairy</v>
      </c>
      <c r="U444">
        <f>_xlfn.XLOOKUP(D444,[1]Products!$A$2:$A$101,[1]Products!$E$2:$E$101)</f>
        <v>272</v>
      </c>
      <c r="V444">
        <f>[1]Transactions!F444*[1]Transactions!U444</f>
        <v>816</v>
      </c>
    </row>
    <row r="445" spans="1:22" x14ac:dyDescent="0.3">
      <c r="A445">
        <v>444</v>
      </c>
      <c r="B445">
        <v>121</v>
      </c>
      <c r="C445">
        <v>181</v>
      </c>
      <c r="D445">
        <v>49</v>
      </c>
      <c r="E445">
        <v>27</v>
      </c>
      <c r="F445">
        <v>1</v>
      </c>
      <c r="G445">
        <v>304</v>
      </c>
      <c r="H445">
        <v>304</v>
      </c>
      <c r="I445">
        <v>48</v>
      </c>
      <c r="J445">
        <f>[1]Transactions!F445*[1]Transactions!G445</f>
        <v>304</v>
      </c>
      <c r="K445">
        <f>_xlfn.XLOOKUP([1]Transactions!D445,[1]Inventory!$C$2:$C$501,[1]Inventory!$A$2:$A$501)</f>
        <v>4</v>
      </c>
      <c r="L445">
        <f>_xlfn.XLOOKUP(K445,[1]Inventory!$A$2:$A$501,[1]Inventory!$D$2:$D$501)</f>
        <v>344</v>
      </c>
      <c r="M445">
        <f>_xlfn.XLOOKUP(K445,[1]Inventory!$A$2:$A$501,[1]Inventory!$E$2:$E$501)</f>
        <v>3</v>
      </c>
      <c r="N445" t="str">
        <f>_xlfn.XLOOKUP([1]Transactions!C445,[1]Customers!$A$2:$A$201,[1]Customers!$G$2:$G$201)</f>
        <v>Gujarat</v>
      </c>
      <c r="O445" t="str">
        <f>_xlfn.XLOOKUP(C445,[1]Customers!$A$2:$A$201,[1]Customers!$H$2:$H$201)</f>
        <v>West</v>
      </c>
      <c r="P445" t="str">
        <f>_xlfn.XLOOKUP(C445,[1]Customers!$A$2:$A$201,[1]Customers!$F$2:$F$201)</f>
        <v>Ahmedabad</v>
      </c>
      <c r="Q445">
        <f>_xlfn.XLOOKUP(C445,[1]Customers!$A$2:$A$201,[1]Customers!$D$2:$D$201)</f>
        <v>45</v>
      </c>
      <c r="R445" t="str">
        <f>_xlfn.XLOOKUP([1]Transactions!C445,[1]Customers!$A$2:$A$201,[1]Customers!$C$2:$C$201)</f>
        <v>Female</v>
      </c>
      <c r="S445" t="str">
        <f>_xlfn.XLOOKUP(C445,[1]Customers!$A$2:$A$201,[1]Customers!$B$2:$B$201)</f>
        <v>Customer_181</v>
      </c>
      <c r="T445" t="str">
        <f>_xlfn.XLOOKUP(D445,[1]Products!$A$2:$A$101,[1]Products!$C$2:$C$101)</f>
        <v>Dairy</v>
      </c>
      <c r="U445">
        <f>_xlfn.XLOOKUP(D445,[1]Products!$A$2:$A$101,[1]Products!$E$2:$E$101)</f>
        <v>117</v>
      </c>
      <c r="V445">
        <f>[1]Transactions!F445*[1]Transactions!U445</f>
        <v>117</v>
      </c>
    </row>
    <row r="446" spans="1:22" x14ac:dyDescent="0.3">
      <c r="A446">
        <v>445</v>
      </c>
      <c r="B446">
        <v>145</v>
      </c>
      <c r="C446">
        <v>118</v>
      </c>
      <c r="D446">
        <v>100</v>
      </c>
      <c r="E446">
        <v>41</v>
      </c>
      <c r="F446">
        <v>5</v>
      </c>
      <c r="G446">
        <v>214</v>
      </c>
      <c r="H446">
        <v>1070</v>
      </c>
      <c r="I446">
        <v>59</v>
      </c>
      <c r="J446">
        <f>[1]Transactions!F446*[1]Transactions!G446</f>
        <v>1070</v>
      </c>
      <c r="K446">
        <f>_xlfn.XLOOKUP([1]Transactions!D446,[1]Inventory!$C$2:$C$501,[1]Inventory!$A$2:$A$501)</f>
        <v>54</v>
      </c>
      <c r="L446">
        <f>_xlfn.XLOOKUP(K446,[1]Inventory!$A$2:$A$501,[1]Inventory!$D$2:$D$501)</f>
        <v>397</v>
      </c>
      <c r="M446">
        <f>_xlfn.XLOOKUP(K446,[1]Inventory!$A$2:$A$501,[1]Inventory!$E$2:$E$501)</f>
        <v>5</v>
      </c>
      <c r="N446" t="str">
        <f>_xlfn.XLOOKUP([1]Transactions!C446,[1]Customers!$A$2:$A$201,[1]Customers!$G$2:$G$201)</f>
        <v>Maharashtra</v>
      </c>
      <c r="O446" t="str">
        <f>_xlfn.XLOOKUP(C446,[1]Customers!$A$2:$A$201,[1]Customers!$H$2:$H$201)</f>
        <v>West</v>
      </c>
      <c r="P446" t="str">
        <f>_xlfn.XLOOKUP(C446,[1]Customers!$A$2:$A$201,[1]Customers!$F$2:$F$201)</f>
        <v>Mumbai</v>
      </c>
      <c r="Q446">
        <f>_xlfn.XLOOKUP(C446,[1]Customers!$A$2:$A$201,[1]Customers!$D$2:$D$201)</f>
        <v>23</v>
      </c>
      <c r="R446" t="str">
        <f>_xlfn.XLOOKUP([1]Transactions!C446,[1]Customers!$A$2:$A$201,[1]Customers!$C$2:$C$201)</f>
        <v>Male</v>
      </c>
      <c r="S446" t="str">
        <f>_xlfn.XLOOKUP(C446,[1]Customers!$A$2:$A$201,[1]Customers!$B$2:$B$201)</f>
        <v>Customer_118</v>
      </c>
      <c r="T446" t="str">
        <f>_xlfn.XLOOKUP(D446,[1]Products!$A$2:$A$101,[1]Products!$C$2:$C$101)</f>
        <v>Dairy</v>
      </c>
      <c r="U446">
        <f>_xlfn.XLOOKUP(D446,[1]Products!$A$2:$A$101,[1]Products!$E$2:$E$101)</f>
        <v>472</v>
      </c>
      <c r="V446">
        <f>[1]Transactions!F446*[1]Transactions!U446</f>
        <v>2360</v>
      </c>
    </row>
    <row r="447" spans="1:22" x14ac:dyDescent="0.3">
      <c r="A447">
        <v>446</v>
      </c>
      <c r="B447">
        <v>93</v>
      </c>
      <c r="C447">
        <v>194</v>
      </c>
      <c r="D447">
        <v>73</v>
      </c>
      <c r="E447">
        <v>50</v>
      </c>
      <c r="F447">
        <v>4</v>
      </c>
      <c r="G447">
        <v>346</v>
      </c>
      <c r="H447">
        <v>1384</v>
      </c>
      <c r="I447">
        <v>42</v>
      </c>
      <c r="J447">
        <f>[1]Transactions!F447*[1]Transactions!G447</f>
        <v>1384</v>
      </c>
      <c r="K447">
        <f>_xlfn.XLOOKUP([1]Transactions!D447,[1]Inventory!$C$2:$C$501,[1]Inventory!$A$2:$A$501)</f>
        <v>18</v>
      </c>
      <c r="L447">
        <f>_xlfn.XLOOKUP(K447,[1]Inventory!$A$2:$A$501,[1]Inventory!$D$2:$D$501)</f>
        <v>120</v>
      </c>
      <c r="M447">
        <f>_xlfn.XLOOKUP(K447,[1]Inventory!$A$2:$A$501,[1]Inventory!$E$2:$E$501)</f>
        <v>107</v>
      </c>
      <c r="N447" t="str">
        <f>_xlfn.XLOOKUP([1]Transactions!C447,[1]Customers!$A$2:$A$201,[1]Customers!$G$2:$G$201)</f>
        <v>Delhi</v>
      </c>
      <c r="O447" t="str">
        <f>_xlfn.XLOOKUP(C447,[1]Customers!$A$2:$A$201,[1]Customers!$H$2:$H$201)</f>
        <v>North</v>
      </c>
      <c r="P447" t="str">
        <f>_xlfn.XLOOKUP(C447,[1]Customers!$A$2:$A$201,[1]Customers!$F$2:$F$201)</f>
        <v>Delhi</v>
      </c>
      <c r="Q447">
        <f>_xlfn.XLOOKUP(C447,[1]Customers!$A$2:$A$201,[1]Customers!$D$2:$D$201)</f>
        <v>31</v>
      </c>
      <c r="R447" t="str">
        <f>_xlfn.XLOOKUP([1]Transactions!C447,[1]Customers!$A$2:$A$201,[1]Customers!$C$2:$C$201)</f>
        <v>Male</v>
      </c>
      <c r="S447" t="str">
        <f>_xlfn.XLOOKUP(C447,[1]Customers!$A$2:$A$201,[1]Customers!$B$2:$B$201)</f>
        <v>Customer_194</v>
      </c>
      <c r="T447" t="str">
        <f>_xlfn.XLOOKUP(D447,[1]Products!$A$2:$A$101,[1]Products!$C$2:$C$101)</f>
        <v>Beverages</v>
      </c>
      <c r="U447">
        <f>_xlfn.XLOOKUP(D447,[1]Products!$A$2:$A$101,[1]Products!$E$2:$E$101)</f>
        <v>55</v>
      </c>
      <c r="V447">
        <f>[1]Transactions!F447*[1]Transactions!U447</f>
        <v>220</v>
      </c>
    </row>
    <row r="448" spans="1:22" x14ac:dyDescent="0.3">
      <c r="A448">
        <v>447</v>
      </c>
      <c r="B448">
        <v>12</v>
      </c>
      <c r="C448">
        <v>138</v>
      </c>
      <c r="D448">
        <v>87</v>
      </c>
      <c r="E448">
        <v>48</v>
      </c>
      <c r="F448">
        <v>4</v>
      </c>
      <c r="G448">
        <v>493</v>
      </c>
      <c r="H448">
        <v>1972</v>
      </c>
      <c r="I448">
        <v>23</v>
      </c>
      <c r="J448">
        <f>[1]Transactions!F448*[1]Transactions!G448</f>
        <v>1972</v>
      </c>
      <c r="K448">
        <f>_xlfn.XLOOKUP([1]Transactions!D448,[1]Inventory!$C$2:$C$501,[1]Inventory!$A$2:$A$501)</f>
        <v>145</v>
      </c>
      <c r="L448">
        <f>_xlfn.XLOOKUP(K448,[1]Inventory!$A$2:$A$501,[1]Inventory!$D$2:$D$501)</f>
        <v>165</v>
      </c>
      <c r="M448">
        <f>_xlfn.XLOOKUP(K448,[1]Inventory!$A$2:$A$501,[1]Inventory!$E$2:$E$501)</f>
        <v>80</v>
      </c>
      <c r="N448" t="str">
        <f>_xlfn.XLOOKUP([1]Transactions!C448,[1]Customers!$A$2:$A$201,[1]Customers!$G$2:$G$201)</f>
        <v>Delhi</v>
      </c>
      <c r="O448" t="str">
        <f>_xlfn.XLOOKUP(C448,[1]Customers!$A$2:$A$201,[1]Customers!$H$2:$H$201)</f>
        <v>North</v>
      </c>
      <c r="P448" t="str">
        <f>_xlfn.XLOOKUP(C448,[1]Customers!$A$2:$A$201,[1]Customers!$F$2:$F$201)</f>
        <v>Delhi</v>
      </c>
      <c r="Q448">
        <f>_xlfn.XLOOKUP(C448,[1]Customers!$A$2:$A$201,[1]Customers!$D$2:$D$201)</f>
        <v>37</v>
      </c>
      <c r="R448" t="str">
        <f>_xlfn.XLOOKUP([1]Transactions!C448,[1]Customers!$A$2:$A$201,[1]Customers!$C$2:$C$201)</f>
        <v>Male</v>
      </c>
      <c r="S448" t="str">
        <f>_xlfn.XLOOKUP(C448,[1]Customers!$A$2:$A$201,[1]Customers!$B$2:$B$201)</f>
        <v>Customer_138</v>
      </c>
      <c r="T448" t="str">
        <f>_xlfn.XLOOKUP(D448,[1]Products!$A$2:$A$101,[1]Products!$C$2:$C$101)</f>
        <v>Snacks</v>
      </c>
      <c r="U448">
        <f>_xlfn.XLOOKUP(D448,[1]Products!$A$2:$A$101,[1]Products!$E$2:$E$101)</f>
        <v>115</v>
      </c>
      <c r="V448">
        <f>[1]Transactions!F448*[1]Transactions!U448</f>
        <v>460</v>
      </c>
    </row>
    <row r="449" spans="1:22" x14ac:dyDescent="0.3">
      <c r="A449">
        <v>448</v>
      </c>
      <c r="B449">
        <v>116</v>
      </c>
      <c r="C449">
        <v>135</v>
      </c>
      <c r="D449">
        <v>62</v>
      </c>
      <c r="E449">
        <v>23</v>
      </c>
      <c r="F449">
        <v>1</v>
      </c>
      <c r="G449">
        <v>474</v>
      </c>
      <c r="H449">
        <v>474</v>
      </c>
      <c r="I449">
        <v>53</v>
      </c>
      <c r="J449">
        <f>[1]Transactions!F449*[1]Transactions!G449</f>
        <v>474</v>
      </c>
      <c r="K449">
        <f>_xlfn.XLOOKUP([1]Transactions!D449,[1]Inventory!$C$2:$C$501,[1]Inventory!$A$2:$A$501)</f>
        <v>26</v>
      </c>
      <c r="L449">
        <f>_xlfn.XLOOKUP(K449,[1]Inventory!$A$2:$A$501,[1]Inventory!$D$2:$D$501)</f>
        <v>449</v>
      </c>
      <c r="M449">
        <f>_xlfn.XLOOKUP(K449,[1]Inventory!$A$2:$A$501,[1]Inventory!$E$2:$E$501)</f>
        <v>132</v>
      </c>
      <c r="N449" t="str">
        <f>_xlfn.XLOOKUP([1]Transactions!C449,[1]Customers!$A$2:$A$201,[1]Customers!$G$2:$G$201)</f>
        <v>UP</v>
      </c>
      <c r="O449" t="str">
        <f>_xlfn.XLOOKUP(C449,[1]Customers!$A$2:$A$201,[1]Customers!$H$2:$H$201)</f>
        <v>North</v>
      </c>
      <c r="P449" t="str">
        <f>_xlfn.XLOOKUP(C449,[1]Customers!$A$2:$A$201,[1]Customers!$F$2:$F$201)</f>
        <v>Lucknow</v>
      </c>
      <c r="Q449">
        <f>_xlfn.XLOOKUP(C449,[1]Customers!$A$2:$A$201,[1]Customers!$D$2:$D$201)</f>
        <v>25</v>
      </c>
      <c r="R449" t="str">
        <f>_xlfn.XLOOKUP([1]Transactions!C449,[1]Customers!$A$2:$A$201,[1]Customers!$C$2:$C$201)</f>
        <v>Male</v>
      </c>
      <c r="S449" t="str">
        <f>_xlfn.XLOOKUP(C449,[1]Customers!$A$2:$A$201,[1]Customers!$B$2:$B$201)</f>
        <v>Customer_135</v>
      </c>
      <c r="T449" t="str">
        <f>_xlfn.XLOOKUP(D449,[1]Products!$A$2:$A$101,[1]Products!$C$2:$C$101)</f>
        <v>Snacks</v>
      </c>
      <c r="U449">
        <f>_xlfn.XLOOKUP(D449,[1]Products!$A$2:$A$101,[1]Products!$E$2:$E$101)</f>
        <v>32</v>
      </c>
      <c r="V449">
        <f>[1]Transactions!F449*[1]Transactions!U449</f>
        <v>32</v>
      </c>
    </row>
    <row r="450" spans="1:22" x14ac:dyDescent="0.3">
      <c r="A450">
        <v>449</v>
      </c>
      <c r="B450">
        <v>74</v>
      </c>
      <c r="C450">
        <v>24</v>
      </c>
      <c r="D450">
        <v>74</v>
      </c>
      <c r="E450">
        <v>8</v>
      </c>
      <c r="F450">
        <v>5</v>
      </c>
      <c r="G450">
        <v>282</v>
      </c>
      <c r="H450">
        <v>1410</v>
      </c>
      <c r="I450">
        <v>24</v>
      </c>
      <c r="J450">
        <f>[1]Transactions!F450*[1]Transactions!G450</f>
        <v>1410</v>
      </c>
      <c r="K450">
        <f>_xlfn.XLOOKUP([1]Transactions!D450,[1]Inventory!$C$2:$C$501,[1]Inventory!$A$2:$A$501)</f>
        <v>165</v>
      </c>
      <c r="L450">
        <f>_xlfn.XLOOKUP(K450,[1]Inventory!$A$2:$A$501,[1]Inventory!$D$2:$D$501)</f>
        <v>414</v>
      </c>
      <c r="M450">
        <f>_xlfn.XLOOKUP(K450,[1]Inventory!$A$2:$A$501,[1]Inventory!$E$2:$E$501)</f>
        <v>51</v>
      </c>
      <c r="N450" t="str">
        <f>_xlfn.XLOOKUP([1]Transactions!C450,[1]Customers!$A$2:$A$201,[1]Customers!$G$2:$G$201)</f>
        <v>Gujarat</v>
      </c>
      <c r="O450" t="str">
        <f>_xlfn.XLOOKUP(C450,[1]Customers!$A$2:$A$201,[1]Customers!$H$2:$H$201)</f>
        <v>West</v>
      </c>
      <c r="P450" t="str">
        <f>_xlfn.XLOOKUP(C450,[1]Customers!$A$2:$A$201,[1]Customers!$F$2:$F$201)</f>
        <v>Ahmedabad</v>
      </c>
      <c r="Q450">
        <f>_xlfn.XLOOKUP(C450,[1]Customers!$A$2:$A$201,[1]Customers!$D$2:$D$201)</f>
        <v>58</v>
      </c>
      <c r="R450" t="str">
        <f>_xlfn.XLOOKUP([1]Transactions!C450,[1]Customers!$A$2:$A$201,[1]Customers!$C$2:$C$201)</f>
        <v>Male</v>
      </c>
      <c r="S450" t="str">
        <f>_xlfn.XLOOKUP(C450,[1]Customers!$A$2:$A$201,[1]Customers!$B$2:$B$201)</f>
        <v>Customer_24</v>
      </c>
      <c r="T450" t="str">
        <f>_xlfn.XLOOKUP(D450,[1]Products!$A$2:$A$101,[1]Products!$C$2:$C$101)</f>
        <v>Snacks</v>
      </c>
      <c r="U450">
        <f>_xlfn.XLOOKUP(D450,[1]Products!$A$2:$A$101,[1]Products!$E$2:$E$101)</f>
        <v>251</v>
      </c>
      <c r="V450">
        <f>[1]Transactions!F450*[1]Transactions!U450</f>
        <v>1255</v>
      </c>
    </row>
    <row r="451" spans="1:22" x14ac:dyDescent="0.3">
      <c r="A451">
        <v>450</v>
      </c>
      <c r="B451">
        <v>20</v>
      </c>
      <c r="C451">
        <v>103</v>
      </c>
      <c r="D451">
        <v>37</v>
      </c>
      <c r="E451">
        <v>8</v>
      </c>
      <c r="F451">
        <v>3</v>
      </c>
      <c r="G451">
        <v>423</v>
      </c>
      <c r="H451">
        <v>1269</v>
      </c>
      <c r="I451">
        <v>59</v>
      </c>
      <c r="J451">
        <f>[1]Transactions!F451*[1]Transactions!G451</f>
        <v>1269</v>
      </c>
      <c r="K451">
        <f>_xlfn.XLOOKUP([1]Transactions!D451,[1]Inventory!$C$2:$C$501,[1]Inventory!$A$2:$A$501)</f>
        <v>23</v>
      </c>
      <c r="L451">
        <f>_xlfn.XLOOKUP(K451,[1]Inventory!$A$2:$A$501,[1]Inventory!$D$2:$D$501)</f>
        <v>485</v>
      </c>
      <c r="M451">
        <f>_xlfn.XLOOKUP(K451,[1]Inventory!$A$2:$A$501,[1]Inventory!$E$2:$E$501)</f>
        <v>129</v>
      </c>
      <c r="N451" t="str">
        <f>_xlfn.XLOOKUP([1]Transactions!C451,[1]Customers!$A$2:$A$201,[1]Customers!$G$2:$G$201)</f>
        <v>Karnataka</v>
      </c>
      <c r="O451" t="str">
        <f>_xlfn.XLOOKUP(C451,[1]Customers!$A$2:$A$201,[1]Customers!$H$2:$H$201)</f>
        <v>South</v>
      </c>
      <c r="P451" t="str">
        <f>_xlfn.XLOOKUP(C451,[1]Customers!$A$2:$A$201,[1]Customers!$F$2:$F$201)</f>
        <v>Bangalore</v>
      </c>
      <c r="Q451">
        <f>_xlfn.XLOOKUP(C451,[1]Customers!$A$2:$A$201,[1]Customers!$D$2:$D$201)</f>
        <v>51</v>
      </c>
      <c r="R451" t="str">
        <f>_xlfn.XLOOKUP([1]Transactions!C451,[1]Customers!$A$2:$A$201,[1]Customers!$C$2:$C$201)</f>
        <v>Female</v>
      </c>
      <c r="S451" t="str">
        <f>_xlfn.XLOOKUP(C451,[1]Customers!$A$2:$A$201,[1]Customers!$B$2:$B$201)</f>
        <v>Customer_103</v>
      </c>
      <c r="T451" t="str">
        <f>_xlfn.XLOOKUP(D451,[1]Products!$A$2:$A$101,[1]Products!$C$2:$C$101)</f>
        <v>Grocery</v>
      </c>
      <c r="U451">
        <f>_xlfn.XLOOKUP(D451,[1]Products!$A$2:$A$101,[1]Products!$E$2:$E$101)</f>
        <v>210</v>
      </c>
      <c r="V451">
        <f>[1]Transactions!F451*[1]Transactions!U451</f>
        <v>630</v>
      </c>
    </row>
    <row r="452" spans="1:22" x14ac:dyDescent="0.3">
      <c r="A452">
        <v>451</v>
      </c>
      <c r="B452">
        <v>102</v>
      </c>
      <c r="C452">
        <v>14</v>
      </c>
      <c r="D452">
        <v>65</v>
      </c>
      <c r="E452">
        <v>12</v>
      </c>
      <c r="F452">
        <v>3</v>
      </c>
      <c r="G452">
        <v>373</v>
      </c>
      <c r="H452">
        <v>1119</v>
      </c>
      <c r="I452">
        <v>32</v>
      </c>
      <c r="J452">
        <f>[1]Transactions!F452*[1]Transactions!G452</f>
        <v>1119</v>
      </c>
      <c r="K452">
        <f>_xlfn.XLOOKUP([1]Transactions!D452,[1]Inventory!$C$2:$C$501,[1]Inventory!$A$2:$A$501)</f>
        <v>175</v>
      </c>
      <c r="L452">
        <f>_xlfn.XLOOKUP(K452,[1]Inventory!$A$2:$A$501,[1]Inventory!$D$2:$D$501)</f>
        <v>111</v>
      </c>
      <c r="M452">
        <f>_xlfn.XLOOKUP(K452,[1]Inventory!$A$2:$A$501,[1]Inventory!$E$2:$E$501)</f>
        <v>27</v>
      </c>
      <c r="N452" t="str">
        <f>_xlfn.XLOOKUP([1]Transactions!C452,[1]Customers!$A$2:$A$201,[1]Customers!$G$2:$G$201)</f>
        <v>Rajasthan</v>
      </c>
      <c r="O452" t="str">
        <f>_xlfn.XLOOKUP(C452,[1]Customers!$A$2:$A$201,[1]Customers!$H$2:$H$201)</f>
        <v>North</v>
      </c>
      <c r="P452" t="str">
        <f>_xlfn.XLOOKUP(C452,[1]Customers!$A$2:$A$201,[1]Customers!$F$2:$F$201)</f>
        <v>Jaipur</v>
      </c>
      <c r="Q452">
        <f>_xlfn.XLOOKUP(C452,[1]Customers!$A$2:$A$201,[1]Customers!$D$2:$D$201)</f>
        <v>41</v>
      </c>
      <c r="R452" t="str">
        <f>_xlfn.XLOOKUP([1]Transactions!C452,[1]Customers!$A$2:$A$201,[1]Customers!$C$2:$C$201)</f>
        <v>Male</v>
      </c>
      <c r="S452" t="str">
        <f>_xlfn.XLOOKUP(C452,[1]Customers!$A$2:$A$201,[1]Customers!$B$2:$B$201)</f>
        <v>Customer_14</v>
      </c>
      <c r="T452" t="str">
        <f>_xlfn.XLOOKUP(D452,[1]Products!$A$2:$A$101,[1]Products!$C$2:$C$101)</f>
        <v>Snacks</v>
      </c>
      <c r="U452">
        <f>_xlfn.XLOOKUP(D452,[1]Products!$A$2:$A$101,[1]Products!$E$2:$E$101)</f>
        <v>309</v>
      </c>
      <c r="V452">
        <f>[1]Transactions!F452*[1]Transactions!U452</f>
        <v>927</v>
      </c>
    </row>
    <row r="453" spans="1:22" x14ac:dyDescent="0.3">
      <c r="A453">
        <v>452</v>
      </c>
      <c r="B453">
        <v>54</v>
      </c>
      <c r="C453">
        <v>4</v>
      </c>
      <c r="D453">
        <v>52</v>
      </c>
      <c r="E453">
        <v>39</v>
      </c>
      <c r="F453">
        <v>1</v>
      </c>
      <c r="G453">
        <v>140</v>
      </c>
      <c r="H453">
        <v>140</v>
      </c>
      <c r="I453">
        <v>13</v>
      </c>
      <c r="J453">
        <f>[1]Transactions!F453*[1]Transactions!G453</f>
        <v>140</v>
      </c>
      <c r="K453">
        <f>_xlfn.XLOOKUP([1]Transactions!D453,[1]Inventory!$C$2:$C$501,[1]Inventory!$A$2:$A$501)</f>
        <v>2</v>
      </c>
      <c r="L453">
        <f>_xlfn.XLOOKUP(K453,[1]Inventory!$A$2:$A$501,[1]Inventory!$D$2:$D$501)</f>
        <v>420</v>
      </c>
      <c r="M453">
        <f>_xlfn.XLOOKUP(K453,[1]Inventory!$A$2:$A$501,[1]Inventory!$E$2:$E$501)</f>
        <v>29</v>
      </c>
      <c r="N453" t="str">
        <f>_xlfn.XLOOKUP([1]Transactions!C453,[1]Customers!$A$2:$A$201,[1]Customers!$G$2:$G$201)</f>
        <v>Rajasthan</v>
      </c>
      <c r="O453" t="str">
        <f>_xlfn.XLOOKUP(C453,[1]Customers!$A$2:$A$201,[1]Customers!$H$2:$H$201)</f>
        <v>North</v>
      </c>
      <c r="P453" t="str">
        <f>_xlfn.XLOOKUP(C453,[1]Customers!$A$2:$A$201,[1]Customers!$F$2:$F$201)</f>
        <v>Jaipur</v>
      </c>
      <c r="Q453">
        <f>_xlfn.XLOOKUP(C453,[1]Customers!$A$2:$A$201,[1]Customers!$D$2:$D$201)</f>
        <v>46</v>
      </c>
      <c r="R453" t="str">
        <f>_xlfn.XLOOKUP([1]Transactions!C453,[1]Customers!$A$2:$A$201,[1]Customers!$C$2:$C$201)</f>
        <v>Male</v>
      </c>
      <c r="S453" t="str">
        <f>_xlfn.XLOOKUP(C453,[1]Customers!$A$2:$A$201,[1]Customers!$B$2:$B$201)</f>
        <v>Customer_4</v>
      </c>
      <c r="T453" t="str">
        <f>_xlfn.XLOOKUP(D453,[1]Products!$A$2:$A$101,[1]Products!$C$2:$C$101)</f>
        <v>Dairy</v>
      </c>
      <c r="U453">
        <f>_xlfn.XLOOKUP(D453,[1]Products!$A$2:$A$101,[1]Products!$E$2:$E$101)</f>
        <v>257</v>
      </c>
      <c r="V453">
        <f>[1]Transactions!F453*[1]Transactions!U453</f>
        <v>257</v>
      </c>
    </row>
    <row r="454" spans="1:22" x14ac:dyDescent="0.3">
      <c r="A454">
        <v>453</v>
      </c>
      <c r="B454">
        <v>166</v>
      </c>
      <c r="C454">
        <v>88</v>
      </c>
      <c r="D454">
        <v>46</v>
      </c>
      <c r="E454">
        <v>28</v>
      </c>
      <c r="F454">
        <v>1</v>
      </c>
      <c r="G454">
        <v>174</v>
      </c>
      <c r="H454">
        <v>174</v>
      </c>
      <c r="I454">
        <v>57</v>
      </c>
      <c r="J454">
        <f>[1]Transactions!F454*[1]Transactions!G454</f>
        <v>174</v>
      </c>
      <c r="K454">
        <f>_xlfn.XLOOKUP([1]Transactions!D454,[1]Inventory!$C$2:$C$501,[1]Inventory!$A$2:$A$501)</f>
        <v>218</v>
      </c>
      <c r="L454">
        <f>_xlfn.XLOOKUP(K454,[1]Inventory!$A$2:$A$501,[1]Inventory!$D$2:$D$501)</f>
        <v>426</v>
      </c>
      <c r="M454">
        <f>_xlfn.XLOOKUP(K454,[1]Inventory!$A$2:$A$501,[1]Inventory!$E$2:$E$501)</f>
        <v>14</v>
      </c>
      <c r="N454" t="str">
        <f>_xlfn.XLOOKUP([1]Transactions!C454,[1]Customers!$A$2:$A$201,[1]Customers!$G$2:$G$201)</f>
        <v>West Bengal</v>
      </c>
      <c r="O454" t="str">
        <f>_xlfn.XLOOKUP(C454,[1]Customers!$A$2:$A$201,[1]Customers!$H$2:$H$201)</f>
        <v>East</v>
      </c>
      <c r="P454" t="str">
        <f>_xlfn.XLOOKUP(C454,[1]Customers!$A$2:$A$201,[1]Customers!$F$2:$F$201)</f>
        <v>Kolkata</v>
      </c>
      <c r="Q454">
        <f>_xlfn.XLOOKUP(C454,[1]Customers!$A$2:$A$201,[1]Customers!$D$2:$D$201)</f>
        <v>36</v>
      </c>
      <c r="R454" t="str">
        <f>_xlfn.XLOOKUP([1]Transactions!C454,[1]Customers!$A$2:$A$201,[1]Customers!$C$2:$C$201)</f>
        <v>Female</v>
      </c>
      <c r="S454" t="str">
        <f>_xlfn.XLOOKUP(C454,[1]Customers!$A$2:$A$201,[1]Customers!$B$2:$B$201)</f>
        <v>Customer_88</v>
      </c>
      <c r="T454" t="str">
        <f>_xlfn.XLOOKUP(D454,[1]Products!$A$2:$A$101,[1]Products!$C$2:$C$101)</f>
        <v>Personal Care</v>
      </c>
      <c r="U454">
        <f>_xlfn.XLOOKUP(D454,[1]Products!$A$2:$A$101,[1]Products!$E$2:$E$101)</f>
        <v>56</v>
      </c>
      <c r="V454">
        <f>[1]Transactions!F454*[1]Transactions!U454</f>
        <v>56</v>
      </c>
    </row>
    <row r="455" spans="1:22" x14ac:dyDescent="0.3">
      <c r="A455">
        <v>454</v>
      </c>
      <c r="B455">
        <v>90</v>
      </c>
      <c r="C455">
        <v>26</v>
      </c>
      <c r="D455">
        <v>39</v>
      </c>
      <c r="E455">
        <v>34</v>
      </c>
      <c r="F455">
        <v>4</v>
      </c>
      <c r="G455">
        <v>50</v>
      </c>
      <c r="H455">
        <v>200</v>
      </c>
      <c r="I455">
        <v>54</v>
      </c>
      <c r="J455">
        <f>[1]Transactions!F455*[1]Transactions!G455</f>
        <v>200</v>
      </c>
      <c r="K455">
        <f>_xlfn.XLOOKUP([1]Transactions!D455,[1]Inventory!$C$2:$C$501,[1]Inventory!$A$2:$A$501)</f>
        <v>122</v>
      </c>
      <c r="L455">
        <f>_xlfn.XLOOKUP(K455,[1]Inventory!$A$2:$A$501,[1]Inventory!$D$2:$D$501)</f>
        <v>220</v>
      </c>
      <c r="M455">
        <f>_xlfn.XLOOKUP(K455,[1]Inventory!$A$2:$A$501,[1]Inventory!$E$2:$E$501)</f>
        <v>113</v>
      </c>
      <c r="N455" t="str">
        <f>_xlfn.XLOOKUP([1]Transactions!C455,[1]Customers!$A$2:$A$201,[1]Customers!$G$2:$G$201)</f>
        <v>Tamil Nadu</v>
      </c>
      <c r="O455" t="str">
        <f>_xlfn.XLOOKUP(C455,[1]Customers!$A$2:$A$201,[1]Customers!$H$2:$H$201)</f>
        <v>South</v>
      </c>
      <c r="P455" t="str">
        <f>_xlfn.XLOOKUP(C455,[1]Customers!$A$2:$A$201,[1]Customers!$F$2:$F$201)</f>
        <v>Chennai</v>
      </c>
      <c r="Q455">
        <f>_xlfn.XLOOKUP(C455,[1]Customers!$A$2:$A$201,[1]Customers!$D$2:$D$201)</f>
        <v>38</v>
      </c>
      <c r="R455" t="str">
        <f>_xlfn.XLOOKUP([1]Transactions!C455,[1]Customers!$A$2:$A$201,[1]Customers!$C$2:$C$201)</f>
        <v>Male</v>
      </c>
      <c r="S455" t="str">
        <f>_xlfn.XLOOKUP(C455,[1]Customers!$A$2:$A$201,[1]Customers!$B$2:$B$201)</f>
        <v>Customer_26</v>
      </c>
      <c r="T455" t="str">
        <f>_xlfn.XLOOKUP(D455,[1]Products!$A$2:$A$101,[1]Products!$C$2:$C$101)</f>
        <v>Grocery</v>
      </c>
      <c r="U455">
        <f>_xlfn.XLOOKUP(D455,[1]Products!$A$2:$A$101,[1]Products!$E$2:$E$101)</f>
        <v>50</v>
      </c>
      <c r="V455">
        <f>[1]Transactions!F455*[1]Transactions!U455</f>
        <v>200</v>
      </c>
    </row>
    <row r="456" spans="1:22" x14ac:dyDescent="0.3">
      <c r="A456">
        <v>455</v>
      </c>
      <c r="B456">
        <v>29</v>
      </c>
      <c r="C456">
        <v>158</v>
      </c>
      <c r="D456">
        <v>93</v>
      </c>
      <c r="E456">
        <v>13</v>
      </c>
      <c r="F456">
        <v>5</v>
      </c>
      <c r="G456">
        <v>46</v>
      </c>
      <c r="H456">
        <v>230</v>
      </c>
      <c r="I456">
        <v>53</v>
      </c>
      <c r="J456">
        <f>[1]Transactions!F456*[1]Transactions!G456</f>
        <v>230</v>
      </c>
      <c r="K456">
        <f>_xlfn.XLOOKUP([1]Transactions!D456,[1]Inventory!$C$2:$C$501,[1]Inventory!$A$2:$A$501)</f>
        <v>35</v>
      </c>
      <c r="L456">
        <f>_xlfn.XLOOKUP(K456,[1]Inventory!$A$2:$A$501,[1]Inventory!$D$2:$D$501)</f>
        <v>402</v>
      </c>
      <c r="M456">
        <f>_xlfn.XLOOKUP(K456,[1]Inventory!$A$2:$A$501,[1]Inventory!$E$2:$E$501)</f>
        <v>94</v>
      </c>
      <c r="N456" t="str">
        <f>_xlfn.XLOOKUP([1]Transactions!C456,[1]Customers!$A$2:$A$201,[1]Customers!$G$2:$G$201)</f>
        <v>Telangana</v>
      </c>
      <c r="O456" t="str">
        <f>_xlfn.XLOOKUP(C456,[1]Customers!$A$2:$A$201,[1]Customers!$H$2:$H$201)</f>
        <v>South</v>
      </c>
      <c r="P456" t="str">
        <f>_xlfn.XLOOKUP(C456,[1]Customers!$A$2:$A$201,[1]Customers!$F$2:$F$201)</f>
        <v>Hyderabad</v>
      </c>
      <c r="Q456">
        <f>_xlfn.XLOOKUP(C456,[1]Customers!$A$2:$A$201,[1]Customers!$D$2:$D$201)</f>
        <v>30</v>
      </c>
      <c r="R456" t="str">
        <f>_xlfn.XLOOKUP([1]Transactions!C456,[1]Customers!$A$2:$A$201,[1]Customers!$C$2:$C$201)</f>
        <v>Male</v>
      </c>
      <c r="S456" t="str">
        <f>_xlfn.XLOOKUP(C456,[1]Customers!$A$2:$A$201,[1]Customers!$B$2:$B$201)</f>
        <v>Customer_158</v>
      </c>
      <c r="T456" t="str">
        <f>_xlfn.XLOOKUP(D456,[1]Products!$A$2:$A$101,[1]Products!$C$2:$C$101)</f>
        <v>Beverages</v>
      </c>
      <c r="U456">
        <f>_xlfn.XLOOKUP(D456,[1]Products!$A$2:$A$101,[1]Products!$E$2:$E$101)</f>
        <v>423</v>
      </c>
      <c r="V456">
        <f>[1]Transactions!F456*[1]Transactions!U456</f>
        <v>2115</v>
      </c>
    </row>
    <row r="457" spans="1:22" x14ac:dyDescent="0.3">
      <c r="A457">
        <v>456</v>
      </c>
      <c r="B457">
        <v>89</v>
      </c>
      <c r="C457">
        <v>105</v>
      </c>
      <c r="D457">
        <v>8</v>
      </c>
      <c r="E457">
        <v>49</v>
      </c>
      <c r="F457">
        <v>3</v>
      </c>
      <c r="G457">
        <v>321</v>
      </c>
      <c r="H457">
        <v>963</v>
      </c>
      <c r="I457">
        <v>11</v>
      </c>
      <c r="J457">
        <f>[1]Transactions!F457*[1]Transactions!G457</f>
        <v>963</v>
      </c>
      <c r="K457">
        <f>_xlfn.XLOOKUP([1]Transactions!D457,[1]Inventory!$C$2:$C$501,[1]Inventory!$A$2:$A$501)</f>
        <v>67</v>
      </c>
      <c r="L457">
        <f>_xlfn.XLOOKUP(K457,[1]Inventory!$A$2:$A$501,[1]Inventory!$D$2:$D$501)</f>
        <v>378</v>
      </c>
      <c r="M457">
        <f>_xlfn.XLOOKUP(K457,[1]Inventory!$A$2:$A$501,[1]Inventory!$E$2:$E$501)</f>
        <v>151</v>
      </c>
      <c r="N457" t="str">
        <f>_xlfn.XLOOKUP([1]Transactions!C457,[1]Customers!$A$2:$A$201,[1]Customers!$G$2:$G$201)</f>
        <v>Rajasthan</v>
      </c>
      <c r="O457" t="str">
        <f>_xlfn.XLOOKUP(C457,[1]Customers!$A$2:$A$201,[1]Customers!$H$2:$H$201)</f>
        <v>North</v>
      </c>
      <c r="P457" t="str">
        <f>_xlfn.XLOOKUP(C457,[1]Customers!$A$2:$A$201,[1]Customers!$F$2:$F$201)</f>
        <v>Jaipur</v>
      </c>
      <c r="Q457">
        <f>_xlfn.XLOOKUP(C457,[1]Customers!$A$2:$A$201,[1]Customers!$D$2:$D$201)</f>
        <v>20</v>
      </c>
      <c r="R457" t="str">
        <f>_xlfn.XLOOKUP([1]Transactions!C457,[1]Customers!$A$2:$A$201,[1]Customers!$C$2:$C$201)</f>
        <v>Male</v>
      </c>
      <c r="S457" t="str">
        <f>_xlfn.XLOOKUP(C457,[1]Customers!$A$2:$A$201,[1]Customers!$B$2:$B$201)</f>
        <v>Customer_105</v>
      </c>
      <c r="T457" t="str">
        <f>_xlfn.XLOOKUP(D457,[1]Products!$A$2:$A$101,[1]Products!$C$2:$C$101)</f>
        <v>Dairy</v>
      </c>
      <c r="U457">
        <f>_xlfn.XLOOKUP(D457,[1]Products!$A$2:$A$101,[1]Products!$E$2:$E$101)</f>
        <v>293</v>
      </c>
      <c r="V457">
        <f>[1]Transactions!F457*[1]Transactions!U457</f>
        <v>879</v>
      </c>
    </row>
    <row r="458" spans="1:22" x14ac:dyDescent="0.3">
      <c r="A458">
        <v>457</v>
      </c>
      <c r="B458">
        <v>170</v>
      </c>
      <c r="C458">
        <v>187</v>
      </c>
      <c r="D458">
        <v>44</v>
      </c>
      <c r="E458">
        <v>36</v>
      </c>
      <c r="F458">
        <v>2</v>
      </c>
      <c r="G458">
        <v>436</v>
      </c>
      <c r="H458">
        <v>872</v>
      </c>
      <c r="I458">
        <v>35</v>
      </c>
      <c r="J458">
        <f>[1]Transactions!F458*[1]Transactions!G458</f>
        <v>872</v>
      </c>
      <c r="K458">
        <f>_xlfn.XLOOKUP([1]Transactions!D458,[1]Inventory!$C$2:$C$501,[1]Inventory!$A$2:$A$501)</f>
        <v>72</v>
      </c>
      <c r="L458">
        <f>_xlfn.XLOOKUP(K458,[1]Inventory!$A$2:$A$501,[1]Inventory!$D$2:$D$501)</f>
        <v>462</v>
      </c>
      <c r="M458">
        <f>_xlfn.XLOOKUP(K458,[1]Inventory!$A$2:$A$501,[1]Inventory!$E$2:$E$501)</f>
        <v>9</v>
      </c>
      <c r="N458" t="str">
        <f>_xlfn.XLOOKUP([1]Transactions!C458,[1]Customers!$A$2:$A$201,[1]Customers!$G$2:$G$201)</f>
        <v>Rajasthan</v>
      </c>
      <c r="O458" t="str">
        <f>_xlfn.XLOOKUP(C458,[1]Customers!$A$2:$A$201,[1]Customers!$H$2:$H$201)</f>
        <v>North</v>
      </c>
      <c r="P458" t="str">
        <f>_xlfn.XLOOKUP(C458,[1]Customers!$A$2:$A$201,[1]Customers!$F$2:$F$201)</f>
        <v>Jaipur</v>
      </c>
      <c r="Q458">
        <f>_xlfn.XLOOKUP(C458,[1]Customers!$A$2:$A$201,[1]Customers!$D$2:$D$201)</f>
        <v>49</v>
      </c>
      <c r="R458" t="str">
        <f>_xlfn.XLOOKUP([1]Transactions!C458,[1]Customers!$A$2:$A$201,[1]Customers!$C$2:$C$201)</f>
        <v>Female</v>
      </c>
      <c r="S458" t="str">
        <f>_xlfn.XLOOKUP(C458,[1]Customers!$A$2:$A$201,[1]Customers!$B$2:$B$201)</f>
        <v>Customer_187</v>
      </c>
      <c r="T458" t="str">
        <f>_xlfn.XLOOKUP(D458,[1]Products!$A$2:$A$101,[1]Products!$C$2:$C$101)</f>
        <v>Dairy</v>
      </c>
      <c r="U458">
        <f>_xlfn.XLOOKUP(D458,[1]Products!$A$2:$A$101,[1]Products!$E$2:$E$101)</f>
        <v>181</v>
      </c>
      <c r="V458">
        <f>[1]Transactions!F458*[1]Transactions!U458</f>
        <v>362</v>
      </c>
    </row>
    <row r="459" spans="1:22" x14ac:dyDescent="0.3">
      <c r="A459">
        <v>458</v>
      </c>
      <c r="B459">
        <v>44</v>
      </c>
      <c r="C459">
        <v>174</v>
      </c>
      <c r="D459">
        <v>74</v>
      </c>
      <c r="E459">
        <v>5</v>
      </c>
      <c r="F459">
        <v>4</v>
      </c>
      <c r="G459">
        <v>320</v>
      </c>
      <c r="H459">
        <v>1280</v>
      </c>
      <c r="I459">
        <v>45</v>
      </c>
      <c r="J459">
        <f>[1]Transactions!F459*[1]Transactions!G459</f>
        <v>1280</v>
      </c>
      <c r="K459">
        <f>_xlfn.XLOOKUP([1]Transactions!D459,[1]Inventory!$C$2:$C$501,[1]Inventory!$A$2:$A$501)</f>
        <v>165</v>
      </c>
      <c r="L459">
        <f>_xlfn.XLOOKUP(K459,[1]Inventory!$A$2:$A$501,[1]Inventory!$D$2:$D$501)</f>
        <v>414</v>
      </c>
      <c r="M459">
        <f>_xlfn.XLOOKUP(K459,[1]Inventory!$A$2:$A$501,[1]Inventory!$E$2:$E$501)</f>
        <v>51</v>
      </c>
      <c r="N459" t="str">
        <f>_xlfn.XLOOKUP([1]Transactions!C459,[1]Customers!$A$2:$A$201,[1]Customers!$G$2:$G$201)</f>
        <v>UP</v>
      </c>
      <c r="O459" t="str">
        <f>_xlfn.XLOOKUP(C459,[1]Customers!$A$2:$A$201,[1]Customers!$H$2:$H$201)</f>
        <v>North</v>
      </c>
      <c r="P459" t="str">
        <f>_xlfn.XLOOKUP(C459,[1]Customers!$A$2:$A$201,[1]Customers!$F$2:$F$201)</f>
        <v>Lucknow</v>
      </c>
      <c r="Q459">
        <f>_xlfn.XLOOKUP(C459,[1]Customers!$A$2:$A$201,[1]Customers!$D$2:$D$201)</f>
        <v>59</v>
      </c>
      <c r="R459" t="str">
        <f>_xlfn.XLOOKUP([1]Transactions!C459,[1]Customers!$A$2:$A$201,[1]Customers!$C$2:$C$201)</f>
        <v>Male</v>
      </c>
      <c r="S459" t="str">
        <f>_xlfn.XLOOKUP(C459,[1]Customers!$A$2:$A$201,[1]Customers!$B$2:$B$201)</f>
        <v>Customer_174</v>
      </c>
      <c r="T459" t="str">
        <f>_xlfn.XLOOKUP(D459,[1]Products!$A$2:$A$101,[1]Products!$C$2:$C$101)</f>
        <v>Snacks</v>
      </c>
      <c r="U459">
        <f>_xlfn.XLOOKUP(D459,[1]Products!$A$2:$A$101,[1]Products!$E$2:$E$101)</f>
        <v>251</v>
      </c>
      <c r="V459">
        <f>[1]Transactions!F459*[1]Transactions!U459</f>
        <v>1004</v>
      </c>
    </row>
    <row r="460" spans="1:22" x14ac:dyDescent="0.3">
      <c r="A460">
        <v>459</v>
      </c>
      <c r="B460">
        <v>115</v>
      </c>
      <c r="C460">
        <v>19</v>
      </c>
      <c r="D460">
        <v>46</v>
      </c>
      <c r="E460">
        <v>37</v>
      </c>
      <c r="F460">
        <v>3</v>
      </c>
      <c r="G460">
        <v>97</v>
      </c>
      <c r="H460">
        <v>291</v>
      </c>
      <c r="I460">
        <v>45</v>
      </c>
      <c r="J460">
        <f>[1]Transactions!F460*[1]Transactions!G460</f>
        <v>291</v>
      </c>
      <c r="K460">
        <f>_xlfn.XLOOKUP([1]Transactions!D460,[1]Inventory!$C$2:$C$501,[1]Inventory!$A$2:$A$501)</f>
        <v>218</v>
      </c>
      <c r="L460">
        <f>_xlfn.XLOOKUP(K460,[1]Inventory!$A$2:$A$501,[1]Inventory!$D$2:$D$501)</f>
        <v>426</v>
      </c>
      <c r="M460">
        <f>_xlfn.XLOOKUP(K460,[1]Inventory!$A$2:$A$501,[1]Inventory!$E$2:$E$501)</f>
        <v>14</v>
      </c>
      <c r="N460" t="str">
        <f>_xlfn.XLOOKUP([1]Transactions!C460,[1]Customers!$A$2:$A$201,[1]Customers!$G$2:$G$201)</f>
        <v>Maharashtra</v>
      </c>
      <c r="O460" t="str">
        <f>_xlfn.XLOOKUP(C460,[1]Customers!$A$2:$A$201,[1]Customers!$H$2:$H$201)</f>
        <v>West</v>
      </c>
      <c r="P460" t="str">
        <f>_xlfn.XLOOKUP(C460,[1]Customers!$A$2:$A$201,[1]Customers!$F$2:$F$201)</f>
        <v>Pune</v>
      </c>
      <c r="Q460">
        <f>_xlfn.XLOOKUP(C460,[1]Customers!$A$2:$A$201,[1]Customers!$D$2:$D$201)</f>
        <v>39</v>
      </c>
      <c r="R460" t="str">
        <f>_xlfn.XLOOKUP([1]Transactions!C460,[1]Customers!$A$2:$A$201,[1]Customers!$C$2:$C$201)</f>
        <v>Female</v>
      </c>
      <c r="S460" t="str">
        <f>_xlfn.XLOOKUP(C460,[1]Customers!$A$2:$A$201,[1]Customers!$B$2:$B$201)</f>
        <v>Customer_19</v>
      </c>
      <c r="T460" t="str">
        <f>_xlfn.XLOOKUP(D460,[1]Products!$A$2:$A$101,[1]Products!$C$2:$C$101)</f>
        <v>Personal Care</v>
      </c>
      <c r="U460">
        <f>_xlfn.XLOOKUP(D460,[1]Products!$A$2:$A$101,[1]Products!$E$2:$E$101)</f>
        <v>56</v>
      </c>
      <c r="V460">
        <f>[1]Transactions!F460*[1]Transactions!U460</f>
        <v>168</v>
      </c>
    </row>
    <row r="461" spans="1:22" x14ac:dyDescent="0.3">
      <c r="A461">
        <v>460</v>
      </c>
      <c r="B461">
        <v>59</v>
      </c>
      <c r="C461">
        <v>108</v>
      </c>
      <c r="D461">
        <v>30</v>
      </c>
      <c r="E461">
        <v>2</v>
      </c>
      <c r="F461">
        <v>5</v>
      </c>
      <c r="G461">
        <v>400</v>
      </c>
      <c r="H461">
        <v>2000</v>
      </c>
      <c r="I461">
        <v>54</v>
      </c>
      <c r="J461">
        <f>[1]Transactions!F461*[1]Transactions!G461</f>
        <v>2000</v>
      </c>
      <c r="K461">
        <f>_xlfn.XLOOKUP([1]Transactions!D461,[1]Inventory!$C$2:$C$501,[1]Inventory!$A$2:$A$501)</f>
        <v>68</v>
      </c>
      <c r="L461">
        <f>_xlfn.XLOOKUP(K461,[1]Inventory!$A$2:$A$501,[1]Inventory!$D$2:$D$501)</f>
        <v>179</v>
      </c>
      <c r="M461">
        <f>_xlfn.XLOOKUP(K461,[1]Inventory!$A$2:$A$501,[1]Inventory!$E$2:$E$501)</f>
        <v>103</v>
      </c>
      <c r="N461" t="str">
        <f>_xlfn.XLOOKUP([1]Transactions!C461,[1]Customers!$A$2:$A$201,[1]Customers!$G$2:$G$201)</f>
        <v>Tamil Nadu</v>
      </c>
      <c r="O461" t="str">
        <f>_xlfn.XLOOKUP(C461,[1]Customers!$A$2:$A$201,[1]Customers!$H$2:$H$201)</f>
        <v>South</v>
      </c>
      <c r="P461" t="str">
        <f>_xlfn.XLOOKUP(C461,[1]Customers!$A$2:$A$201,[1]Customers!$F$2:$F$201)</f>
        <v>Chennai</v>
      </c>
      <c r="Q461">
        <f>_xlfn.XLOOKUP(C461,[1]Customers!$A$2:$A$201,[1]Customers!$D$2:$D$201)</f>
        <v>49</v>
      </c>
      <c r="R461" t="str">
        <f>_xlfn.XLOOKUP([1]Transactions!C461,[1]Customers!$A$2:$A$201,[1]Customers!$C$2:$C$201)</f>
        <v>Male</v>
      </c>
      <c r="S461" t="str">
        <f>_xlfn.XLOOKUP(C461,[1]Customers!$A$2:$A$201,[1]Customers!$B$2:$B$201)</f>
        <v>Customer_108</v>
      </c>
      <c r="T461" t="str">
        <f>_xlfn.XLOOKUP(D461,[1]Products!$A$2:$A$101,[1]Products!$C$2:$C$101)</f>
        <v>Beverages</v>
      </c>
      <c r="U461">
        <f>_xlfn.XLOOKUP(D461,[1]Products!$A$2:$A$101,[1]Products!$E$2:$E$101)</f>
        <v>230</v>
      </c>
      <c r="V461">
        <f>[1]Transactions!F461*[1]Transactions!U461</f>
        <v>1150</v>
      </c>
    </row>
    <row r="462" spans="1:22" x14ac:dyDescent="0.3">
      <c r="A462">
        <v>461</v>
      </c>
      <c r="B462">
        <v>173</v>
      </c>
      <c r="C462">
        <v>124</v>
      </c>
      <c r="D462">
        <v>100</v>
      </c>
      <c r="E462">
        <v>41</v>
      </c>
      <c r="F462">
        <v>4</v>
      </c>
      <c r="G462">
        <v>398</v>
      </c>
      <c r="H462">
        <v>1592</v>
      </c>
      <c r="I462">
        <v>54</v>
      </c>
      <c r="J462">
        <f>[1]Transactions!F462*[1]Transactions!G462</f>
        <v>1592</v>
      </c>
      <c r="K462">
        <f>_xlfn.XLOOKUP([1]Transactions!D462,[1]Inventory!$C$2:$C$501,[1]Inventory!$A$2:$A$501)</f>
        <v>54</v>
      </c>
      <c r="L462">
        <f>_xlfn.XLOOKUP(K462,[1]Inventory!$A$2:$A$501,[1]Inventory!$D$2:$D$501)</f>
        <v>397</v>
      </c>
      <c r="M462">
        <f>_xlfn.XLOOKUP(K462,[1]Inventory!$A$2:$A$501,[1]Inventory!$E$2:$E$501)</f>
        <v>5</v>
      </c>
      <c r="N462" t="str">
        <f>_xlfn.XLOOKUP([1]Transactions!C462,[1]Customers!$A$2:$A$201,[1]Customers!$G$2:$G$201)</f>
        <v>Maharashtra</v>
      </c>
      <c r="O462" t="str">
        <f>_xlfn.XLOOKUP(C462,[1]Customers!$A$2:$A$201,[1]Customers!$H$2:$H$201)</f>
        <v>West</v>
      </c>
      <c r="P462" t="str">
        <f>_xlfn.XLOOKUP(C462,[1]Customers!$A$2:$A$201,[1]Customers!$F$2:$F$201)</f>
        <v>Pune</v>
      </c>
      <c r="Q462">
        <f>_xlfn.XLOOKUP(C462,[1]Customers!$A$2:$A$201,[1]Customers!$D$2:$D$201)</f>
        <v>45</v>
      </c>
      <c r="R462" t="str">
        <f>_xlfn.XLOOKUP([1]Transactions!C462,[1]Customers!$A$2:$A$201,[1]Customers!$C$2:$C$201)</f>
        <v>Female</v>
      </c>
      <c r="S462" t="str">
        <f>_xlfn.XLOOKUP(C462,[1]Customers!$A$2:$A$201,[1]Customers!$B$2:$B$201)</f>
        <v>Customer_124</v>
      </c>
      <c r="T462" t="str">
        <f>_xlfn.XLOOKUP(D462,[1]Products!$A$2:$A$101,[1]Products!$C$2:$C$101)</f>
        <v>Dairy</v>
      </c>
      <c r="U462">
        <f>_xlfn.XLOOKUP(D462,[1]Products!$A$2:$A$101,[1]Products!$E$2:$E$101)</f>
        <v>472</v>
      </c>
      <c r="V462">
        <f>[1]Transactions!F462*[1]Transactions!U462</f>
        <v>1888</v>
      </c>
    </row>
    <row r="463" spans="1:22" x14ac:dyDescent="0.3">
      <c r="A463">
        <v>462</v>
      </c>
      <c r="B463">
        <v>51</v>
      </c>
      <c r="C463">
        <v>150</v>
      </c>
      <c r="D463">
        <v>41</v>
      </c>
      <c r="E463">
        <v>17</v>
      </c>
      <c r="F463">
        <v>5</v>
      </c>
      <c r="G463">
        <v>79</v>
      </c>
      <c r="H463">
        <v>395</v>
      </c>
      <c r="I463">
        <v>25</v>
      </c>
      <c r="J463">
        <f>[1]Transactions!F463*[1]Transactions!G463</f>
        <v>395</v>
      </c>
      <c r="K463">
        <f>_xlfn.XLOOKUP([1]Transactions!D463,[1]Inventory!$C$2:$C$501,[1]Inventory!$A$2:$A$501)</f>
        <v>19</v>
      </c>
      <c r="L463">
        <f>_xlfn.XLOOKUP(K463,[1]Inventory!$A$2:$A$501,[1]Inventory!$D$2:$D$501)</f>
        <v>60</v>
      </c>
      <c r="M463">
        <f>_xlfn.XLOOKUP(K463,[1]Inventory!$A$2:$A$501,[1]Inventory!$E$2:$E$501)</f>
        <v>140</v>
      </c>
      <c r="N463" t="str">
        <f>_xlfn.XLOOKUP([1]Transactions!C463,[1]Customers!$A$2:$A$201,[1]Customers!$G$2:$G$201)</f>
        <v>Rajasthan</v>
      </c>
      <c r="O463" t="str">
        <f>_xlfn.XLOOKUP(C463,[1]Customers!$A$2:$A$201,[1]Customers!$H$2:$H$201)</f>
        <v>North</v>
      </c>
      <c r="P463" t="str">
        <f>_xlfn.XLOOKUP(C463,[1]Customers!$A$2:$A$201,[1]Customers!$F$2:$F$201)</f>
        <v>Jaipur</v>
      </c>
      <c r="Q463">
        <f>_xlfn.XLOOKUP(C463,[1]Customers!$A$2:$A$201,[1]Customers!$D$2:$D$201)</f>
        <v>26</v>
      </c>
      <c r="R463" t="str">
        <f>_xlfn.XLOOKUP([1]Transactions!C463,[1]Customers!$A$2:$A$201,[1]Customers!$C$2:$C$201)</f>
        <v>Female</v>
      </c>
      <c r="S463" t="str">
        <f>_xlfn.XLOOKUP(C463,[1]Customers!$A$2:$A$201,[1]Customers!$B$2:$B$201)</f>
        <v>Customer_150</v>
      </c>
      <c r="T463" t="str">
        <f>_xlfn.XLOOKUP(D463,[1]Products!$A$2:$A$101,[1]Products!$C$2:$C$101)</f>
        <v>Snacks</v>
      </c>
      <c r="U463">
        <f>_xlfn.XLOOKUP(D463,[1]Products!$A$2:$A$101,[1]Products!$E$2:$E$101)</f>
        <v>459</v>
      </c>
      <c r="V463">
        <f>[1]Transactions!F463*[1]Transactions!U463</f>
        <v>2295</v>
      </c>
    </row>
    <row r="464" spans="1:22" x14ac:dyDescent="0.3">
      <c r="A464">
        <v>463</v>
      </c>
      <c r="B464">
        <v>54</v>
      </c>
      <c r="C464">
        <v>28</v>
      </c>
      <c r="D464">
        <v>11</v>
      </c>
      <c r="E464">
        <v>2</v>
      </c>
      <c r="F464">
        <v>3</v>
      </c>
      <c r="G464">
        <v>407</v>
      </c>
      <c r="H464">
        <v>1221</v>
      </c>
      <c r="I464">
        <v>13</v>
      </c>
      <c r="J464">
        <f>[1]Transactions!F464*[1]Transactions!G464</f>
        <v>1221</v>
      </c>
      <c r="K464">
        <f>_xlfn.XLOOKUP([1]Transactions!D464,[1]Inventory!$C$2:$C$501,[1]Inventory!$A$2:$A$501)</f>
        <v>228</v>
      </c>
      <c r="L464">
        <f>_xlfn.XLOOKUP(K464,[1]Inventory!$A$2:$A$501,[1]Inventory!$D$2:$D$501)</f>
        <v>14</v>
      </c>
      <c r="M464">
        <f>_xlfn.XLOOKUP(K464,[1]Inventory!$A$2:$A$501,[1]Inventory!$E$2:$E$501)</f>
        <v>138</v>
      </c>
      <c r="N464" t="str">
        <f>_xlfn.XLOOKUP([1]Transactions!C464,[1]Customers!$A$2:$A$201,[1]Customers!$G$2:$G$201)</f>
        <v>Delhi</v>
      </c>
      <c r="O464" t="str">
        <f>_xlfn.XLOOKUP(C464,[1]Customers!$A$2:$A$201,[1]Customers!$H$2:$H$201)</f>
        <v>North</v>
      </c>
      <c r="P464" t="str">
        <f>_xlfn.XLOOKUP(C464,[1]Customers!$A$2:$A$201,[1]Customers!$F$2:$F$201)</f>
        <v>Delhi</v>
      </c>
      <c r="Q464">
        <f>_xlfn.XLOOKUP(C464,[1]Customers!$A$2:$A$201,[1]Customers!$D$2:$D$201)</f>
        <v>31</v>
      </c>
      <c r="R464" t="str">
        <f>_xlfn.XLOOKUP([1]Transactions!C464,[1]Customers!$A$2:$A$201,[1]Customers!$C$2:$C$201)</f>
        <v>Female</v>
      </c>
      <c r="S464" t="str">
        <f>_xlfn.XLOOKUP(C464,[1]Customers!$A$2:$A$201,[1]Customers!$B$2:$B$201)</f>
        <v>Customer_28</v>
      </c>
      <c r="T464" t="str">
        <f>_xlfn.XLOOKUP(D464,[1]Products!$A$2:$A$101,[1]Products!$C$2:$C$101)</f>
        <v>Beverages</v>
      </c>
      <c r="U464">
        <f>_xlfn.XLOOKUP(D464,[1]Products!$A$2:$A$101,[1]Products!$E$2:$E$101)</f>
        <v>373</v>
      </c>
      <c r="V464">
        <f>[1]Transactions!F464*[1]Transactions!U464</f>
        <v>1119</v>
      </c>
    </row>
    <row r="465" spans="1:22" x14ac:dyDescent="0.3">
      <c r="A465">
        <v>464</v>
      </c>
      <c r="B465">
        <v>171</v>
      </c>
      <c r="C465">
        <v>192</v>
      </c>
      <c r="D465">
        <v>39</v>
      </c>
      <c r="E465">
        <v>16</v>
      </c>
      <c r="F465">
        <v>2</v>
      </c>
      <c r="G465">
        <v>159</v>
      </c>
      <c r="H465">
        <v>318</v>
      </c>
      <c r="I465">
        <v>15</v>
      </c>
      <c r="J465">
        <f>[1]Transactions!F465*[1]Transactions!G465</f>
        <v>318</v>
      </c>
      <c r="K465">
        <f>_xlfn.XLOOKUP([1]Transactions!D465,[1]Inventory!$C$2:$C$501,[1]Inventory!$A$2:$A$501)</f>
        <v>122</v>
      </c>
      <c r="L465">
        <f>_xlfn.XLOOKUP(K465,[1]Inventory!$A$2:$A$501,[1]Inventory!$D$2:$D$501)</f>
        <v>220</v>
      </c>
      <c r="M465">
        <f>_xlfn.XLOOKUP(K465,[1]Inventory!$A$2:$A$501,[1]Inventory!$E$2:$E$501)</f>
        <v>113</v>
      </c>
      <c r="N465" t="str">
        <f>_xlfn.XLOOKUP([1]Transactions!C465,[1]Customers!$A$2:$A$201,[1]Customers!$G$2:$G$201)</f>
        <v>Rajasthan</v>
      </c>
      <c r="O465" t="str">
        <f>_xlfn.XLOOKUP(C465,[1]Customers!$A$2:$A$201,[1]Customers!$H$2:$H$201)</f>
        <v>North</v>
      </c>
      <c r="P465" t="str">
        <f>_xlfn.XLOOKUP(C465,[1]Customers!$A$2:$A$201,[1]Customers!$F$2:$F$201)</f>
        <v>Jaipur</v>
      </c>
      <c r="Q465">
        <f>_xlfn.XLOOKUP(C465,[1]Customers!$A$2:$A$201,[1]Customers!$D$2:$D$201)</f>
        <v>31</v>
      </c>
      <c r="R465" t="str">
        <f>_xlfn.XLOOKUP([1]Transactions!C465,[1]Customers!$A$2:$A$201,[1]Customers!$C$2:$C$201)</f>
        <v>Female</v>
      </c>
      <c r="S465" t="str">
        <f>_xlfn.XLOOKUP(C465,[1]Customers!$A$2:$A$201,[1]Customers!$B$2:$B$201)</f>
        <v>Customer_192</v>
      </c>
      <c r="T465" t="str">
        <f>_xlfn.XLOOKUP(D465,[1]Products!$A$2:$A$101,[1]Products!$C$2:$C$101)</f>
        <v>Grocery</v>
      </c>
      <c r="U465">
        <f>_xlfn.XLOOKUP(D465,[1]Products!$A$2:$A$101,[1]Products!$E$2:$E$101)</f>
        <v>50</v>
      </c>
      <c r="V465">
        <f>[1]Transactions!F465*[1]Transactions!U465</f>
        <v>100</v>
      </c>
    </row>
    <row r="466" spans="1:22" x14ac:dyDescent="0.3">
      <c r="A466">
        <v>465</v>
      </c>
      <c r="B466">
        <v>95</v>
      </c>
      <c r="C466">
        <v>43</v>
      </c>
      <c r="D466">
        <v>90</v>
      </c>
      <c r="E466">
        <v>16</v>
      </c>
      <c r="F466">
        <v>5</v>
      </c>
      <c r="G466">
        <v>254</v>
      </c>
      <c r="H466">
        <v>1270</v>
      </c>
      <c r="I466">
        <v>29</v>
      </c>
      <c r="J466">
        <f>[1]Transactions!F466*[1]Transactions!G466</f>
        <v>1270</v>
      </c>
      <c r="K466">
        <f>_xlfn.XLOOKUP([1]Transactions!D466,[1]Inventory!$C$2:$C$501,[1]Inventory!$A$2:$A$501)</f>
        <v>17</v>
      </c>
      <c r="L466">
        <f>_xlfn.XLOOKUP(K466,[1]Inventory!$A$2:$A$501,[1]Inventory!$D$2:$D$501)</f>
        <v>293</v>
      </c>
      <c r="M466">
        <f>_xlfn.XLOOKUP(K466,[1]Inventory!$A$2:$A$501,[1]Inventory!$E$2:$E$501)</f>
        <v>177</v>
      </c>
      <c r="N466" t="str">
        <f>_xlfn.XLOOKUP([1]Transactions!C466,[1]Customers!$A$2:$A$201,[1]Customers!$G$2:$G$201)</f>
        <v>Rajasthan</v>
      </c>
      <c r="O466" t="str">
        <f>_xlfn.XLOOKUP(C466,[1]Customers!$A$2:$A$201,[1]Customers!$H$2:$H$201)</f>
        <v>North</v>
      </c>
      <c r="P466" t="str">
        <f>_xlfn.XLOOKUP(C466,[1]Customers!$A$2:$A$201,[1]Customers!$F$2:$F$201)</f>
        <v>Jaipur</v>
      </c>
      <c r="Q466">
        <f>_xlfn.XLOOKUP(C466,[1]Customers!$A$2:$A$201,[1]Customers!$D$2:$D$201)</f>
        <v>22</v>
      </c>
      <c r="R466" t="str">
        <f>_xlfn.XLOOKUP([1]Transactions!C466,[1]Customers!$A$2:$A$201,[1]Customers!$C$2:$C$201)</f>
        <v>Female</v>
      </c>
      <c r="S466" t="str">
        <f>_xlfn.XLOOKUP(C466,[1]Customers!$A$2:$A$201,[1]Customers!$B$2:$B$201)</f>
        <v>Customer_43</v>
      </c>
      <c r="T466" t="str">
        <f>_xlfn.XLOOKUP(D466,[1]Products!$A$2:$A$101,[1]Products!$C$2:$C$101)</f>
        <v>Snacks</v>
      </c>
      <c r="U466">
        <f>_xlfn.XLOOKUP(D466,[1]Products!$A$2:$A$101,[1]Products!$E$2:$E$101)</f>
        <v>255</v>
      </c>
      <c r="V466">
        <f>[1]Transactions!F466*[1]Transactions!U466</f>
        <v>1275</v>
      </c>
    </row>
    <row r="467" spans="1:22" x14ac:dyDescent="0.3">
      <c r="A467">
        <v>466</v>
      </c>
      <c r="B467">
        <v>50</v>
      </c>
      <c r="C467">
        <v>101</v>
      </c>
      <c r="D467">
        <v>51</v>
      </c>
      <c r="E467">
        <v>8</v>
      </c>
      <c r="F467">
        <v>3</v>
      </c>
      <c r="G467">
        <v>342</v>
      </c>
      <c r="H467">
        <v>1026</v>
      </c>
      <c r="I467">
        <v>49</v>
      </c>
      <c r="J467">
        <f>[1]Transactions!F467*[1]Transactions!G467</f>
        <v>1026</v>
      </c>
      <c r="K467">
        <f>_xlfn.XLOOKUP([1]Transactions!D467,[1]Inventory!$C$2:$C$501,[1]Inventory!$A$2:$A$501)</f>
        <v>55</v>
      </c>
      <c r="L467">
        <f>_xlfn.XLOOKUP(K467,[1]Inventory!$A$2:$A$501,[1]Inventory!$D$2:$D$501)</f>
        <v>336</v>
      </c>
      <c r="M467">
        <f>_xlfn.XLOOKUP(K467,[1]Inventory!$A$2:$A$501,[1]Inventory!$E$2:$E$501)</f>
        <v>49</v>
      </c>
      <c r="N467" t="str">
        <f>_xlfn.XLOOKUP([1]Transactions!C467,[1]Customers!$A$2:$A$201,[1]Customers!$G$2:$G$201)</f>
        <v>Maharashtra</v>
      </c>
      <c r="O467" t="str">
        <f>_xlfn.XLOOKUP(C467,[1]Customers!$A$2:$A$201,[1]Customers!$H$2:$H$201)</f>
        <v>West</v>
      </c>
      <c r="P467" t="str">
        <f>_xlfn.XLOOKUP(C467,[1]Customers!$A$2:$A$201,[1]Customers!$F$2:$F$201)</f>
        <v>Pune</v>
      </c>
      <c r="Q467">
        <f>_xlfn.XLOOKUP(C467,[1]Customers!$A$2:$A$201,[1]Customers!$D$2:$D$201)</f>
        <v>53</v>
      </c>
      <c r="R467" t="str">
        <f>_xlfn.XLOOKUP([1]Transactions!C467,[1]Customers!$A$2:$A$201,[1]Customers!$C$2:$C$201)</f>
        <v>Female</v>
      </c>
      <c r="S467" t="str">
        <f>_xlfn.XLOOKUP(C467,[1]Customers!$A$2:$A$201,[1]Customers!$B$2:$B$201)</f>
        <v>Customer_101</v>
      </c>
      <c r="T467" t="str">
        <f>_xlfn.XLOOKUP(D467,[1]Products!$A$2:$A$101,[1]Products!$C$2:$C$101)</f>
        <v>Beverages</v>
      </c>
      <c r="U467">
        <f>_xlfn.XLOOKUP(D467,[1]Products!$A$2:$A$101,[1]Products!$E$2:$E$101)</f>
        <v>27</v>
      </c>
      <c r="V467">
        <f>[1]Transactions!F467*[1]Transactions!U467</f>
        <v>81</v>
      </c>
    </row>
    <row r="468" spans="1:22" x14ac:dyDescent="0.3">
      <c r="A468">
        <v>467</v>
      </c>
      <c r="B468">
        <v>177</v>
      </c>
      <c r="C468">
        <v>13</v>
      </c>
      <c r="D468">
        <v>43</v>
      </c>
      <c r="E468">
        <v>26</v>
      </c>
      <c r="F468">
        <v>5</v>
      </c>
      <c r="G468">
        <v>409</v>
      </c>
      <c r="H468">
        <v>2045</v>
      </c>
      <c r="I468">
        <v>40</v>
      </c>
      <c r="J468">
        <f>[1]Transactions!F468*[1]Transactions!G468</f>
        <v>2045</v>
      </c>
      <c r="K468">
        <f>_xlfn.XLOOKUP([1]Transactions!D468,[1]Inventory!$C$2:$C$501,[1]Inventory!$A$2:$A$501)</f>
        <v>34</v>
      </c>
      <c r="L468">
        <f>_xlfn.XLOOKUP(K468,[1]Inventory!$A$2:$A$501,[1]Inventory!$D$2:$D$501)</f>
        <v>211</v>
      </c>
      <c r="M468">
        <f>_xlfn.XLOOKUP(K468,[1]Inventory!$A$2:$A$501,[1]Inventory!$E$2:$E$501)</f>
        <v>50</v>
      </c>
      <c r="N468" t="str">
        <f>_xlfn.XLOOKUP([1]Transactions!C468,[1]Customers!$A$2:$A$201,[1]Customers!$G$2:$G$201)</f>
        <v>Tamil Nadu</v>
      </c>
      <c r="O468" t="str">
        <f>_xlfn.XLOOKUP(C468,[1]Customers!$A$2:$A$201,[1]Customers!$H$2:$H$201)</f>
        <v>South</v>
      </c>
      <c r="P468" t="str">
        <f>_xlfn.XLOOKUP(C468,[1]Customers!$A$2:$A$201,[1]Customers!$F$2:$F$201)</f>
        <v>Chennai</v>
      </c>
      <c r="Q468">
        <f>_xlfn.XLOOKUP(C468,[1]Customers!$A$2:$A$201,[1]Customers!$D$2:$D$201)</f>
        <v>38</v>
      </c>
      <c r="R468" t="str">
        <f>_xlfn.XLOOKUP([1]Transactions!C468,[1]Customers!$A$2:$A$201,[1]Customers!$C$2:$C$201)</f>
        <v>Male</v>
      </c>
      <c r="S468" t="str">
        <f>_xlfn.XLOOKUP(C468,[1]Customers!$A$2:$A$201,[1]Customers!$B$2:$B$201)</f>
        <v>Customer_13</v>
      </c>
      <c r="T468" t="str">
        <f>_xlfn.XLOOKUP(D468,[1]Products!$A$2:$A$101,[1]Products!$C$2:$C$101)</f>
        <v>Grocery</v>
      </c>
      <c r="U468">
        <f>_xlfn.XLOOKUP(D468,[1]Products!$A$2:$A$101,[1]Products!$E$2:$E$101)</f>
        <v>293</v>
      </c>
      <c r="V468">
        <f>[1]Transactions!F468*[1]Transactions!U468</f>
        <v>1465</v>
      </c>
    </row>
    <row r="469" spans="1:22" x14ac:dyDescent="0.3">
      <c r="A469">
        <v>468</v>
      </c>
      <c r="B469">
        <v>81</v>
      </c>
      <c r="C469">
        <v>18</v>
      </c>
      <c r="D469">
        <v>11</v>
      </c>
      <c r="E469">
        <v>44</v>
      </c>
      <c r="F469">
        <v>2</v>
      </c>
      <c r="G469">
        <v>496</v>
      </c>
      <c r="H469">
        <v>992</v>
      </c>
      <c r="I469">
        <v>13</v>
      </c>
      <c r="J469">
        <f>[1]Transactions!F469*[1]Transactions!G469</f>
        <v>992</v>
      </c>
      <c r="K469">
        <f>_xlfn.XLOOKUP([1]Transactions!D469,[1]Inventory!$C$2:$C$501,[1]Inventory!$A$2:$A$501)</f>
        <v>228</v>
      </c>
      <c r="L469">
        <f>_xlfn.XLOOKUP(K469,[1]Inventory!$A$2:$A$501,[1]Inventory!$D$2:$D$501)</f>
        <v>14</v>
      </c>
      <c r="M469">
        <f>_xlfn.XLOOKUP(K469,[1]Inventory!$A$2:$A$501,[1]Inventory!$E$2:$E$501)</f>
        <v>138</v>
      </c>
      <c r="N469" t="str">
        <f>_xlfn.XLOOKUP([1]Transactions!C469,[1]Customers!$A$2:$A$201,[1]Customers!$G$2:$G$201)</f>
        <v>Telangana</v>
      </c>
      <c r="O469" t="str">
        <f>_xlfn.XLOOKUP(C469,[1]Customers!$A$2:$A$201,[1]Customers!$H$2:$H$201)</f>
        <v>South</v>
      </c>
      <c r="P469" t="str">
        <f>_xlfn.XLOOKUP(C469,[1]Customers!$A$2:$A$201,[1]Customers!$F$2:$F$201)</f>
        <v>Hyderabad</v>
      </c>
      <c r="Q469">
        <f>_xlfn.XLOOKUP(C469,[1]Customers!$A$2:$A$201,[1]Customers!$D$2:$D$201)</f>
        <v>20</v>
      </c>
      <c r="R469" t="str">
        <f>_xlfn.XLOOKUP([1]Transactions!C469,[1]Customers!$A$2:$A$201,[1]Customers!$C$2:$C$201)</f>
        <v>Female</v>
      </c>
      <c r="S469" t="str">
        <f>_xlfn.XLOOKUP(C469,[1]Customers!$A$2:$A$201,[1]Customers!$B$2:$B$201)</f>
        <v>Customer_18</v>
      </c>
      <c r="T469" t="str">
        <f>_xlfn.XLOOKUP(D469,[1]Products!$A$2:$A$101,[1]Products!$C$2:$C$101)</f>
        <v>Beverages</v>
      </c>
      <c r="U469">
        <f>_xlfn.XLOOKUP(D469,[1]Products!$A$2:$A$101,[1]Products!$E$2:$E$101)</f>
        <v>373</v>
      </c>
      <c r="V469">
        <f>[1]Transactions!F469*[1]Transactions!U469</f>
        <v>746</v>
      </c>
    </row>
    <row r="470" spans="1:22" x14ac:dyDescent="0.3">
      <c r="A470">
        <v>469</v>
      </c>
      <c r="B470">
        <v>45</v>
      </c>
      <c r="C470">
        <v>147</v>
      </c>
      <c r="D470">
        <v>49</v>
      </c>
      <c r="E470">
        <v>33</v>
      </c>
      <c r="F470">
        <v>4</v>
      </c>
      <c r="G470">
        <v>260</v>
      </c>
      <c r="H470">
        <v>1040</v>
      </c>
      <c r="I470">
        <v>51</v>
      </c>
      <c r="J470">
        <f>[1]Transactions!F470*[1]Transactions!G470</f>
        <v>1040</v>
      </c>
      <c r="K470">
        <f>_xlfn.XLOOKUP([1]Transactions!D470,[1]Inventory!$C$2:$C$501,[1]Inventory!$A$2:$A$501)</f>
        <v>4</v>
      </c>
      <c r="L470">
        <f>_xlfn.XLOOKUP(K470,[1]Inventory!$A$2:$A$501,[1]Inventory!$D$2:$D$501)</f>
        <v>344</v>
      </c>
      <c r="M470">
        <f>_xlfn.XLOOKUP(K470,[1]Inventory!$A$2:$A$501,[1]Inventory!$E$2:$E$501)</f>
        <v>3</v>
      </c>
      <c r="N470" t="str">
        <f>_xlfn.XLOOKUP([1]Transactions!C470,[1]Customers!$A$2:$A$201,[1]Customers!$G$2:$G$201)</f>
        <v>West Bengal</v>
      </c>
      <c r="O470" t="str">
        <f>_xlfn.XLOOKUP(C470,[1]Customers!$A$2:$A$201,[1]Customers!$H$2:$H$201)</f>
        <v>East</v>
      </c>
      <c r="P470" t="str">
        <f>_xlfn.XLOOKUP(C470,[1]Customers!$A$2:$A$201,[1]Customers!$F$2:$F$201)</f>
        <v>Kolkata</v>
      </c>
      <c r="Q470">
        <f>_xlfn.XLOOKUP(C470,[1]Customers!$A$2:$A$201,[1]Customers!$D$2:$D$201)</f>
        <v>43</v>
      </c>
      <c r="R470" t="str">
        <f>_xlfn.XLOOKUP([1]Transactions!C470,[1]Customers!$A$2:$A$201,[1]Customers!$C$2:$C$201)</f>
        <v>Female</v>
      </c>
      <c r="S470" t="str">
        <f>_xlfn.XLOOKUP(C470,[1]Customers!$A$2:$A$201,[1]Customers!$B$2:$B$201)</f>
        <v>Customer_147</v>
      </c>
      <c r="T470" t="str">
        <f>_xlfn.XLOOKUP(D470,[1]Products!$A$2:$A$101,[1]Products!$C$2:$C$101)</f>
        <v>Dairy</v>
      </c>
      <c r="U470">
        <f>_xlfn.XLOOKUP(D470,[1]Products!$A$2:$A$101,[1]Products!$E$2:$E$101)</f>
        <v>117</v>
      </c>
      <c r="V470">
        <f>[1]Transactions!F470*[1]Transactions!U470</f>
        <v>468</v>
      </c>
    </row>
    <row r="471" spans="1:22" x14ac:dyDescent="0.3">
      <c r="A471">
        <v>470</v>
      </c>
      <c r="B471">
        <v>15</v>
      </c>
      <c r="C471">
        <v>14</v>
      </c>
      <c r="D471">
        <v>53</v>
      </c>
      <c r="E471">
        <v>31</v>
      </c>
      <c r="F471">
        <v>3</v>
      </c>
      <c r="G471">
        <v>428</v>
      </c>
      <c r="H471">
        <v>1284</v>
      </c>
      <c r="I471">
        <v>28</v>
      </c>
      <c r="J471">
        <f>[1]Transactions!F471*[1]Transactions!G471</f>
        <v>1284</v>
      </c>
      <c r="K471">
        <f>_xlfn.XLOOKUP([1]Transactions!D471,[1]Inventory!$C$2:$C$501,[1]Inventory!$A$2:$A$501)</f>
        <v>166</v>
      </c>
      <c r="L471">
        <f>_xlfn.XLOOKUP(K471,[1]Inventory!$A$2:$A$501,[1]Inventory!$D$2:$D$501)</f>
        <v>187</v>
      </c>
      <c r="M471">
        <f>_xlfn.XLOOKUP(K471,[1]Inventory!$A$2:$A$501,[1]Inventory!$E$2:$E$501)</f>
        <v>68</v>
      </c>
      <c r="N471" t="str">
        <f>_xlfn.XLOOKUP([1]Transactions!C471,[1]Customers!$A$2:$A$201,[1]Customers!$G$2:$G$201)</f>
        <v>Rajasthan</v>
      </c>
      <c r="O471" t="str">
        <f>_xlfn.XLOOKUP(C471,[1]Customers!$A$2:$A$201,[1]Customers!$H$2:$H$201)</f>
        <v>North</v>
      </c>
      <c r="P471" t="str">
        <f>_xlfn.XLOOKUP(C471,[1]Customers!$A$2:$A$201,[1]Customers!$F$2:$F$201)</f>
        <v>Jaipur</v>
      </c>
      <c r="Q471">
        <f>_xlfn.XLOOKUP(C471,[1]Customers!$A$2:$A$201,[1]Customers!$D$2:$D$201)</f>
        <v>41</v>
      </c>
      <c r="R471" t="str">
        <f>_xlfn.XLOOKUP([1]Transactions!C471,[1]Customers!$A$2:$A$201,[1]Customers!$C$2:$C$201)</f>
        <v>Male</v>
      </c>
      <c r="S471" t="str">
        <f>_xlfn.XLOOKUP(C471,[1]Customers!$A$2:$A$201,[1]Customers!$B$2:$B$201)</f>
        <v>Customer_14</v>
      </c>
      <c r="T471" t="str">
        <f>_xlfn.XLOOKUP(D471,[1]Products!$A$2:$A$101,[1]Products!$C$2:$C$101)</f>
        <v>Beverages</v>
      </c>
      <c r="U471">
        <f>_xlfn.XLOOKUP(D471,[1]Products!$A$2:$A$101,[1]Products!$E$2:$E$101)</f>
        <v>59</v>
      </c>
      <c r="V471">
        <f>[1]Transactions!F471*[1]Transactions!U471</f>
        <v>177</v>
      </c>
    </row>
    <row r="472" spans="1:22" x14ac:dyDescent="0.3">
      <c r="A472">
        <v>471</v>
      </c>
      <c r="B472">
        <v>103</v>
      </c>
      <c r="C472">
        <v>20</v>
      </c>
      <c r="D472">
        <v>34</v>
      </c>
      <c r="E472">
        <v>29</v>
      </c>
      <c r="F472">
        <v>1</v>
      </c>
      <c r="G472">
        <v>200</v>
      </c>
      <c r="H472">
        <v>200</v>
      </c>
      <c r="I472">
        <v>19</v>
      </c>
      <c r="J472">
        <f>[1]Transactions!F472*[1]Transactions!G472</f>
        <v>200</v>
      </c>
      <c r="K472">
        <f>_xlfn.XLOOKUP([1]Transactions!D472,[1]Inventory!$C$2:$C$501,[1]Inventory!$A$2:$A$501)</f>
        <v>43</v>
      </c>
      <c r="L472">
        <f>_xlfn.XLOOKUP(K472,[1]Inventory!$A$2:$A$501,[1]Inventory!$D$2:$D$501)</f>
        <v>315</v>
      </c>
      <c r="M472">
        <f>_xlfn.XLOOKUP(K472,[1]Inventory!$A$2:$A$501,[1]Inventory!$E$2:$E$501)</f>
        <v>18</v>
      </c>
      <c r="N472" t="str">
        <f>_xlfn.XLOOKUP([1]Transactions!C472,[1]Customers!$A$2:$A$201,[1]Customers!$G$2:$G$201)</f>
        <v>Rajasthan</v>
      </c>
      <c r="O472" t="str">
        <f>_xlfn.XLOOKUP(C472,[1]Customers!$A$2:$A$201,[1]Customers!$H$2:$H$201)</f>
        <v>North</v>
      </c>
      <c r="P472" t="str">
        <f>_xlfn.XLOOKUP(C472,[1]Customers!$A$2:$A$201,[1]Customers!$F$2:$F$201)</f>
        <v>Jaipur</v>
      </c>
      <c r="Q472">
        <f>_xlfn.XLOOKUP(C472,[1]Customers!$A$2:$A$201,[1]Customers!$D$2:$D$201)</f>
        <v>19</v>
      </c>
      <c r="R472" t="str">
        <f>_xlfn.XLOOKUP([1]Transactions!C472,[1]Customers!$A$2:$A$201,[1]Customers!$C$2:$C$201)</f>
        <v>Female</v>
      </c>
      <c r="S472" t="str">
        <f>_xlfn.XLOOKUP(C472,[1]Customers!$A$2:$A$201,[1]Customers!$B$2:$B$201)</f>
        <v>Customer_20</v>
      </c>
      <c r="T472" t="str">
        <f>_xlfn.XLOOKUP(D472,[1]Products!$A$2:$A$101,[1]Products!$C$2:$C$101)</f>
        <v>Snacks</v>
      </c>
      <c r="U472">
        <f>_xlfn.XLOOKUP(D472,[1]Products!$A$2:$A$101,[1]Products!$E$2:$E$101)</f>
        <v>349</v>
      </c>
      <c r="V472">
        <f>[1]Transactions!F472*[1]Transactions!U472</f>
        <v>349</v>
      </c>
    </row>
    <row r="473" spans="1:22" x14ac:dyDescent="0.3">
      <c r="A473">
        <v>472</v>
      </c>
      <c r="B473">
        <v>180</v>
      </c>
      <c r="C473">
        <v>11</v>
      </c>
      <c r="D473">
        <v>13</v>
      </c>
      <c r="E473">
        <v>24</v>
      </c>
      <c r="F473">
        <v>1</v>
      </c>
      <c r="G473">
        <v>243</v>
      </c>
      <c r="H473">
        <v>243</v>
      </c>
      <c r="I473">
        <v>38</v>
      </c>
      <c r="J473">
        <f>[1]Transactions!F473*[1]Transactions!G473</f>
        <v>243</v>
      </c>
      <c r="K473">
        <f>_xlfn.XLOOKUP([1]Transactions!D473,[1]Inventory!$C$2:$C$501,[1]Inventory!$A$2:$A$501)</f>
        <v>37</v>
      </c>
      <c r="L473">
        <f>_xlfn.XLOOKUP(K473,[1]Inventory!$A$2:$A$501,[1]Inventory!$D$2:$D$501)</f>
        <v>372</v>
      </c>
      <c r="M473">
        <f>_xlfn.XLOOKUP(K473,[1]Inventory!$A$2:$A$501,[1]Inventory!$E$2:$E$501)</f>
        <v>135</v>
      </c>
      <c r="N473" t="str">
        <f>_xlfn.XLOOKUP([1]Transactions!C473,[1]Customers!$A$2:$A$201,[1]Customers!$G$2:$G$201)</f>
        <v>Rajasthan</v>
      </c>
      <c r="O473" t="str">
        <f>_xlfn.XLOOKUP(C473,[1]Customers!$A$2:$A$201,[1]Customers!$H$2:$H$201)</f>
        <v>North</v>
      </c>
      <c r="P473" t="str">
        <f>_xlfn.XLOOKUP(C473,[1]Customers!$A$2:$A$201,[1]Customers!$F$2:$F$201)</f>
        <v>Jaipur</v>
      </c>
      <c r="Q473">
        <f>_xlfn.XLOOKUP(C473,[1]Customers!$A$2:$A$201,[1]Customers!$D$2:$D$201)</f>
        <v>46</v>
      </c>
      <c r="R473" t="str">
        <f>_xlfn.XLOOKUP([1]Transactions!C473,[1]Customers!$A$2:$A$201,[1]Customers!$C$2:$C$201)</f>
        <v>Female</v>
      </c>
      <c r="S473" t="str">
        <f>_xlfn.XLOOKUP(C473,[1]Customers!$A$2:$A$201,[1]Customers!$B$2:$B$201)</f>
        <v>Customer_11</v>
      </c>
      <c r="T473" t="str">
        <f>_xlfn.XLOOKUP(D473,[1]Products!$A$2:$A$101,[1]Products!$C$2:$C$101)</f>
        <v>Dairy</v>
      </c>
      <c r="U473">
        <f>_xlfn.XLOOKUP(D473,[1]Products!$A$2:$A$101,[1]Products!$E$2:$E$101)</f>
        <v>34</v>
      </c>
      <c r="V473">
        <f>[1]Transactions!F473*[1]Transactions!U473</f>
        <v>34</v>
      </c>
    </row>
    <row r="474" spans="1:22" x14ac:dyDescent="0.3">
      <c r="A474">
        <v>473</v>
      </c>
      <c r="B474">
        <v>147</v>
      </c>
      <c r="C474">
        <v>103</v>
      </c>
      <c r="D474">
        <v>7</v>
      </c>
      <c r="E474">
        <v>43</v>
      </c>
      <c r="F474">
        <v>1</v>
      </c>
      <c r="G474">
        <v>294</v>
      </c>
      <c r="H474">
        <v>294</v>
      </c>
      <c r="I474">
        <v>55</v>
      </c>
      <c r="J474">
        <f>[1]Transactions!F474*[1]Transactions!G474</f>
        <v>294</v>
      </c>
      <c r="K474">
        <f>_xlfn.XLOOKUP([1]Transactions!D474,[1]Inventory!$C$2:$C$501,[1]Inventory!$A$2:$A$501)</f>
        <v>32</v>
      </c>
      <c r="L474">
        <f>_xlfn.XLOOKUP(K474,[1]Inventory!$A$2:$A$501,[1]Inventory!$D$2:$D$501)</f>
        <v>377</v>
      </c>
      <c r="M474">
        <f>_xlfn.XLOOKUP(K474,[1]Inventory!$A$2:$A$501,[1]Inventory!$E$2:$E$501)</f>
        <v>135</v>
      </c>
      <c r="N474" t="str">
        <f>_xlfn.XLOOKUP([1]Transactions!C474,[1]Customers!$A$2:$A$201,[1]Customers!$G$2:$G$201)</f>
        <v>Karnataka</v>
      </c>
      <c r="O474" t="str">
        <f>_xlfn.XLOOKUP(C474,[1]Customers!$A$2:$A$201,[1]Customers!$H$2:$H$201)</f>
        <v>South</v>
      </c>
      <c r="P474" t="str">
        <f>_xlfn.XLOOKUP(C474,[1]Customers!$A$2:$A$201,[1]Customers!$F$2:$F$201)</f>
        <v>Bangalore</v>
      </c>
      <c r="Q474">
        <f>_xlfn.XLOOKUP(C474,[1]Customers!$A$2:$A$201,[1]Customers!$D$2:$D$201)</f>
        <v>51</v>
      </c>
      <c r="R474" t="str">
        <f>_xlfn.XLOOKUP([1]Transactions!C474,[1]Customers!$A$2:$A$201,[1]Customers!$C$2:$C$201)</f>
        <v>Female</v>
      </c>
      <c r="S474" t="str">
        <f>_xlfn.XLOOKUP(C474,[1]Customers!$A$2:$A$201,[1]Customers!$B$2:$B$201)</f>
        <v>Customer_103</v>
      </c>
      <c r="T474" t="str">
        <f>_xlfn.XLOOKUP(D474,[1]Products!$A$2:$A$101,[1]Products!$C$2:$C$101)</f>
        <v>Dairy</v>
      </c>
      <c r="U474">
        <f>_xlfn.XLOOKUP(D474,[1]Products!$A$2:$A$101,[1]Products!$E$2:$E$101)</f>
        <v>65</v>
      </c>
      <c r="V474">
        <f>[1]Transactions!F474*[1]Transactions!U474</f>
        <v>65</v>
      </c>
    </row>
    <row r="475" spans="1:22" x14ac:dyDescent="0.3">
      <c r="A475">
        <v>474</v>
      </c>
      <c r="B475">
        <v>142</v>
      </c>
      <c r="C475">
        <v>36</v>
      </c>
      <c r="D475">
        <v>19</v>
      </c>
      <c r="E475">
        <v>23</v>
      </c>
      <c r="F475">
        <v>2</v>
      </c>
      <c r="G475">
        <v>277</v>
      </c>
      <c r="H475">
        <v>554</v>
      </c>
      <c r="I475">
        <v>44</v>
      </c>
      <c r="J475">
        <f>[1]Transactions!F475*[1]Transactions!G475</f>
        <v>554</v>
      </c>
      <c r="K475">
        <f>_xlfn.XLOOKUP([1]Transactions!D475,[1]Inventory!$C$2:$C$501,[1]Inventory!$A$2:$A$501)</f>
        <v>7</v>
      </c>
      <c r="L475">
        <f>_xlfn.XLOOKUP(K475,[1]Inventory!$A$2:$A$501,[1]Inventory!$D$2:$D$501)</f>
        <v>88</v>
      </c>
      <c r="M475">
        <f>_xlfn.XLOOKUP(K475,[1]Inventory!$A$2:$A$501,[1]Inventory!$E$2:$E$501)</f>
        <v>158</v>
      </c>
      <c r="N475" t="str">
        <f>_xlfn.XLOOKUP([1]Transactions!C475,[1]Customers!$A$2:$A$201,[1]Customers!$G$2:$G$201)</f>
        <v>Tamil Nadu</v>
      </c>
      <c r="O475" t="str">
        <f>_xlfn.XLOOKUP(C475,[1]Customers!$A$2:$A$201,[1]Customers!$H$2:$H$201)</f>
        <v>South</v>
      </c>
      <c r="P475" t="str">
        <f>_xlfn.XLOOKUP(C475,[1]Customers!$A$2:$A$201,[1]Customers!$F$2:$F$201)</f>
        <v>Chennai</v>
      </c>
      <c r="Q475">
        <f>_xlfn.XLOOKUP(C475,[1]Customers!$A$2:$A$201,[1]Customers!$D$2:$D$201)</f>
        <v>45</v>
      </c>
      <c r="R475" t="str">
        <f>_xlfn.XLOOKUP([1]Transactions!C475,[1]Customers!$A$2:$A$201,[1]Customers!$C$2:$C$201)</f>
        <v>Male</v>
      </c>
      <c r="S475" t="str">
        <f>_xlfn.XLOOKUP(C475,[1]Customers!$A$2:$A$201,[1]Customers!$B$2:$B$201)</f>
        <v>Customer_36</v>
      </c>
      <c r="T475" t="str">
        <f>_xlfn.XLOOKUP(D475,[1]Products!$A$2:$A$101,[1]Products!$C$2:$C$101)</f>
        <v>Snacks</v>
      </c>
      <c r="U475">
        <f>_xlfn.XLOOKUP(D475,[1]Products!$A$2:$A$101,[1]Products!$E$2:$E$101)</f>
        <v>442</v>
      </c>
      <c r="V475">
        <f>[1]Transactions!F475*[1]Transactions!U475</f>
        <v>884</v>
      </c>
    </row>
    <row r="476" spans="1:22" x14ac:dyDescent="0.3">
      <c r="A476">
        <v>475</v>
      </c>
      <c r="B476">
        <v>135</v>
      </c>
      <c r="C476">
        <v>137</v>
      </c>
      <c r="D476">
        <v>31</v>
      </c>
      <c r="E476">
        <v>4</v>
      </c>
      <c r="F476">
        <v>5</v>
      </c>
      <c r="G476">
        <v>412</v>
      </c>
      <c r="H476">
        <v>2060</v>
      </c>
      <c r="I476">
        <v>58</v>
      </c>
      <c r="J476">
        <f>[1]Transactions!F476*[1]Transactions!G476</f>
        <v>2060</v>
      </c>
      <c r="K476">
        <f>_xlfn.XLOOKUP([1]Transactions!D476,[1]Inventory!$C$2:$C$501,[1]Inventory!$A$2:$A$501)</f>
        <v>61</v>
      </c>
      <c r="L476">
        <f>_xlfn.XLOOKUP(K476,[1]Inventory!$A$2:$A$501,[1]Inventory!$D$2:$D$501)</f>
        <v>342</v>
      </c>
      <c r="M476">
        <f>_xlfn.XLOOKUP(K476,[1]Inventory!$A$2:$A$501,[1]Inventory!$E$2:$E$501)</f>
        <v>35</v>
      </c>
      <c r="N476" t="str">
        <f>_xlfn.XLOOKUP([1]Transactions!C476,[1]Customers!$A$2:$A$201,[1]Customers!$G$2:$G$201)</f>
        <v>Delhi</v>
      </c>
      <c r="O476" t="str">
        <f>_xlfn.XLOOKUP(C476,[1]Customers!$A$2:$A$201,[1]Customers!$H$2:$H$201)</f>
        <v>North</v>
      </c>
      <c r="P476" t="str">
        <f>_xlfn.XLOOKUP(C476,[1]Customers!$A$2:$A$201,[1]Customers!$F$2:$F$201)</f>
        <v>Delhi</v>
      </c>
      <c r="Q476">
        <f>_xlfn.XLOOKUP(C476,[1]Customers!$A$2:$A$201,[1]Customers!$D$2:$D$201)</f>
        <v>32</v>
      </c>
      <c r="R476" t="str">
        <f>_xlfn.XLOOKUP([1]Transactions!C476,[1]Customers!$A$2:$A$201,[1]Customers!$C$2:$C$201)</f>
        <v>Male</v>
      </c>
      <c r="S476" t="str">
        <f>_xlfn.XLOOKUP(C476,[1]Customers!$A$2:$A$201,[1]Customers!$B$2:$B$201)</f>
        <v>Customer_137</v>
      </c>
      <c r="T476" t="str">
        <f>_xlfn.XLOOKUP(D476,[1]Products!$A$2:$A$101,[1]Products!$C$2:$C$101)</f>
        <v>Grocery</v>
      </c>
      <c r="U476">
        <f>_xlfn.XLOOKUP(D476,[1]Products!$A$2:$A$101,[1]Products!$E$2:$E$101)</f>
        <v>254</v>
      </c>
      <c r="V476">
        <f>[1]Transactions!F476*[1]Transactions!U476</f>
        <v>1270</v>
      </c>
    </row>
    <row r="477" spans="1:22" x14ac:dyDescent="0.3">
      <c r="A477">
        <v>476</v>
      </c>
      <c r="B477">
        <v>138</v>
      </c>
      <c r="C477">
        <v>93</v>
      </c>
      <c r="D477">
        <v>29</v>
      </c>
      <c r="E477">
        <v>1</v>
      </c>
      <c r="F477">
        <v>5</v>
      </c>
      <c r="G477">
        <v>167</v>
      </c>
      <c r="H477">
        <v>835</v>
      </c>
      <c r="I477">
        <v>26</v>
      </c>
      <c r="J477">
        <f>[1]Transactions!F477*[1]Transactions!G477</f>
        <v>835</v>
      </c>
      <c r="K477">
        <f>_xlfn.XLOOKUP([1]Transactions!D477,[1]Inventory!$C$2:$C$501,[1]Inventory!$A$2:$A$501)</f>
        <v>164</v>
      </c>
      <c r="L477">
        <f>_xlfn.XLOOKUP(K477,[1]Inventory!$A$2:$A$501,[1]Inventory!$D$2:$D$501)</f>
        <v>456</v>
      </c>
      <c r="M477">
        <f>_xlfn.XLOOKUP(K477,[1]Inventory!$A$2:$A$501,[1]Inventory!$E$2:$E$501)</f>
        <v>67</v>
      </c>
      <c r="N477" t="str">
        <f>_xlfn.XLOOKUP([1]Transactions!C477,[1]Customers!$A$2:$A$201,[1]Customers!$G$2:$G$201)</f>
        <v>Delhi</v>
      </c>
      <c r="O477" t="str">
        <f>_xlfn.XLOOKUP(C477,[1]Customers!$A$2:$A$201,[1]Customers!$H$2:$H$201)</f>
        <v>North</v>
      </c>
      <c r="P477" t="str">
        <f>_xlfn.XLOOKUP(C477,[1]Customers!$A$2:$A$201,[1]Customers!$F$2:$F$201)</f>
        <v>Delhi</v>
      </c>
      <c r="Q477">
        <f>_xlfn.XLOOKUP(C477,[1]Customers!$A$2:$A$201,[1]Customers!$D$2:$D$201)</f>
        <v>39</v>
      </c>
      <c r="R477" t="str">
        <f>_xlfn.XLOOKUP([1]Transactions!C477,[1]Customers!$A$2:$A$201,[1]Customers!$C$2:$C$201)</f>
        <v>Female</v>
      </c>
      <c r="S477" t="str">
        <f>_xlfn.XLOOKUP(C477,[1]Customers!$A$2:$A$201,[1]Customers!$B$2:$B$201)</f>
        <v>Customer_93</v>
      </c>
      <c r="T477" t="str">
        <f>_xlfn.XLOOKUP(D477,[1]Products!$A$2:$A$101,[1]Products!$C$2:$C$101)</f>
        <v>Beverages</v>
      </c>
      <c r="U477">
        <f>_xlfn.XLOOKUP(D477,[1]Products!$A$2:$A$101,[1]Products!$E$2:$E$101)</f>
        <v>155</v>
      </c>
      <c r="V477">
        <f>[1]Transactions!F477*[1]Transactions!U477</f>
        <v>775</v>
      </c>
    </row>
    <row r="478" spans="1:22" x14ac:dyDescent="0.3">
      <c r="A478">
        <v>477</v>
      </c>
      <c r="B478">
        <v>88</v>
      </c>
      <c r="C478">
        <v>194</v>
      </c>
      <c r="D478">
        <v>16</v>
      </c>
      <c r="E478">
        <v>14</v>
      </c>
      <c r="F478">
        <v>2</v>
      </c>
      <c r="G478">
        <v>487</v>
      </c>
      <c r="H478">
        <v>974</v>
      </c>
      <c r="I478">
        <v>29</v>
      </c>
      <c r="J478">
        <f>[1]Transactions!F478*[1]Transactions!G478</f>
        <v>974</v>
      </c>
      <c r="K478">
        <f>_xlfn.XLOOKUP([1]Transactions!D478,[1]Inventory!$C$2:$C$501,[1]Inventory!$A$2:$A$501)</f>
        <v>42</v>
      </c>
      <c r="L478">
        <f>_xlfn.XLOOKUP(K478,[1]Inventory!$A$2:$A$501,[1]Inventory!$D$2:$D$501)</f>
        <v>76</v>
      </c>
      <c r="M478">
        <f>_xlfn.XLOOKUP(K478,[1]Inventory!$A$2:$A$501,[1]Inventory!$E$2:$E$501)</f>
        <v>109</v>
      </c>
      <c r="N478" t="str">
        <f>_xlfn.XLOOKUP([1]Transactions!C478,[1]Customers!$A$2:$A$201,[1]Customers!$G$2:$G$201)</f>
        <v>Delhi</v>
      </c>
      <c r="O478" t="str">
        <f>_xlfn.XLOOKUP(C478,[1]Customers!$A$2:$A$201,[1]Customers!$H$2:$H$201)</f>
        <v>North</v>
      </c>
      <c r="P478" t="str">
        <f>_xlfn.XLOOKUP(C478,[1]Customers!$A$2:$A$201,[1]Customers!$F$2:$F$201)</f>
        <v>Delhi</v>
      </c>
      <c r="Q478">
        <f>_xlfn.XLOOKUP(C478,[1]Customers!$A$2:$A$201,[1]Customers!$D$2:$D$201)</f>
        <v>31</v>
      </c>
      <c r="R478" t="str">
        <f>_xlfn.XLOOKUP([1]Transactions!C478,[1]Customers!$A$2:$A$201,[1]Customers!$C$2:$C$201)</f>
        <v>Male</v>
      </c>
      <c r="S478" t="str">
        <f>_xlfn.XLOOKUP(C478,[1]Customers!$A$2:$A$201,[1]Customers!$B$2:$B$201)</f>
        <v>Customer_194</v>
      </c>
      <c r="T478" t="str">
        <f>_xlfn.XLOOKUP(D478,[1]Products!$A$2:$A$101,[1]Products!$C$2:$C$101)</f>
        <v>Beverages</v>
      </c>
      <c r="U478">
        <f>_xlfn.XLOOKUP(D478,[1]Products!$A$2:$A$101,[1]Products!$E$2:$E$101)</f>
        <v>440</v>
      </c>
      <c r="V478">
        <f>[1]Transactions!F478*[1]Transactions!U478</f>
        <v>880</v>
      </c>
    </row>
    <row r="479" spans="1:22" x14ac:dyDescent="0.3">
      <c r="A479">
        <v>478</v>
      </c>
      <c r="B479">
        <v>34</v>
      </c>
      <c r="C479">
        <v>59</v>
      </c>
      <c r="D479">
        <v>35</v>
      </c>
      <c r="E479">
        <v>27</v>
      </c>
      <c r="F479">
        <v>5</v>
      </c>
      <c r="G479">
        <v>71</v>
      </c>
      <c r="H479">
        <v>355</v>
      </c>
      <c r="I479">
        <v>34</v>
      </c>
      <c r="J479">
        <f>[1]Transactions!F479*[1]Transactions!G479</f>
        <v>355</v>
      </c>
      <c r="K479">
        <f>_xlfn.XLOOKUP([1]Transactions!D479,[1]Inventory!$C$2:$C$501,[1]Inventory!$A$2:$A$501)</f>
        <v>115</v>
      </c>
      <c r="L479">
        <f>_xlfn.XLOOKUP(K479,[1]Inventory!$A$2:$A$501,[1]Inventory!$D$2:$D$501)</f>
        <v>33</v>
      </c>
      <c r="M479">
        <f>_xlfn.XLOOKUP(K479,[1]Inventory!$A$2:$A$501,[1]Inventory!$E$2:$E$501)</f>
        <v>66</v>
      </c>
      <c r="N479" t="str">
        <f>_xlfn.XLOOKUP([1]Transactions!C479,[1]Customers!$A$2:$A$201,[1]Customers!$G$2:$G$201)</f>
        <v>Tamil Nadu</v>
      </c>
      <c r="O479" t="str">
        <f>_xlfn.XLOOKUP(C479,[1]Customers!$A$2:$A$201,[1]Customers!$H$2:$H$201)</f>
        <v>South</v>
      </c>
      <c r="P479" t="str">
        <f>_xlfn.XLOOKUP(C479,[1]Customers!$A$2:$A$201,[1]Customers!$F$2:$F$201)</f>
        <v>Chennai</v>
      </c>
      <c r="Q479">
        <f>_xlfn.XLOOKUP(C479,[1]Customers!$A$2:$A$201,[1]Customers!$D$2:$D$201)</f>
        <v>25</v>
      </c>
      <c r="R479" t="str">
        <f>_xlfn.XLOOKUP([1]Transactions!C479,[1]Customers!$A$2:$A$201,[1]Customers!$C$2:$C$201)</f>
        <v>Male</v>
      </c>
      <c r="S479" t="str">
        <f>_xlfn.XLOOKUP(C479,[1]Customers!$A$2:$A$201,[1]Customers!$B$2:$B$201)</f>
        <v>Customer_59</v>
      </c>
      <c r="T479" t="str">
        <f>_xlfn.XLOOKUP(D479,[1]Products!$A$2:$A$101,[1]Products!$C$2:$C$101)</f>
        <v>Grocery</v>
      </c>
      <c r="U479">
        <f>_xlfn.XLOOKUP(D479,[1]Products!$A$2:$A$101,[1]Products!$E$2:$E$101)</f>
        <v>346</v>
      </c>
      <c r="V479">
        <f>[1]Transactions!F479*[1]Transactions!U479</f>
        <v>1730</v>
      </c>
    </row>
    <row r="480" spans="1:22" x14ac:dyDescent="0.3">
      <c r="A480">
        <v>479</v>
      </c>
      <c r="B480">
        <v>157</v>
      </c>
      <c r="C480">
        <v>142</v>
      </c>
      <c r="D480">
        <v>57</v>
      </c>
      <c r="E480">
        <v>9</v>
      </c>
      <c r="F480">
        <v>1</v>
      </c>
      <c r="G480">
        <v>275</v>
      </c>
      <c r="H480">
        <v>275</v>
      </c>
      <c r="I480">
        <v>30</v>
      </c>
      <c r="J480">
        <f>[1]Transactions!F480*[1]Transactions!G480</f>
        <v>275</v>
      </c>
      <c r="K480">
        <f>_xlfn.XLOOKUP([1]Transactions!D480,[1]Inventory!$C$2:$C$501,[1]Inventory!$A$2:$A$501)</f>
        <v>31</v>
      </c>
      <c r="L480">
        <f>_xlfn.XLOOKUP(K480,[1]Inventory!$A$2:$A$501,[1]Inventory!$D$2:$D$501)</f>
        <v>30</v>
      </c>
      <c r="M480">
        <f>_xlfn.XLOOKUP(K480,[1]Inventory!$A$2:$A$501,[1]Inventory!$E$2:$E$501)</f>
        <v>151</v>
      </c>
      <c r="N480" t="str">
        <f>_xlfn.XLOOKUP([1]Transactions!C480,[1]Customers!$A$2:$A$201,[1]Customers!$G$2:$G$201)</f>
        <v>Maharashtra</v>
      </c>
      <c r="O480" t="str">
        <f>_xlfn.XLOOKUP(C480,[1]Customers!$A$2:$A$201,[1]Customers!$H$2:$H$201)</f>
        <v>West</v>
      </c>
      <c r="P480" t="str">
        <f>_xlfn.XLOOKUP(C480,[1]Customers!$A$2:$A$201,[1]Customers!$F$2:$F$201)</f>
        <v>Mumbai</v>
      </c>
      <c r="Q480">
        <f>_xlfn.XLOOKUP(C480,[1]Customers!$A$2:$A$201,[1]Customers!$D$2:$D$201)</f>
        <v>22</v>
      </c>
      <c r="R480" t="str">
        <f>_xlfn.XLOOKUP([1]Transactions!C480,[1]Customers!$A$2:$A$201,[1]Customers!$C$2:$C$201)</f>
        <v>Female</v>
      </c>
      <c r="S480" t="str">
        <f>_xlfn.XLOOKUP(C480,[1]Customers!$A$2:$A$201,[1]Customers!$B$2:$B$201)</f>
        <v>Customer_142</v>
      </c>
      <c r="T480" t="str">
        <f>_xlfn.XLOOKUP(D480,[1]Products!$A$2:$A$101,[1]Products!$C$2:$C$101)</f>
        <v>Snacks</v>
      </c>
      <c r="U480">
        <f>_xlfn.XLOOKUP(D480,[1]Products!$A$2:$A$101,[1]Products!$E$2:$E$101)</f>
        <v>66</v>
      </c>
      <c r="V480">
        <f>[1]Transactions!F480*[1]Transactions!U480</f>
        <v>66</v>
      </c>
    </row>
    <row r="481" spans="1:22" x14ac:dyDescent="0.3">
      <c r="A481">
        <v>480</v>
      </c>
      <c r="B481">
        <v>116</v>
      </c>
      <c r="C481">
        <v>24</v>
      </c>
      <c r="D481">
        <v>30</v>
      </c>
      <c r="E481">
        <v>44</v>
      </c>
      <c r="F481">
        <v>5</v>
      </c>
      <c r="G481">
        <v>425</v>
      </c>
      <c r="H481">
        <v>2125</v>
      </c>
      <c r="I481">
        <v>57</v>
      </c>
      <c r="J481">
        <f>[1]Transactions!F481*[1]Transactions!G481</f>
        <v>2125</v>
      </c>
      <c r="K481">
        <f>_xlfn.XLOOKUP([1]Transactions!D481,[1]Inventory!$C$2:$C$501,[1]Inventory!$A$2:$A$501)</f>
        <v>68</v>
      </c>
      <c r="L481">
        <f>_xlfn.XLOOKUP(K481,[1]Inventory!$A$2:$A$501,[1]Inventory!$D$2:$D$501)</f>
        <v>179</v>
      </c>
      <c r="M481">
        <f>_xlfn.XLOOKUP(K481,[1]Inventory!$A$2:$A$501,[1]Inventory!$E$2:$E$501)</f>
        <v>103</v>
      </c>
      <c r="N481" t="str">
        <f>_xlfn.XLOOKUP([1]Transactions!C481,[1]Customers!$A$2:$A$201,[1]Customers!$G$2:$G$201)</f>
        <v>Gujarat</v>
      </c>
      <c r="O481" t="str">
        <f>_xlfn.XLOOKUP(C481,[1]Customers!$A$2:$A$201,[1]Customers!$H$2:$H$201)</f>
        <v>West</v>
      </c>
      <c r="P481" t="str">
        <f>_xlfn.XLOOKUP(C481,[1]Customers!$A$2:$A$201,[1]Customers!$F$2:$F$201)</f>
        <v>Ahmedabad</v>
      </c>
      <c r="Q481">
        <f>_xlfn.XLOOKUP(C481,[1]Customers!$A$2:$A$201,[1]Customers!$D$2:$D$201)</f>
        <v>58</v>
      </c>
      <c r="R481" t="str">
        <f>_xlfn.XLOOKUP([1]Transactions!C481,[1]Customers!$A$2:$A$201,[1]Customers!$C$2:$C$201)</f>
        <v>Male</v>
      </c>
      <c r="S481" t="str">
        <f>_xlfn.XLOOKUP(C481,[1]Customers!$A$2:$A$201,[1]Customers!$B$2:$B$201)</f>
        <v>Customer_24</v>
      </c>
      <c r="T481" t="str">
        <f>_xlfn.XLOOKUP(D481,[1]Products!$A$2:$A$101,[1]Products!$C$2:$C$101)</f>
        <v>Beverages</v>
      </c>
      <c r="U481">
        <f>_xlfn.XLOOKUP(D481,[1]Products!$A$2:$A$101,[1]Products!$E$2:$E$101)</f>
        <v>230</v>
      </c>
      <c r="V481">
        <f>[1]Transactions!F481*[1]Transactions!U481</f>
        <v>1150</v>
      </c>
    </row>
    <row r="482" spans="1:22" x14ac:dyDescent="0.3">
      <c r="A482">
        <v>481</v>
      </c>
      <c r="B482">
        <v>131</v>
      </c>
      <c r="C482">
        <v>108</v>
      </c>
      <c r="D482">
        <v>20</v>
      </c>
      <c r="E482">
        <v>31</v>
      </c>
      <c r="F482">
        <v>3</v>
      </c>
      <c r="G482">
        <v>187</v>
      </c>
      <c r="H482">
        <v>561</v>
      </c>
      <c r="I482">
        <v>44</v>
      </c>
      <c r="J482">
        <f>[1]Transactions!F482*[1]Transactions!G482</f>
        <v>561</v>
      </c>
      <c r="K482">
        <f>_xlfn.XLOOKUP([1]Transactions!D482,[1]Inventory!$C$2:$C$501,[1]Inventory!$A$2:$A$501)</f>
        <v>137</v>
      </c>
      <c r="L482">
        <f>_xlfn.XLOOKUP(K482,[1]Inventory!$A$2:$A$501,[1]Inventory!$D$2:$D$501)</f>
        <v>338</v>
      </c>
      <c r="M482">
        <f>_xlfn.XLOOKUP(K482,[1]Inventory!$A$2:$A$501,[1]Inventory!$E$2:$E$501)</f>
        <v>85</v>
      </c>
      <c r="N482" t="str">
        <f>_xlfn.XLOOKUP([1]Transactions!C482,[1]Customers!$A$2:$A$201,[1]Customers!$G$2:$G$201)</f>
        <v>Tamil Nadu</v>
      </c>
      <c r="O482" t="str">
        <f>_xlfn.XLOOKUP(C482,[1]Customers!$A$2:$A$201,[1]Customers!$H$2:$H$201)</f>
        <v>South</v>
      </c>
      <c r="P482" t="str">
        <f>_xlfn.XLOOKUP(C482,[1]Customers!$A$2:$A$201,[1]Customers!$F$2:$F$201)</f>
        <v>Chennai</v>
      </c>
      <c r="Q482">
        <f>_xlfn.XLOOKUP(C482,[1]Customers!$A$2:$A$201,[1]Customers!$D$2:$D$201)</f>
        <v>49</v>
      </c>
      <c r="R482" t="str">
        <f>_xlfn.XLOOKUP([1]Transactions!C482,[1]Customers!$A$2:$A$201,[1]Customers!$C$2:$C$201)</f>
        <v>Male</v>
      </c>
      <c r="S482" t="str">
        <f>_xlfn.XLOOKUP(C482,[1]Customers!$A$2:$A$201,[1]Customers!$B$2:$B$201)</f>
        <v>Customer_108</v>
      </c>
      <c r="T482" t="str">
        <f>_xlfn.XLOOKUP(D482,[1]Products!$A$2:$A$101,[1]Products!$C$2:$C$101)</f>
        <v>Dairy</v>
      </c>
      <c r="U482">
        <f>_xlfn.XLOOKUP(D482,[1]Products!$A$2:$A$101,[1]Products!$E$2:$E$101)</f>
        <v>182</v>
      </c>
      <c r="V482">
        <f>[1]Transactions!F482*[1]Transactions!U482</f>
        <v>546</v>
      </c>
    </row>
    <row r="483" spans="1:22" x14ac:dyDescent="0.3">
      <c r="A483">
        <v>482</v>
      </c>
      <c r="B483">
        <v>157</v>
      </c>
      <c r="C483">
        <v>165</v>
      </c>
      <c r="D483">
        <v>75</v>
      </c>
      <c r="E483">
        <v>22</v>
      </c>
      <c r="F483">
        <v>5</v>
      </c>
      <c r="G483">
        <v>197</v>
      </c>
      <c r="H483">
        <v>985</v>
      </c>
      <c r="I483">
        <v>53</v>
      </c>
      <c r="J483">
        <f>[1]Transactions!F483*[1]Transactions!G483</f>
        <v>985</v>
      </c>
      <c r="K483">
        <f>_xlfn.XLOOKUP([1]Transactions!D483,[1]Inventory!$C$2:$C$501,[1]Inventory!$A$2:$A$501)</f>
        <v>14</v>
      </c>
      <c r="L483">
        <f>_xlfn.XLOOKUP(K483,[1]Inventory!$A$2:$A$501,[1]Inventory!$D$2:$D$501)</f>
        <v>306</v>
      </c>
      <c r="M483">
        <f>_xlfn.XLOOKUP(K483,[1]Inventory!$A$2:$A$501,[1]Inventory!$E$2:$E$501)</f>
        <v>30</v>
      </c>
      <c r="N483" t="str">
        <f>_xlfn.XLOOKUP([1]Transactions!C483,[1]Customers!$A$2:$A$201,[1]Customers!$G$2:$G$201)</f>
        <v>UP</v>
      </c>
      <c r="O483" t="str">
        <f>_xlfn.XLOOKUP(C483,[1]Customers!$A$2:$A$201,[1]Customers!$H$2:$H$201)</f>
        <v>North</v>
      </c>
      <c r="P483" t="str">
        <f>_xlfn.XLOOKUP(C483,[1]Customers!$A$2:$A$201,[1]Customers!$F$2:$F$201)</f>
        <v>Lucknow</v>
      </c>
      <c r="Q483">
        <f>_xlfn.XLOOKUP(C483,[1]Customers!$A$2:$A$201,[1]Customers!$D$2:$D$201)</f>
        <v>58</v>
      </c>
      <c r="R483" t="str">
        <f>_xlfn.XLOOKUP([1]Transactions!C483,[1]Customers!$A$2:$A$201,[1]Customers!$C$2:$C$201)</f>
        <v>Male</v>
      </c>
      <c r="S483" t="str">
        <f>_xlfn.XLOOKUP(C483,[1]Customers!$A$2:$A$201,[1]Customers!$B$2:$B$201)</f>
        <v>Customer_165</v>
      </c>
      <c r="T483" t="str">
        <f>_xlfn.XLOOKUP(D483,[1]Products!$A$2:$A$101,[1]Products!$C$2:$C$101)</f>
        <v>Grocery</v>
      </c>
      <c r="U483">
        <f>_xlfn.XLOOKUP(D483,[1]Products!$A$2:$A$101,[1]Products!$E$2:$E$101)</f>
        <v>88</v>
      </c>
      <c r="V483">
        <f>[1]Transactions!F483*[1]Transactions!U483</f>
        <v>440</v>
      </c>
    </row>
    <row r="484" spans="1:22" x14ac:dyDescent="0.3">
      <c r="A484">
        <v>483</v>
      </c>
      <c r="B484">
        <v>44</v>
      </c>
      <c r="C484">
        <v>172</v>
      </c>
      <c r="D484">
        <v>76</v>
      </c>
      <c r="E484">
        <v>46</v>
      </c>
      <c r="F484">
        <v>5</v>
      </c>
      <c r="G484">
        <v>172</v>
      </c>
      <c r="H484">
        <v>860</v>
      </c>
      <c r="I484">
        <v>51</v>
      </c>
      <c r="J484">
        <f>[1]Transactions!F484*[1]Transactions!G484</f>
        <v>860</v>
      </c>
      <c r="K484">
        <f>_xlfn.XLOOKUP([1]Transactions!D484,[1]Inventory!$C$2:$C$501,[1]Inventory!$A$2:$A$501)</f>
        <v>29</v>
      </c>
      <c r="L484">
        <f>_xlfn.XLOOKUP(K484,[1]Inventory!$A$2:$A$501,[1]Inventory!$D$2:$D$501)</f>
        <v>328</v>
      </c>
      <c r="M484">
        <f>_xlfn.XLOOKUP(K484,[1]Inventory!$A$2:$A$501,[1]Inventory!$E$2:$E$501)</f>
        <v>97</v>
      </c>
      <c r="N484" t="str">
        <f>_xlfn.XLOOKUP([1]Transactions!C484,[1]Customers!$A$2:$A$201,[1]Customers!$G$2:$G$201)</f>
        <v>West Bengal</v>
      </c>
      <c r="O484" t="str">
        <f>_xlfn.XLOOKUP(C484,[1]Customers!$A$2:$A$201,[1]Customers!$H$2:$H$201)</f>
        <v>East</v>
      </c>
      <c r="P484" t="str">
        <f>_xlfn.XLOOKUP(C484,[1]Customers!$A$2:$A$201,[1]Customers!$F$2:$F$201)</f>
        <v>Kolkata</v>
      </c>
      <c r="Q484">
        <f>_xlfn.XLOOKUP(C484,[1]Customers!$A$2:$A$201,[1]Customers!$D$2:$D$201)</f>
        <v>35</v>
      </c>
      <c r="R484" t="str">
        <f>_xlfn.XLOOKUP([1]Transactions!C484,[1]Customers!$A$2:$A$201,[1]Customers!$C$2:$C$201)</f>
        <v>Female</v>
      </c>
      <c r="S484" t="str">
        <f>_xlfn.XLOOKUP(C484,[1]Customers!$A$2:$A$201,[1]Customers!$B$2:$B$201)</f>
        <v>Customer_172</v>
      </c>
      <c r="T484" t="str">
        <f>_xlfn.XLOOKUP(D484,[1]Products!$A$2:$A$101,[1]Products!$C$2:$C$101)</f>
        <v>Dairy</v>
      </c>
      <c r="U484">
        <f>_xlfn.XLOOKUP(D484,[1]Products!$A$2:$A$101,[1]Products!$E$2:$E$101)</f>
        <v>164</v>
      </c>
      <c r="V484">
        <f>[1]Transactions!F484*[1]Transactions!U484</f>
        <v>820</v>
      </c>
    </row>
    <row r="485" spans="1:22" x14ac:dyDescent="0.3">
      <c r="A485">
        <v>484</v>
      </c>
      <c r="B485">
        <v>28</v>
      </c>
      <c r="C485">
        <v>139</v>
      </c>
      <c r="D485">
        <v>88</v>
      </c>
      <c r="E485">
        <v>36</v>
      </c>
      <c r="F485">
        <v>2</v>
      </c>
      <c r="G485">
        <v>166</v>
      </c>
      <c r="H485">
        <v>332</v>
      </c>
      <c r="I485">
        <v>47</v>
      </c>
      <c r="J485">
        <f>[1]Transactions!F485*[1]Transactions!G485</f>
        <v>332</v>
      </c>
      <c r="K485">
        <f>_xlfn.XLOOKUP([1]Transactions!D485,[1]Inventory!$C$2:$C$501,[1]Inventory!$A$2:$A$501)</f>
        <v>490</v>
      </c>
      <c r="L485">
        <f>_xlfn.XLOOKUP(K485,[1]Inventory!$A$2:$A$501,[1]Inventory!$D$2:$D$501)</f>
        <v>384</v>
      </c>
      <c r="M485">
        <f>_xlfn.XLOOKUP(K485,[1]Inventory!$A$2:$A$501,[1]Inventory!$E$2:$E$501)</f>
        <v>104</v>
      </c>
      <c r="N485" t="str">
        <f>_xlfn.XLOOKUP([1]Transactions!C485,[1]Customers!$A$2:$A$201,[1]Customers!$G$2:$G$201)</f>
        <v>Rajasthan</v>
      </c>
      <c r="O485" t="str">
        <f>_xlfn.XLOOKUP(C485,[1]Customers!$A$2:$A$201,[1]Customers!$H$2:$H$201)</f>
        <v>North</v>
      </c>
      <c r="P485" t="str">
        <f>_xlfn.XLOOKUP(C485,[1]Customers!$A$2:$A$201,[1]Customers!$F$2:$F$201)</f>
        <v>Jaipur</v>
      </c>
      <c r="Q485">
        <f>_xlfn.XLOOKUP(C485,[1]Customers!$A$2:$A$201,[1]Customers!$D$2:$D$201)</f>
        <v>29</v>
      </c>
      <c r="R485" t="str">
        <f>_xlfn.XLOOKUP([1]Transactions!C485,[1]Customers!$A$2:$A$201,[1]Customers!$C$2:$C$201)</f>
        <v>Female</v>
      </c>
      <c r="S485" t="str">
        <f>_xlfn.XLOOKUP(C485,[1]Customers!$A$2:$A$201,[1]Customers!$B$2:$B$201)</f>
        <v>Customer_139</v>
      </c>
      <c r="T485" t="str">
        <f>_xlfn.XLOOKUP(D485,[1]Products!$A$2:$A$101,[1]Products!$C$2:$C$101)</f>
        <v>Grocery</v>
      </c>
      <c r="U485">
        <f>_xlfn.XLOOKUP(D485,[1]Products!$A$2:$A$101,[1]Products!$E$2:$E$101)</f>
        <v>378</v>
      </c>
      <c r="V485">
        <f>[1]Transactions!F485*[1]Transactions!U485</f>
        <v>756</v>
      </c>
    </row>
    <row r="486" spans="1:22" x14ac:dyDescent="0.3">
      <c r="A486">
        <v>485</v>
      </c>
      <c r="B486">
        <v>17</v>
      </c>
      <c r="C486">
        <v>91</v>
      </c>
      <c r="D486">
        <v>29</v>
      </c>
      <c r="E486">
        <v>1</v>
      </c>
      <c r="F486">
        <v>3</v>
      </c>
      <c r="G486">
        <v>252</v>
      </c>
      <c r="H486">
        <v>756</v>
      </c>
      <c r="I486">
        <v>35</v>
      </c>
      <c r="J486">
        <f>[1]Transactions!F486*[1]Transactions!G486</f>
        <v>756</v>
      </c>
      <c r="K486">
        <f>_xlfn.XLOOKUP([1]Transactions!D486,[1]Inventory!$C$2:$C$501,[1]Inventory!$A$2:$A$501)</f>
        <v>164</v>
      </c>
      <c r="L486">
        <f>_xlfn.XLOOKUP(K486,[1]Inventory!$A$2:$A$501,[1]Inventory!$D$2:$D$501)</f>
        <v>456</v>
      </c>
      <c r="M486">
        <f>_xlfn.XLOOKUP(K486,[1]Inventory!$A$2:$A$501,[1]Inventory!$E$2:$E$501)</f>
        <v>67</v>
      </c>
      <c r="N486" t="str">
        <f>_xlfn.XLOOKUP([1]Transactions!C486,[1]Customers!$A$2:$A$201,[1]Customers!$G$2:$G$201)</f>
        <v>Maharashtra</v>
      </c>
      <c r="O486" t="str">
        <f>_xlfn.XLOOKUP(C486,[1]Customers!$A$2:$A$201,[1]Customers!$H$2:$H$201)</f>
        <v>West</v>
      </c>
      <c r="P486" t="str">
        <f>_xlfn.XLOOKUP(C486,[1]Customers!$A$2:$A$201,[1]Customers!$F$2:$F$201)</f>
        <v>Mumbai</v>
      </c>
      <c r="Q486">
        <f>_xlfn.XLOOKUP(C486,[1]Customers!$A$2:$A$201,[1]Customers!$D$2:$D$201)</f>
        <v>60</v>
      </c>
      <c r="R486" t="str">
        <f>_xlfn.XLOOKUP([1]Transactions!C486,[1]Customers!$A$2:$A$201,[1]Customers!$C$2:$C$201)</f>
        <v>Male</v>
      </c>
      <c r="S486" t="str">
        <f>_xlfn.XLOOKUP(C486,[1]Customers!$A$2:$A$201,[1]Customers!$B$2:$B$201)</f>
        <v>Customer_91</v>
      </c>
      <c r="T486" t="str">
        <f>_xlfn.XLOOKUP(D486,[1]Products!$A$2:$A$101,[1]Products!$C$2:$C$101)</f>
        <v>Beverages</v>
      </c>
      <c r="U486">
        <f>_xlfn.XLOOKUP(D486,[1]Products!$A$2:$A$101,[1]Products!$E$2:$E$101)</f>
        <v>155</v>
      </c>
      <c r="V486">
        <f>[1]Transactions!F486*[1]Transactions!U486</f>
        <v>465</v>
      </c>
    </row>
    <row r="487" spans="1:22" x14ac:dyDescent="0.3">
      <c r="A487">
        <v>486</v>
      </c>
      <c r="B487">
        <v>152</v>
      </c>
      <c r="C487">
        <v>156</v>
      </c>
      <c r="D487">
        <v>93</v>
      </c>
      <c r="E487">
        <v>34</v>
      </c>
      <c r="F487">
        <v>4</v>
      </c>
      <c r="G487">
        <v>46</v>
      </c>
      <c r="H487">
        <v>184</v>
      </c>
      <c r="I487">
        <v>22</v>
      </c>
      <c r="J487">
        <f>[1]Transactions!F487*[1]Transactions!G487</f>
        <v>184</v>
      </c>
      <c r="K487">
        <f>_xlfn.XLOOKUP([1]Transactions!D487,[1]Inventory!$C$2:$C$501,[1]Inventory!$A$2:$A$501)</f>
        <v>35</v>
      </c>
      <c r="L487">
        <f>_xlfn.XLOOKUP(K487,[1]Inventory!$A$2:$A$501,[1]Inventory!$D$2:$D$501)</f>
        <v>402</v>
      </c>
      <c r="M487">
        <f>_xlfn.XLOOKUP(K487,[1]Inventory!$A$2:$A$501,[1]Inventory!$E$2:$E$501)</f>
        <v>94</v>
      </c>
      <c r="N487" t="str">
        <f>_xlfn.XLOOKUP([1]Transactions!C487,[1]Customers!$A$2:$A$201,[1]Customers!$G$2:$G$201)</f>
        <v>Maharashtra</v>
      </c>
      <c r="O487" t="str">
        <f>_xlfn.XLOOKUP(C487,[1]Customers!$A$2:$A$201,[1]Customers!$H$2:$H$201)</f>
        <v>West</v>
      </c>
      <c r="P487" t="str">
        <f>_xlfn.XLOOKUP(C487,[1]Customers!$A$2:$A$201,[1]Customers!$F$2:$F$201)</f>
        <v>Pune</v>
      </c>
      <c r="Q487">
        <f>_xlfn.XLOOKUP(C487,[1]Customers!$A$2:$A$201,[1]Customers!$D$2:$D$201)</f>
        <v>47</v>
      </c>
      <c r="R487" t="str">
        <f>_xlfn.XLOOKUP([1]Transactions!C487,[1]Customers!$A$2:$A$201,[1]Customers!$C$2:$C$201)</f>
        <v>Female</v>
      </c>
      <c r="S487" t="str">
        <f>_xlfn.XLOOKUP(C487,[1]Customers!$A$2:$A$201,[1]Customers!$B$2:$B$201)</f>
        <v>Customer_156</v>
      </c>
      <c r="T487" t="str">
        <f>_xlfn.XLOOKUP(D487,[1]Products!$A$2:$A$101,[1]Products!$C$2:$C$101)</f>
        <v>Beverages</v>
      </c>
      <c r="U487">
        <f>_xlfn.XLOOKUP(D487,[1]Products!$A$2:$A$101,[1]Products!$E$2:$E$101)</f>
        <v>423</v>
      </c>
      <c r="V487">
        <f>[1]Transactions!F487*[1]Transactions!U487</f>
        <v>1692</v>
      </c>
    </row>
    <row r="488" spans="1:22" x14ac:dyDescent="0.3">
      <c r="A488">
        <v>487</v>
      </c>
      <c r="B488">
        <v>15</v>
      </c>
      <c r="C488">
        <v>39</v>
      </c>
      <c r="D488">
        <v>100</v>
      </c>
      <c r="E488">
        <v>15</v>
      </c>
      <c r="F488">
        <v>3</v>
      </c>
      <c r="G488">
        <v>205</v>
      </c>
      <c r="H488">
        <v>615</v>
      </c>
      <c r="I488">
        <v>41</v>
      </c>
      <c r="J488">
        <f>[1]Transactions!F488*[1]Transactions!G488</f>
        <v>615</v>
      </c>
      <c r="K488">
        <f>_xlfn.XLOOKUP([1]Transactions!D488,[1]Inventory!$C$2:$C$501,[1]Inventory!$A$2:$A$501)</f>
        <v>54</v>
      </c>
      <c r="L488">
        <f>_xlfn.XLOOKUP(K488,[1]Inventory!$A$2:$A$501,[1]Inventory!$D$2:$D$501)</f>
        <v>397</v>
      </c>
      <c r="M488">
        <f>_xlfn.XLOOKUP(K488,[1]Inventory!$A$2:$A$501,[1]Inventory!$E$2:$E$501)</f>
        <v>5</v>
      </c>
      <c r="N488" t="str">
        <f>_xlfn.XLOOKUP([1]Transactions!C488,[1]Customers!$A$2:$A$201,[1]Customers!$G$2:$G$201)</f>
        <v>Gujarat</v>
      </c>
      <c r="O488" t="str">
        <f>_xlfn.XLOOKUP(C488,[1]Customers!$A$2:$A$201,[1]Customers!$H$2:$H$201)</f>
        <v>West</v>
      </c>
      <c r="P488" t="str">
        <f>_xlfn.XLOOKUP(C488,[1]Customers!$A$2:$A$201,[1]Customers!$F$2:$F$201)</f>
        <v>Ahmedabad</v>
      </c>
      <c r="Q488">
        <f>_xlfn.XLOOKUP(C488,[1]Customers!$A$2:$A$201,[1]Customers!$D$2:$D$201)</f>
        <v>36</v>
      </c>
      <c r="R488" t="str">
        <f>_xlfn.XLOOKUP([1]Transactions!C488,[1]Customers!$A$2:$A$201,[1]Customers!$C$2:$C$201)</f>
        <v>Male</v>
      </c>
      <c r="S488" t="str">
        <f>_xlfn.XLOOKUP(C488,[1]Customers!$A$2:$A$201,[1]Customers!$B$2:$B$201)</f>
        <v>Customer_39</v>
      </c>
      <c r="T488" t="str">
        <f>_xlfn.XLOOKUP(D488,[1]Products!$A$2:$A$101,[1]Products!$C$2:$C$101)</f>
        <v>Dairy</v>
      </c>
      <c r="U488">
        <f>_xlfn.XLOOKUP(D488,[1]Products!$A$2:$A$101,[1]Products!$E$2:$E$101)</f>
        <v>472</v>
      </c>
      <c r="V488">
        <f>[1]Transactions!F488*[1]Transactions!U488</f>
        <v>1416</v>
      </c>
    </row>
    <row r="489" spans="1:22" x14ac:dyDescent="0.3">
      <c r="A489">
        <v>488</v>
      </c>
      <c r="B489">
        <v>54</v>
      </c>
      <c r="C489">
        <v>42</v>
      </c>
      <c r="D489">
        <v>32</v>
      </c>
      <c r="E489">
        <v>29</v>
      </c>
      <c r="F489">
        <v>1</v>
      </c>
      <c r="G489">
        <v>394</v>
      </c>
      <c r="H489">
        <v>394</v>
      </c>
      <c r="I489">
        <v>25</v>
      </c>
      <c r="J489">
        <f>[1]Transactions!F489*[1]Transactions!G489</f>
        <v>394</v>
      </c>
      <c r="K489">
        <f>_xlfn.XLOOKUP([1]Transactions!D489,[1]Inventory!$C$2:$C$501,[1]Inventory!$A$2:$A$501)</f>
        <v>27</v>
      </c>
      <c r="L489">
        <f>_xlfn.XLOOKUP(K489,[1]Inventory!$A$2:$A$501,[1]Inventory!$D$2:$D$501)</f>
        <v>76</v>
      </c>
      <c r="M489">
        <f>_xlfn.XLOOKUP(K489,[1]Inventory!$A$2:$A$501,[1]Inventory!$E$2:$E$501)</f>
        <v>128</v>
      </c>
      <c r="N489" t="str">
        <f>_xlfn.XLOOKUP([1]Transactions!C489,[1]Customers!$A$2:$A$201,[1]Customers!$G$2:$G$201)</f>
        <v>Maharashtra</v>
      </c>
      <c r="O489" t="str">
        <f>_xlfn.XLOOKUP(C489,[1]Customers!$A$2:$A$201,[1]Customers!$H$2:$H$201)</f>
        <v>West</v>
      </c>
      <c r="P489" t="str">
        <f>_xlfn.XLOOKUP(C489,[1]Customers!$A$2:$A$201,[1]Customers!$F$2:$F$201)</f>
        <v>Mumbai</v>
      </c>
      <c r="Q489">
        <f>_xlfn.XLOOKUP(C489,[1]Customers!$A$2:$A$201,[1]Customers!$D$2:$D$201)</f>
        <v>23</v>
      </c>
      <c r="R489" t="str">
        <f>_xlfn.XLOOKUP([1]Transactions!C489,[1]Customers!$A$2:$A$201,[1]Customers!$C$2:$C$201)</f>
        <v>Male</v>
      </c>
      <c r="S489" t="str">
        <f>_xlfn.XLOOKUP(C489,[1]Customers!$A$2:$A$201,[1]Customers!$B$2:$B$201)</f>
        <v>Customer_42</v>
      </c>
      <c r="T489" t="str">
        <f>_xlfn.XLOOKUP(D489,[1]Products!$A$2:$A$101,[1]Products!$C$2:$C$101)</f>
        <v>Snacks</v>
      </c>
      <c r="U489">
        <f>_xlfn.XLOOKUP(D489,[1]Products!$A$2:$A$101,[1]Products!$E$2:$E$101)</f>
        <v>366</v>
      </c>
      <c r="V489">
        <f>[1]Transactions!F489*[1]Transactions!U489</f>
        <v>366</v>
      </c>
    </row>
    <row r="490" spans="1:22" x14ac:dyDescent="0.3">
      <c r="A490">
        <v>489</v>
      </c>
      <c r="B490">
        <v>76</v>
      </c>
      <c r="C490">
        <v>152</v>
      </c>
      <c r="D490">
        <v>48</v>
      </c>
      <c r="E490">
        <v>46</v>
      </c>
      <c r="F490">
        <v>1</v>
      </c>
      <c r="G490">
        <v>75</v>
      </c>
      <c r="H490">
        <v>75</v>
      </c>
      <c r="I490">
        <v>23</v>
      </c>
      <c r="J490">
        <f>[1]Transactions!F490*[1]Transactions!G490</f>
        <v>75</v>
      </c>
      <c r="K490">
        <f>_xlfn.XLOOKUP([1]Transactions!D490,[1]Inventory!$C$2:$C$501,[1]Inventory!$A$2:$A$501)</f>
        <v>86</v>
      </c>
      <c r="L490">
        <f>_xlfn.XLOOKUP(K490,[1]Inventory!$A$2:$A$501,[1]Inventory!$D$2:$D$501)</f>
        <v>310</v>
      </c>
      <c r="M490">
        <f>_xlfn.XLOOKUP(K490,[1]Inventory!$A$2:$A$501,[1]Inventory!$E$2:$E$501)</f>
        <v>76</v>
      </c>
      <c r="N490" t="str">
        <f>_xlfn.XLOOKUP([1]Transactions!C490,[1]Customers!$A$2:$A$201,[1]Customers!$G$2:$G$201)</f>
        <v>Delhi</v>
      </c>
      <c r="O490" t="str">
        <f>_xlfn.XLOOKUP(C490,[1]Customers!$A$2:$A$201,[1]Customers!$H$2:$H$201)</f>
        <v>North</v>
      </c>
      <c r="P490" t="str">
        <f>_xlfn.XLOOKUP(C490,[1]Customers!$A$2:$A$201,[1]Customers!$F$2:$F$201)</f>
        <v>Delhi</v>
      </c>
      <c r="Q490">
        <f>_xlfn.XLOOKUP(C490,[1]Customers!$A$2:$A$201,[1]Customers!$D$2:$D$201)</f>
        <v>28</v>
      </c>
      <c r="R490" t="str">
        <f>_xlfn.XLOOKUP([1]Transactions!C490,[1]Customers!$A$2:$A$201,[1]Customers!$C$2:$C$201)</f>
        <v>Male</v>
      </c>
      <c r="S490" t="str">
        <f>_xlfn.XLOOKUP(C490,[1]Customers!$A$2:$A$201,[1]Customers!$B$2:$B$201)</f>
        <v>Customer_152</v>
      </c>
      <c r="T490" t="str">
        <f>_xlfn.XLOOKUP(D490,[1]Products!$A$2:$A$101,[1]Products!$C$2:$C$101)</f>
        <v>Snacks</v>
      </c>
      <c r="U490">
        <f>_xlfn.XLOOKUP(D490,[1]Products!$A$2:$A$101,[1]Products!$E$2:$E$101)</f>
        <v>315</v>
      </c>
      <c r="V490">
        <f>[1]Transactions!F490*[1]Transactions!U490</f>
        <v>315</v>
      </c>
    </row>
    <row r="491" spans="1:22" x14ac:dyDescent="0.3">
      <c r="A491">
        <v>490</v>
      </c>
      <c r="B491">
        <v>113</v>
      </c>
      <c r="C491">
        <v>120</v>
      </c>
      <c r="D491">
        <v>83</v>
      </c>
      <c r="E491">
        <v>11</v>
      </c>
      <c r="F491">
        <v>1</v>
      </c>
      <c r="G491">
        <v>183</v>
      </c>
      <c r="H491">
        <v>183</v>
      </c>
      <c r="I491">
        <v>37</v>
      </c>
      <c r="J491">
        <f>[1]Transactions!F491*[1]Transactions!G491</f>
        <v>183</v>
      </c>
      <c r="K491">
        <f>_xlfn.XLOOKUP([1]Transactions!D491,[1]Inventory!$C$2:$C$501,[1]Inventory!$A$2:$A$501)</f>
        <v>47</v>
      </c>
      <c r="L491">
        <f>_xlfn.XLOOKUP(K491,[1]Inventory!$A$2:$A$501,[1]Inventory!$D$2:$D$501)</f>
        <v>378</v>
      </c>
      <c r="M491">
        <f>_xlfn.XLOOKUP(K491,[1]Inventory!$A$2:$A$501,[1]Inventory!$E$2:$E$501)</f>
        <v>110</v>
      </c>
      <c r="N491" t="str">
        <f>_xlfn.XLOOKUP([1]Transactions!C491,[1]Customers!$A$2:$A$201,[1]Customers!$G$2:$G$201)</f>
        <v>Gujarat</v>
      </c>
      <c r="O491" t="str">
        <f>_xlfn.XLOOKUP(C491,[1]Customers!$A$2:$A$201,[1]Customers!$H$2:$H$201)</f>
        <v>West</v>
      </c>
      <c r="P491" t="str">
        <f>_xlfn.XLOOKUP(C491,[1]Customers!$A$2:$A$201,[1]Customers!$F$2:$F$201)</f>
        <v>Ahmedabad</v>
      </c>
      <c r="Q491">
        <f>_xlfn.XLOOKUP(C491,[1]Customers!$A$2:$A$201,[1]Customers!$D$2:$D$201)</f>
        <v>42</v>
      </c>
      <c r="R491" t="str">
        <f>_xlfn.XLOOKUP([1]Transactions!C491,[1]Customers!$A$2:$A$201,[1]Customers!$C$2:$C$201)</f>
        <v>Female</v>
      </c>
      <c r="S491" t="str">
        <f>_xlfn.XLOOKUP(C491,[1]Customers!$A$2:$A$201,[1]Customers!$B$2:$B$201)</f>
        <v>Customer_120</v>
      </c>
      <c r="T491" t="str">
        <f>_xlfn.XLOOKUP(D491,[1]Products!$A$2:$A$101,[1]Products!$C$2:$C$101)</f>
        <v>Beverages</v>
      </c>
      <c r="U491">
        <f>_xlfn.XLOOKUP(D491,[1]Products!$A$2:$A$101,[1]Products!$E$2:$E$101)</f>
        <v>183</v>
      </c>
      <c r="V491">
        <f>[1]Transactions!F491*[1]Transactions!U491</f>
        <v>183</v>
      </c>
    </row>
    <row r="492" spans="1:22" x14ac:dyDescent="0.3">
      <c r="A492">
        <v>491</v>
      </c>
      <c r="B492">
        <v>100</v>
      </c>
      <c r="C492">
        <v>6</v>
      </c>
      <c r="D492">
        <v>69</v>
      </c>
      <c r="E492">
        <v>50</v>
      </c>
      <c r="F492">
        <v>1</v>
      </c>
      <c r="G492">
        <v>262</v>
      </c>
      <c r="H492">
        <v>262</v>
      </c>
      <c r="I492">
        <v>34</v>
      </c>
      <c r="J492">
        <f>[1]Transactions!F492*[1]Transactions!G492</f>
        <v>262</v>
      </c>
      <c r="K492">
        <f>_xlfn.XLOOKUP([1]Transactions!D492,[1]Inventory!$C$2:$C$501,[1]Inventory!$A$2:$A$501)</f>
        <v>15</v>
      </c>
      <c r="L492">
        <f>_xlfn.XLOOKUP(K492,[1]Inventory!$A$2:$A$501,[1]Inventory!$D$2:$D$501)</f>
        <v>190</v>
      </c>
      <c r="M492">
        <f>_xlfn.XLOOKUP(K492,[1]Inventory!$A$2:$A$501,[1]Inventory!$E$2:$E$501)</f>
        <v>91</v>
      </c>
      <c r="N492" t="str">
        <f>_xlfn.XLOOKUP([1]Transactions!C492,[1]Customers!$A$2:$A$201,[1]Customers!$G$2:$G$201)</f>
        <v>Gujarat</v>
      </c>
      <c r="O492" t="str">
        <f>_xlfn.XLOOKUP(C492,[1]Customers!$A$2:$A$201,[1]Customers!$H$2:$H$201)</f>
        <v>West</v>
      </c>
      <c r="P492" t="str">
        <f>_xlfn.XLOOKUP(C492,[1]Customers!$A$2:$A$201,[1]Customers!$F$2:$F$201)</f>
        <v>Ahmedabad</v>
      </c>
      <c r="Q492">
        <f>_xlfn.XLOOKUP(C492,[1]Customers!$A$2:$A$201,[1]Customers!$D$2:$D$201)</f>
        <v>36</v>
      </c>
      <c r="R492" t="str">
        <f>_xlfn.XLOOKUP([1]Transactions!C492,[1]Customers!$A$2:$A$201,[1]Customers!$C$2:$C$201)</f>
        <v>Female</v>
      </c>
      <c r="S492" t="str">
        <f>_xlfn.XLOOKUP(C492,[1]Customers!$A$2:$A$201,[1]Customers!$B$2:$B$201)</f>
        <v>Customer_6</v>
      </c>
      <c r="T492" t="str">
        <f>_xlfn.XLOOKUP(D492,[1]Products!$A$2:$A$101,[1]Products!$C$2:$C$101)</f>
        <v>Grocery</v>
      </c>
      <c r="U492">
        <f>_xlfn.XLOOKUP(D492,[1]Products!$A$2:$A$101,[1]Products!$E$2:$E$101)</f>
        <v>460</v>
      </c>
      <c r="V492">
        <f>[1]Transactions!F492*[1]Transactions!U492</f>
        <v>460</v>
      </c>
    </row>
    <row r="493" spans="1:22" x14ac:dyDescent="0.3">
      <c r="A493">
        <v>492</v>
      </c>
      <c r="B493">
        <v>54</v>
      </c>
      <c r="C493">
        <v>67</v>
      </c>
      <c r="D493">
        <v>21</v>
      </c>
      <c r="E493">
        <v>16</v>
      </c>
      <c r="F493">
        <v>3</v>
      </c>
      <c r="G493">
        <v>267</v>
      </c>
      <c r="H493">
        <v>801</v>
      </c>
      <c r="I493">
        <v>37</v>
      </c>
      <c r="J493">
        <f>[1]Transactions!F493*[1]Transactions!G493</f>
        <v>801</v>
      </c>
      <c r="K493">
        <f>_xlfn.XLOOKUP([1]Transactions!D493,[1]Inventory!$C$2:$C$501,[1]Inventory!$A$2:$A$501)</f>
        <v>126</v>
      </c>
      <c r="L493">
        <f>_xlfn.XLOOKUP(K493,[1]Inventory!$A$2:$A$501,[1]Inventory!$D$2:$D$501)</f>
        <v>52</v>
      </c>
      <c r="M493">
        <f>_xlfn.XLOOKUP(K493,[1]Inventory!$A$2:$A$501,[1]Inventory!$E$2:$E$501)</f>
        <v>139</v>
      </c>
      <c r="N493" t="str">
        <f>_xlfn.XLOOKUP([1]Transactions!C493,[1]Customers!$A$2:$A$201,[1]Customers!$G$2:$G$201)</f>
        <v>Rajasthan</v>
      </c>
      <c r="O493" t="str">
        <f>_xlfn.XLOOKUP(C493,[1]Customers!$A$2:$A$201,[1]Customers!$H$2:$H$201)</f>
        <v>North</v>
      </c>
      <c r="P493" t="str">
        <f>_xlfn.XLOOKUP(C493,[1]Customers!$A$2:$A$201,[1]Customers!$F$2:$F$201)</f>
        <v>Jaipur</v>
      </c>
      <c r="Q493">
        <f>_xlfn.XLOOKUP(C493,[1]Customers!$A$2:$A$201,[1]Customers!$D$2:$D$201)</f>
        <v>40</v>
      </c>
      <c r="R493" t="str">
        <f>_xlfn.XLOOKUP([1]Transactions!C493,[1]Customers!$A$2:$A$201,[1]Customers!$C$2:$C$201)</f>
        <v>Male</v>
      </c>
      <c r="S493" t="str">
        <f>_xlfn.XLOOKUP(C493,[1]Customers!$A$2:$A$201,[1]Customers!$B$2:$B$201)</f>
        <v>Customer_67</v>
      </c>
      <c r="T493" t="str">
        <f>_xlfn.XLOOKUP(D493,[1]Products!$A$2:$A$101,[1]Products!$C$2:$C$101)</f>
        <v>Beverages</v>
      </c>
      <c r="U493">
        <f>_xlfn.XLOOKUP(D493,[1]Products!$A$2:$A$101,[1]Products!$E$2:$E$101)</f>
        <v>327</v>
      </c>
      <c r="V493">
        <f>[1]Transactions!F493*[1]Transactions!U493</f>
        <v>981</v>
      </c>
    </row>
    <row r="494" spans="1:22" x14ac:dyDescent="0.3">
      <c r="A494">
        <v>493</v>
      </c>
      <c r="B494">
        <v>22</v>
      </c>
      <c r="C494">
        <v>105</v>
      </c>
      <c r="D494">
        <v>90</v>
      </c>
      <c r="E494">
        <v>32</v>
      </c>
      <c r="F494">
        <v>2</v>
      </c>
      <c r="G494">
        <v>428</v>
      </c>
      <c r="H494">
        <v>856</v>
      </c>
      <c r="I494">
        <v>22</v>
      </c>
      <c r="J494">
        <f>[1]Transactions!F494*[1]Transactions!G494</f>
        <v>856</v>
      </c>
      <c r="K494">
        <f>_xlfn.XLOOKUP([1]Transactions!D494,[1]Inventory!$C$2:$C$501,[1]Inventory!$A$2:$A$501)</f>
        <v>17</v>
      </c>
      <c r="L494">
        <f>_xlfn.XLOOKUP(K494,[1]Inventory!$A$2:$A$501,[1]Inventory!$D$2:$D$501)</f>
        <v>293</v>
      </c>
      <c r="M494">
        <f>_xlfn.XLOOKUP(K494,[1]Inventory!$A$2:$A$501,[1]Inventory!$E$2:$E$501)</f>
        <v>177</v>
      </c>
      <c r="N494" t="str">
        <f>_xlfn.XLOOKUP([1]Transactions!C494,[1]Customers!$A$2:$A$201,[1]Customers!$G$2:$G$201)</f>
        <v>Rajasthan</v>
      </c>
      <c r="O494" t="str">
        <f>_xlfn.XLOOKUP(C494,[1]Customers!$A$2:$A$201,[1]Customers!$H$2:$H$201)</f>
        <v>North</v>
      </c>
      <c r="P494" t="str">
        <f>_xlfn.XLOOKUP(C494,[1]Customers!$A$2:$A$201,[1]Customers!$F$2:$F$201)</f>
        <v>Jaipur</v>
      </c>
      <c r="Q494">
        <f>_xlfn.XLOOKUP(C494,[1]Customers!$A$2:$A$201,[1]Customers!$D$2:$D$201)</f>
        <v>20</v>
      </c>
      <c r="R494" t="str">
        <f>_xlfn.XLOOKUP([1]Transactions!C494,[1]Customers!$A$2:$A$201,[1]Customers!$C$2:$C$201)</f>
        <v>Male</v>
      </c>
      <c r="S494" t="str">
        <f>_xlfn.XLOOKUP(C494,[1]Customers!$A$2:$A$201,[1]Customers!$B$2:$B$201)</f>
        <v>Customer_105</v>
      </c>
      <c r="T494" t="str">
        <f>_xlfn.XLOOKUP(D494,[1]Products!$A$2:$A$101,[1]Products!$C$2:$C$101)</f>
        <v>Snacks</v>
      </c>
      <c r="U494">
        <f>_xlfn.XLOOKUP(D494,[1]Products!$A$2:$A$101,[1]Products!$E$2:$E$101)</f>
        <v>255</v>
      </c>
      <c r="V494">
        <f>[1]Transactions!F494*[1]Transactions!U494</f>
        <v>510</v>
      </c>
    </row>
    <row r="495" spans="1:22" x14ac:dyDescent="0.3">
      <c r="A495">
        <v>494</v>
      </c>
      <c r="B495">
        <v>107</v>
      </c>
      <c r="C495">
        <v>191</v>
      </c>
      <c r="D495">
        <v>51</v>
      </c>
      <c r="E495">
        <v>43</v>
      </c>
      <c r="F495">
        <v>2</v>
      </c>
      <c r="G495">
        <v>147</v>
      </c>
      <c r="H495">
        <v>294</v>
      </c>
      <c r="I495">
        <v>49</v>
      </c>
      <c r="J495">
        <f>[1]Transactions!F495*[1]Transactions!G495</f>
        <v>294</v>
      </c>
      <c r="K495">
        <f>_xlfn.XLOOKUP([1]Transactions!D495,[1]Inventory!$C$2:$C$501,[1]Inventory!$A$2:$A$501)</f>
        <v>55</v>
      </c>
      <c r="L495">
        <f>_xlfn.XLOOKUP(K495,[1]Inventory!$A$2:$A$501,[1]Inventory!$D$2:$D$501)</f>
        <v>336</v>
      </c>
      <c r="M495">
        <f>_xlfn.XLOOKUP(K495,[1]Inventory!$A$2:$A$501,[1]Inventory!$E$2:$E$501)</f>
        <v>49</v>
      </c>
      <c r="N495" t="str">
        <f>_xlfn.XLOOKUP([1]Transactions!C495,[1]Customers!$A$2:$A$201,[1]Customers!$G$2:$G$201)</f>
        <v>Karnataka</v>
      </c>
      <c r="O495" t="str">
        <f>_xlfn.XLOOKUP(C495,[1]Customers!$A$2:$A$201,[1]Customers!$H$2:$H$201)</f>
        <v>South</v>
      </c>
      <c r="P495" t="str">
        <f>_xlfn.XLOOKUP(C495,[1]Customers!$A$2:$A$201,[1]Customers!$F$2:$F$201)</f>
        <v>Bangalore</v>
      </c>
      <c r="Q495">
        <f>_xlfn.XLOOKUP(C495,[1]Customers!$A$2:$A$201,[1]Customers!$D$2:$D$201)</f>
        <v>18</v>
      </c>
      <c r="R495" t="str">
        <f>_xlfn.XLOOKUP([1]Transactions!C495,[1]Customers!$A$2:$A$201,[1]Customers!$C$2:$C$201)</f>
        <v>Female</v>
      </c>
      <c r="S495" t="str">
        <f>_xlfn.XLOOKUP(C495,[1]Customers!$A$2:$A$201,[1]Customers!$B$2:$B$201)</f>
        <v>Customer_191</v>
      </c>
      <c r="T495" t="str">
        <f>_xlfn.XLOOKUP(D495,[1]Products!$A$2:$A$101,[1]Products!$C$2:$C$101)</f>
        <v>Beverages</v>
      </c>
      <c r="U495">
        <f>_xlfn.XLOOKUP(D495,[1]Products!$A$2:$A$101,[1]Products!$E$2:$E$101)</f>
        <v>27</v>
      </c>
      <c r="V495">
        <f>[1]Transactions!F495*[1]Transactions!U495</f>
        <v>54</v>
      </c>
    </row>
    <row r="496" spans="1:22" x14ac:dyDescent="0.3">
      <c r="A496">
        <v>495</v>
      </c>
      <c r="B496">
        <v>141</v>
      </c>
      <c r="C496">
        <v>123</v>
      </c>
      <c r="D496">
        <v>95</v>
      </c>
      <c r="E496">
        <v>50</v>
      </c>
      <c r="F496">
        <v>3</v>
      </c>
      <c r="G496">
        <v>467</v>
      </c>
      <c r="H496">
        <v>1401</v>
      </c>
      <c r="I496">
        <v>17</v>
      </c>
      <c r="J496">
        <f>[1]Transactions!F496*[1]Transactions!G496</f>
        <v>1401</v>
      </c>
      <c r="K496">
        <f>_xlfn.XLOOKUP([1]Transactions!D496,[1]Inventory!$C$2:$C$501,[1]Inventory!$A$2:$A$501)</f>
        <v>75</v>
      </c>
      <c r="L496">
        <f>_xlfn.XLOOKUP(K496,[1]Inventory!$A$2:$A$501,[1]Inventory!$D$2:$D$501)</f>
        <v>363</v>
      </c>
      <c r="M496">
        <f>_xlfn.XLOOKUP(K496,[1]Inventory!$A$2:$A$501,[1]Inventory!$E$2:$E$501)</f>
        <v>57</v>
      </c>
      <c r="N496" t="str">
        <f>_xlfn.XLOOKUP([1]Transactions!C496,[1]Customers!$A$2:$A$201,[1]Customers!$G$2:$G$201)</f>
        <v>West Bengal</v>
      </c>
      <c r="O496" t="str">
        <f>_xlfn.XLOOKUP(C496,[1]Customers!$A$2:$A$201,[1]Customers!$H$2:$H$201)</f>
        <v>East</v>
      </c>
      <c r="P496" t="str">
        <f>_xlfn.XLOOKUP(C496,[1]Customers!$A$2:$A$201,[1]Customers!$F$2:$F$201)</f>
        <v>Kolkata</v>
      </c>
      <c r="Q496">
        <f>_xlfn.XLOOKUP(C496,[1]Customers!$A$2:$A$201,[1]Customers!$D$2:$D$201)</f>
        <v>51</v>
      </c>
      <c r="R496" t="str">
        <f>_xlfn.XLOOKUP([1]Transactions!C496,[1]Customers!$A$2:$A$201,[1]Customers!$C$2:$C$201)</f>
        <v>Female</v>
      </c>
      <c r="S496" t="str">
        <f>_xlfn.XLOOKUP(C496,[1]Customers!$A$2:$A$201,[1]Customers!$B$2:$B$201)</f>
        <v>Customer_123</v>
      </c>
      <c r="T496" t="str">
        <f>_xlfn.XLOOKUP(D496,[1]Products!$A$2:$A$101,[1]Products!$C$2:$C$101)</f>
        <v>Snacks</v>
      </c>
      <c r="U496">
        <f>_xlfn.XLOOKUP(D496,[1]Products!$A$2:$A$101,[1]Products!$E$2:$E$101)</f>
        <v>73</v>
      </c>
      <c r="V496">
        <f>[1]Transactions!F496*[1]Transactions!U496</f>
        <v>219</v>
      </c>
    </row>
    <row r="497" spans="1:22" x14ac:dyDescent="0.3">
      <c r="A497">
        <v>496</v>
      </c>
      <c r="B497">
        <v>143</v>
      </c>
      <c r="C497">
        <v>1</v>
      </c>
      <c r="D497">
        <v>36</v>
      </c>
      <c r="E497">
        <v>3</v>
      </c>
      <c r="F497">
        <v>5</v>
      </c>
      <c r="G497">
        <v>364</v>
      </c>
      <c r="H497">
        <v>1820</v>
      </c>
      <c r="I497">
        <v>16</v>
      </c>
      <c r="J497">
        <f>[1]Transactions!F497*[1]Transactions!G497</f>
        <v>1820</v>
      </c>
      <c r="K497">
        <f>_xlfn.XLOOKUP([1]Transactions!D497,[1]Inventory!$C$2:$C$501,[1]Inventory!$A$2:$A$501)</f>
        <v>52</v>
      </c>
      <c r="L497">
        <f>_xlfn.XLOOKUP(K497,[1]Inventory!$A$2:$A$501,[1]Inventory!$D$2:$D$501)</f>
        <v>56</v>
      </c>
      <c r="M497">
        <f>_xlfn.XLOOKUP(K497,[1]Inventory!$A$2:$A$501,[1]Inventory!$E$2:$E$501)</f>
        <v>148</v>
      </c>
      <c r="N497" t="str">
        <f>_xlfn.XLOOKUP([1]Transactions!C497,[1]Customers!$A$2:$A$201,[1]Customers!$G$2:$G$201)</f>
        <v>Rajasthan</v>
      </c>
      <c r="O497" t="str">
        <f>_xlfn.XLOOKUP(C497,[1]Customers!$A$2:$A$201,[1]Customers!$H$2:$H$201)</f>
        <v>North</v>
      </c>
      <c r="P497" t="str">
        <f>_xlfn.XLOOKUP(C497,[1]Customers!$A$2:$A$201,[1]Customers!$F$2:$F$201)</f>
        <v>Jaipur</v>
      </c>
      <c r="Q497">
        <f>_xlfn.XLOOKUP(C497,[1]Customers!$A$2:$A$201,[1]Customers!$D$2:$D$201)</f>
        <v>39</v>
      </c>
      <c r="R497" t="str">
        <f>_xlfn.XLOOKUP([1]Transactions!C497,[1]Customers!$A$2:$A$201,[1]Customers!$C$2:$C$201)</f>
        <v>Female</v>
      </c>
      <c r="S497" t="str">
        <f>_xlfn.XLOOKUP(C497,[1]Customers!$A$2:$A$201,[1]Customers!$B$2:$B$201)</f>
        <v>Customer_1</v>
      </c>
      <c r="T497" t="str">
        <f>_xlfn.XLOOKUP(D497,[1]Products!$A$2:$A$101,[1]Products!$C$2:$C$101)</f>
        <v>Grocery</v>
      </c>
      <c r="U497">
        <f>_xlfn.XLOOKUP(D497,[1]Products!$A$2:$A$101,[1]Products!$E$2:$E$101)</f>
        <v>467</v>
      </c>
      <c r="V497">
        <f>[1]Transactions!F497*[1]Transactions!U497</f>
        <v>2335</v>
      </c>
    </row>
    <row r="498" spans="1:22" x14ac:dyDescent="0.3">
      <c r="A498">
        <v>497</v>
      </c>
      <c r="B498">
        <v>163</v>
      </c>
      <c r="C498">
        <v>153</v>
      </c>
      <c r="D498">
        <v>23</v>
      </c>
      <c r="E498">
        <v>36</v>
      </c>
      <c r="F498">
        <v>5</v>
      </c>
      <c r="G498">
        <v>460</v>
      </c>
      <c r="H498">
        <v>2300</v>
      </c>
      <c r="I498">
        <v>54</v>
      </c>
      <c r="J498">
        <f>[1]Transactions!F498*[1]Transactions!G498</f>
        <v>2300</v>
      </c>
      <c r="K498">
        <f>_xlfn.XLOOKUP([1]Transactions!D498,[1]Inventory!$C$2:$C$501,[1]Inventory!$A$2:$A$501)</f>
        <v>127</v>
      </c>
      <c r="L498">
        <f>_xlfn.XLOOKUP(K498,[1]Inventory!$A$2:$A$501,[1]Inventory!$D$2:$D$501)</f>
        <v>144</v>
      </c>
      <c r="M498">
        <f>_xlfn.XLOOKUP(K498,[1]Inventory!$A$2:$A$501,[1]Inventory!$E$2:$E$501)</f>
        <v>95</v>
      </c>
      <c r="N498" t="str">
        <f>_xlfn.XLOOKUP([1]Transactions!C498,[1]Customers!$A$2:$A$201,[1]Customers!$G$2:$G$201)</f>
        <v>Maharashtra</v>
      </c>
      <c r="O498" t="str">
        <f>_xlfn.XLOOKUP(C498,[1]Customers!$A$2:$A$201,[1]Customers!$H$2:$H$201)</f>
        <v>West</v>
      </c>
      <c r="P498" t="str">
        <f>_xlfn.XLOOKUP(C498,[1]Customers!$A$2:$A$201,[1]Customers!$F$2:$F$201)</f>
        <v>Pune</v>
      </c>
      <c r="Q498">
        <f>_xlfn.XLOOKUP(C498,[1]Customers!$A$2:$A$201,[1]Customers!$D$2:$D$201)</f>
        <v>44</v>
      </c>
      <c r="R498" t="str">
        <f>_xlfn.XLOOKUP([1]Transactions!C498,[1]Customers!$A$2:$A$201,[1]Customers!$C$2:$C$201)</f>
        <v>Female</v>
      </c>
      <c r="S498" t="str">
        <f>_xlfn.XLOOKUP(C498,[1]Customers!$A$2:$A$201,[1]Customers!$B$2:$B$201)</f>
        <v>Customer_153</v>
      </c>
      <c r="T498" t="str">
        <f>_xlfn.XLOOKUP(D498,[1]Products!$A$2:$A$101,[1]Products!$C$2:$C$101)</f>
        <v>Grocery</v>
      </c>
      <c r="U498">
        <f>_xlfn.XLOOKUP(D498,[1]Products!$A$2:$A$101,[1]Products!$E$2:$E$101)</f>
        <v>370</v>
      </c>
      <c r="V498">
        <f>[1]Transactions!F498*[1]Transactions!U498</f>
        <v>1850</v>
      </c>
    </row>
    <row r="499" spans="1:22" x14ac:dyDescent="0.3">
      <c r="A499">
        <v>498</v>
      </c>
      <c r="B499">
        <v>129</v>
      </c>
      <c r="C499">
        <v>51</v>
      </c>
      <c r="D499">
        <v>9</v>
      </c>
      <c r="E499">
        <v>25</v>
      </c>
      <c r="F499">
        <v>3</v>
      </c>
      <c r="G499">
        <v>63</v>
      </c>
      <c r="H499">
        <v>189</v>
      </c>
      <c r="I499">
        <v>41</v>
      </c>
      <c r="J499">
        <f>[1]Transactions!F499*[1]Transactions!G499</f>
        <v>189</v>
      </c>
      <c r="K499">
        <f>_xlfn.XLOOKUP([1]Transactions!D499,[1]Inventory!$C$2:$C$501,[1]Inventory!$A$2:$A$501)</f>
        <v>185</v>
      </c>
      <c r="L499">
        <f>_xlfn.XLOOKUP(K499,[1]Inventory!$A$2:$A$501,[1]Inventory!$D$2:$D$501)</f>
        <v>464</v>
      </c>
      <c r="M499">
        <f>_xlfn.XLOOKUP(K499,[1]Inventory!$A$2:$A$501,[1]Inventory!$E$2:$E$501)</f>
        <v>34</v>
      </c>
      <c r="N499" t="str">
        <f>_xlfn.XLOOKUP([1]Transactions!C499,[1]Customers!$A$2:$A$201,[1]Customers!$G$2:$G$201)</f>
        <v>UP</v>
      </c>
      <c r="O499" t="str">
        <f>_xlfn.XLOOKUP(C499,[1]Customers!$A$2:$A$201,[1]Customers!$H$2:$H$201)</f>
        <v>North</v>
      </c>
      <c r="P499" t="str">
        <f>_xlfn.XLOOKUP(C499,[1]Customers!$A$2:$A$201,[1]Customers!$F$2:$F$201)</f>
        <v>Lucknow</v>
      </c>
      <c r="Q499">
        <f>_xlfn.XLOOKUP(C499,[1]Customers!$A$2:$A$201,[1]Customers!$D$2:$D$201)</f>
        <v>20</v>
      </c>
      <c r="R499" t="str">
        <f>_xlfn.XLOOKUP([1]Transactions!C499,[1]Customers!$A$2:$A$201,[1]Customers!$C$2:$C$201)</f>
        <v>Female</v>
      </c>
      <c r="S499" t="str">
        <f>_xlfn.XLOOKUP(C499,[1]Customers!$A$2:$A$201,[1]Customers!$B$2:$B$201)</f>
        <v>Customer_51</v>
      </c>
      <c r="T499" t="str">
        <f>_xlfn.XLOOKUP(D499,[1]Products!$A$2:$A$101,[1]Products!$C$2:$C$101)</f>
        <v>Personal Care</v>
      </c>
      <c r="U499">
        <f>_xlfn.XLOOKUP(D499,[1]Products!$A$2:$A$101,[1]Products!$E$2:$E$101)</f>
        <v>121</v>
      </c>
      <c r="V499">
        <f>[1]Transactions!F499*[1]Transactions!U499</f>
        <v>363</v>
      </c>
    </row>
    <row r="500" spans="1:22" x14ac:dyDescent="0.3">
      <c r="A500">
        <v>499</v>
      </c>
      <c r="B500">
        <v>91</v>
      </c>
      <c r="C500">
        <v>162</v>
      </c>
      <c r="D500">
        <v>26</v>
      </c>
      <c r="E500">
        <v>26</v>
      </c>
      <c r="F500">
        <v>3</v>
      </c>
      <c r="G500">
        <v>183</v>
      </c>
      <c r="H500">
        <v>549</v>
      </c>
      <c r="I500">
        <v>14</v>
      </c>
      <c r="J500">
        <f>[1]Transactions!F500*[1]Transactions!G500</f>
        <v>549</v>
      </c>
      <c r="K500">
        <f>_xlfn.XLOOKUP([1]Transactions!D500,[1]Inventory!$C$2:$C$501,[1]Inventory!$A$2:$A$501)</f>
        <v>11</v>
      </c>
      <c r="L500">
        <f>_xlfn.XLOOKUP(K500,[1]Inventory!$A$2:$A$501,[1]Inventory!$D$2:$D$501)</f>
        <v>235</v>
      </c>
      <c r="M500">
        <f>_xlfn.XLOOKUP(K500,[1]Inventory!$A$2:$A$501,[1]Inventory!$E$2:$E$501)</f>
        <v>78</v>
      </c>
      <c r="N500" t="str">
        <f>_xlfn.XLOOKUP([1]Transactions!C500,[1]Customers!$A$2:$A$201,[1]Customers!$G$2:$G$201)</f>
        <v>Telangana</v>
      </c>
      <c r="O500" t="str">
        <f>_xlfn.XLOOKUP(C500,[1]Customers!$A$2:$A$201,[1]Customers!$H$2:$H$201)</f>
        <v>South</v>
      </c>
      <c r="P500" t="str">
        <f>_xlfn.XLOOKUP(C500,[1]Customers!$A$2:$A$201,[1]Customers!$F$2:$F$201)</f>
        <v>Hyderabad</v>
      </c>
      <c r="Q500">
        <f>_xlfn.XLOOKUP(C500,[1]Customers!$A$2:$A$201,[1]Customers!$D$2:$D$201)</f>
        <v>54</v>
      </c>
      <c r="R500" t="str">
        <f>_xlfn.XLOOKUP([1]Transactions!C500,[1]Customers!$A$2:$A$201,[1]Customers!$C$2:$C$201)</f>
        <v>Male</v>
      </c>
      <c r="S500" t="str">
        <f>_xlfn.XLOOKUP(C500,[1]Customers!$A$2:$A$201,[1]Customers!$B$2:$B$201)</f>
        <v>Customer_162</v>
      </c>
      <c r="T500" t="str">
        <f>_xlfn.XLOOKUP(D500,[1]Products!$A$2:$A$101,[1]Products!$C$2:$C$101)</f>
        <v>Snacks</v>
      </c>
      <c r="U500">
        <f>_xlfn.XLOOKUP(D500,[1]Products!$A$2:$A$101,[1]Products!$E$2:$E$101)</f>
        <v>462</v>
      </c>
      <c r="V500">
        <f>[1]Transactions!F500*[1]Transactions!U500</f>
        <v>1386</v>
      </c>
    </row>
    <row r="501" spans="1:22" x14ac:dyDescent="0.3">
      <c r="A501">
        <v>500</v>
      </c>
      <c r="B501">
        <v>52</v>
      </c>
      <c r="C501">
        <v>17</v>
      </c>
      <c r="D501">
        <v>51</v>
      </c>
      <c r="E501">
        <v>38</v>
      </c>
      <c r="F501">
        <v>3</v>
      </c>
      <c r="G501">
        <v>445</v>
      </c>
      <c r="H501">
        <v>1335</v>
      </c>
      <c r="I501">
        <v>51</v>
      </c>
      <c r="J501">
        <f>[1]Transactions!F501*[1]Transactions!G501</f>
        <v>1335</v>
      </c>
      <c r="K501">
        <f>_xlfn.XLOOKUP([1]Transactions!D501,[1]Inventory!$C$2:$C$501,[1]Inventory!$A$2:$A$501)</f>
        <v>55</v>
      </c>
      <c r="L501">
        <f>_xlfn.XLOOKUP(K501,[1]Inventory!$A$2:$A$501,[1]Inventory!$D$2:$D$501)</f>
        <v>336</v>
      </c>
      <c r="M501">
        <f>_xlfn.XLOOKUP(K501,[1]Inventory!$A$2:$A$501,[1]Inventory!$E$2:$E$501)</f>
        <v>49</v>
      </c>
      <c r="N501" t="str">
        <f>_xlfn.XLOOKUP([1]Transactions!C501,[1]Customers!$A$2:$A$201,[1]Customers!$G$2:$G$201)</f>
        <v>Telangana</v>
      </c>
      <c r="O501" t="str">
        <f>_xlfn.XLOOKUP(C501,[1]Customers!$A$2:$A$201,[1]Customers!$H$2:$H$201)</f>
        <v>South</v>
      </c>
      <c r="P501" t="str">
        <f>_xlfn.XLOOKUP(C501,[1]Customers!$A$2:$A$201,[1]Customers!$F$2:$F$201)</f>
        <v>Hyderabad</v>
      </c>
      <c r="Q501">
        <f>_xlfn.XLOOKUP(C501,[1]Customers!$A$2:$A$201,[1]Customers!$D$2:$D$201)</f>
        <v>31</v>
      </c>
      <c r="R501" t="str">
        <f>_xlfn.XLOOKUP([1]Transactions!C501,[1]Customers!$A$2:$A$201,[1]Customers!$C$2:$C$201)</f>
        <v>Male</v>
      </c>
      <c r="S501" t="str">
        <f>_xlfn.XLOOKUP(C501,[1]Customers!$A$2:$A$201,[1]Customers!$B$2:$B$201)</f>
        <v>Customer_17</v>
      </c>
      <c r="T501" t="str">
        <f>_xlfn.XLOOKUP(D501,[1]Products!$A$2:$A$101,[1]Products!$C$2:$C$101)</f>
        <v>Beverages</v>
      </c>
      <c r="U501">
        <f>_xlfn.XLOOKUP(D501,[1]Products!$A$2:$A$101,[1]Products!$E$2:$E$101)</f>
        <v>27</v>
      </c>
      <c r="V501">
        <f>[1]Transactions!F501*[1]Transactions!U501</f>
        <v>81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45FD9-7E2F-4649-BC53-6DD5C95F0BD3}">
  <dimension ref="A1:E181"/>
  <sheetViews>
    <sheetView workbookViewId="0">
      <selection activeCell="I13" sqref="I13"/>
    </sheetView>
  </sheetViews>
  <sheetFormatPr defaultRowHeight="14.4" x14ac:dyDescent="0.3"/>
  <sheetData>
    <row r="1" spans="1:5" x14ac:dyDescent="0.3">
      <c r="A1" t="s">
        <v>8</v>
      </c>
      <c r="B1" t="s">
        <v>420</v>
      </c>
      <c r="C1" t="s">
        <v>10</v>
      </c>
      <c r="D1" t="s">
        <v>11</v>
      </c>
      <c r="E1" t="s">
        <v>12</v>
      </c>
    </row>
    <row r="2" spans="1:5" x14ac:dyDescent="0.3">
      <c r="A2">
        <v>1</v>
      </c>
      <c r="B2" t="s">
        <v>421</v>
      </c>
      <c r="C2">
        <v>2024</v>
      </c>
      <c r="D2">
        <v>1</v>
      </c>
      <c r="E2">
        <v>2</v>
      </c>
    </row>
    <row r="3" spans="1:5" x14ac:dyDescent="0.3">
      <c r="A3">
        <v>2</v>
      </c>
      <c r="B3" t="s">
        <v>422</v>
      </c>
      <c r="C3">
        <v>2024</v>
      </c>
      <c r="D3">
        <v>1</v>
      </c>
      <c r="E3">
        <v>3</v>
      </c>
    </row>
    <row r="4" spans="1:5" x14ac:dyDescent="0.3">
      <c r="A4">
        <v>3</v>
      </c>
      <c r="B4" t="s">
        <v>423</v>
      </c>
      <c r="C4">
        <v>2024</v>
      </c>
      <c r="D4">
        <v>1</v>
      </c>
      <c r="E4">
        <v>4</v>
      </c>
    </row>
    <row r="5" spans="1:5" x14ac:dyDescent="0.3">
      <c r="A5">
        <v>4</v>
      </c>
      <c r="B5" t="s">
        <v>424</v>
      </c>
      <c r="C5">
        <v>2024</v>
      </c>
      <c r="D5">
        <v>1</v>
      </c>
      <c r="E5">
        <v>5</v>
      </c>
    </row>
    <row r="6" spans="1:5" x14ac:dyDescent="0.3">
      <c r="A6">
        <v>5</v>
      </c>
      <c r="B6" t="s">
        <v>425</v>
      </c>
      <c r="C6">
        <v>2024</v>
      </c>
      <c r="D6">
        <v>1</v>
      </c>
      <c r="E6">
        <v>6</v>
      </c>
    </row>
    <row r="7" spans="1:5" x14ac:dyDescent="0.3">
      <c r="A7">
        <v>6</v>
      </c>
      <c r="B7" t="s">
        <v>426</v>
      </c>
      <c r="C7">
        <v>2024</v>
      </c>
      <c r="D7">
        <v>1</v>
      </c>
      <c r="E7">
        <v>7</v>
      </c>
    </row>
    <row r="8" spans="1:5" x14ac:dyDescent="0.3">
      <c r="A8">
        <v>7</v>
      </c>
      <c r="B8" t="s">
        <v>427</v>
      </c>
      <c r="C8">
        <v>2024</v>
      </c>
      <c r="D8">
        <v>1</v>
      </c>
      <c r="E8">
        <v>8</v>
      </c>
    </row>
    <row r="9" spans="1:5" x14ac:dyDescent="0.3">
      <c r="A9">
        <v>8</v>
      </c>
      <c r="B9" t="s">
        <v>428</v>
      </c>
      <c r="C9">
        <v>2024</v>
      </c>
      <c r="D9">
        <v>1</v>
      </c>
      <c r="E9">
        <v>9</v>
      </c>
    </row>
    <row r="10" spans="1:5" x14ac:dyDescent="0.3">
      <c r="A10">
        <v>9</v>
      </c>
      <c r="B10" t="s">
        <v>429</v>
      </c>
      <c r="C10">
        <v>2024</v>
      </c>
      <c r="D10">
        <v>1</v>
      </c>
      <c r="E10">
        <v>10</v>
      </c>
    </row>
    <row r="11" spans="1:5" x14ac:dyDescent="0.3">
      <c r="A11">
        <v>10</v>
      </c>
      <c r="B11" t="s">
        <v>430</v>
      </c>
      <c r="C11">
        <v>2024</v>
      </c>
      <c r="D11">
        <v>1</v>
      </c>
      <c r="E11">
        <v>11</v>
      </c>
    </row>
    <row r="12" spans="1:5" x14ac:dyDescent="0.3">
      <c r="A12">
        <v>11</v>
      </c>
      <c r="B12" t="s">
        <v>431</v>
      </c>
      <c r="C12">
        <v>2024</v>
      </c>
      <c r="D12">
        <v>1</v>
      </c>
      <c r="E12">
        <v>12</v>
      </c>
    </row>
    <row r="13" spans="1:5" x14ac:dyDescent="0.3">
      <c r="A13">
        <v>12</v>
      </c>
      <c r="B13" t="s">
        <v>432</v>
      </c>
      <c r="C13">
        <v>2024</v>
      </c>
      <c r="D13">
        <v>1</v>
      </c>
      <c r="E13">
        <v>13</v>
      </c>
    </row>
    <row r="14" spans="1:5" x14ac:dyDescent="0.3">
      <c r="A14">
        <v>13</v>
      </c>
      <c r="B14" t="s">
        <v>433</v>
      </c>
      <c r="C14">
        <v>2024</v>
      </c>
      <c r="D14">
        <v>1</v>
      </c>
      <c r="E14">
        <v>14</v>
      </c>
    </row>
    <row r="15" spans="1:5" x14ac:dyDescent="0.3">
      <c r="A15">
        <v>14</v>
      </c>
      <c r="B15" t="s">
        <v>434</v>
      </c>
      <c r="C15">
        <v>2024</v>
      </c>
      <c r="D15">
        <v>1</v>
      </c>
      <c r="E15">
        <v>15</v>
      </c>
    </row>
    <row r="16" spans="1:5" x14ac:dyDescent="0.3">
      <c r="A16">
        <v>15</v>
      </c>
      <c r="B16" t="s">
        <v>435</v>
      </c>
      <c r="C16">
        <v>2024</v>
      </c>
      <c r="D16">
        <v>1</v>
      </c>
      <c r="E16">
        <v>16</v>
      </c>
    </row>
    <row r="17" spans="1:5" x14ac:dyDescent="0.3">
      <c r="A17">
        <v>16</v>
      </c>
      <c r="B17" t="s">
        <v>436</v>
      </c>
      <c r="C17">
        <v>2024</v>
      </c>
      <c r="D17">
        <v>1</v>
      </c>
      <c r="E17">
        <v>17</v>
      </c>
    </row>
    <row r="18" spans="1:5" x14ac:dyDescent="0.3">
      <c r="A18">
        <v>17</v>
      </c>
      <c r="B18" t="s">
        <v>437</v>
      </c>
      <c r="C18">
        <v>2024</v>
      </c>
      <c r="D18">
        <v>1</v>
      </c>
      <c r="E18">
        <v>18</v>
      </c>
    </row>
    <row r="19" spans="1:5" x14ac:dyDescent="0.3">
      <c r="A19">
        <v>18</v>
      </c>
      <c r="B19" t="s">
        <v>438</v>
      </c>
      <c r="C19">
        <v>2024</v>
      </c>
      <c r="D19">
        <v>1</v>
      </c>
      <c r="E19">
        <v>19</v>
      </c>
    </row>
    <row r="20" spans="1:5" x14ac:dyDescent="0.3">
      <c r="A20">
        <v>19</v>
      </c>
      <c r="B20" t="s">
        <v>439</v>
      </c>
      <c r="C20">
        <v>2024</v>
      </c>
      <c r="D20">
        <v>1</v>
      </c>
      <c r="E20">
        <v>20</v>
      </c>
    </row>
    <row r="21" spans="1:5" x14ac:dyDescent="0.3">
      <c r="A21">
        <v>20</v>
      </c>
      <c r="B21" t="s">
        <v>440</v>
      </c>
      <c r="C21">
        <v>2024</v>
      </c>
      <c r="D21">
        <v>1</v>
      </c>
      <c r="E21">
        <v>21</v>
      </c>
    </row>
    <row r="22" spans="1:5" x14ac:dyDescent="0.3">
      <c r="A22">
        <v>21</v>
      </c>
      <c r="B22" t="s">
        <v>441</v>
      </c>
      <c r="C22">
        <v>2024</v>
      </c>
      <c r="D22">
        <v>1</v>
      </c>
      <c r="E22">
        <v>22</v>
      </c>
    </row>
    <row r="23" spans="1:5" x14ac:dyDescent="0.3">
      <c r="A23">
        <v>22</v>
      </c>
      <c r="B23" t="s">
        <v>442</v>
      </c>
      <c r="C23">
        <v>2024</v>
      </c>
      <c r="D23">
        <v>1</v>
      </c>
      <c r="E23">
        <v>23</v>
      </c>
    </row>
    <row r="24" spans="1:5" x14ac:dyDescent="0.3">
      <c r="A24">
        <v>23</v>
      </c>
      <c r="B24" t="s">
        <v>443</v>
      </c>
      <c r="C24">
        <v>2024</v>
      </c>
      <c r="D24">
        <v>1</v>
      </c>
      <c r="E24">
        <v>24</v>
      </c>
    </row>
    <row r="25" spans="1:5" x14ac:dyDescent="0.3">
      <c r="A25">
        <v>24</v>
      </c>
      <c r="B25" t="s">
        <v>444</v>
      </c>
      <c r="C25">
        <v>2024</v>
      </c>
      <c r="D25">
        <v>1</v>
      </c>
      <c r="E25">
        <v>25</v>
      </c>
    </row>
    <row r="26" spans="1:5" x14ac:dyDescent="0.3">
      <c r="A26">
        <v>25</v>
      </c>
      <c r="B26" t="s">
        <v>445</v>
      </c>
      <c r="C26">
        <v>2024</v>
      </c>
      <c r="D26">
        <v>1</v>
      </c>
      <c r="E26">
        <v>26</v>
      </c>
    </row>
    <row r="27" spans="1:5" x14ac:dyDescent="0.3">
      <c r="A27">
        <v>26</v>
      </c>
      <c r="B27" t="s">
        <v>446</v>
      </c>
      <c r="C27">
        <v>2024</v>
      </c>
      <c r="D27">
        <v>1</v>
      </c>
      <c r="E27">
        <v>27</v>
      </c>
    </row>
    <row r="28" spans="1:5" x14ac:dyDescent="0.3">
      <c r="A28">
        <v>27</v>
      </c>
      <c r="B28" t="s">
        <v>447</v>
      </c>
      <c r="C28">
        <v>2024</v>
      </c>
      <c r="D28">
        <v>1</v>
      </c>
      <c r="E28">
        <v>28</v>
      </c>
    </row>
    <row r="29" spans="1:5" x14ac:dyDescent="0.3">
      <c r="A29">
        <v>28</v>
      </c>
      <c r="B29" t="s">
        <v>448</v>
      </c>
      <c r="C29">
        <v>2024</v>
      </c>
      <c r="D29">
        <v>1</v>
      </c>
      <c r="E29">
        <v>29</v>
      </c>
    </row>
    <row r="30" spans="1:5" x14ac:dyDescent="0.3">
      <c r="A30">
        <v>29</v>
      </c>
      <c r="B30" t="s">
        <v>449</v>
      </c>
      <c r="C30">
        <v>2024</v>
      </c>
      <c r="D30">
        <v>1</v>
      </c>
      <c r="E30">
        <v>30</v>
      </c>
    </row>
    <row r="31" spans="1:5" x14ac:dyDescent="0.3">
      <c r="A31">
        <v>30</v>
      </c>
      <c r="B31" t="s">
        <v>450</v>
      </c>
      <c r="C31">
        <v>2024</v>
      </c>
      <c r="D31">
        <v>1</v>
      </c>
      <c r="E31">
        <v>31</v>
      </c>
    </row>
    <row r="32" spans="1:5" x14ac:dyDescent="0.3">
      <c r="A32">
        <v>31</v>
      </c>
      <c r="B32" t="s">
        <v>451</v>
      </c>
      <c r="C32">
        <v>2024</v>
      </c>
      <c r="D32">
        <v>2</v>
      </c>
      <c r="E32">
        <v>1</v>
      </c>
    </row>
    <row r="33" spans="1:5" x14ac:dyDescent="0.3">
      <c r="A33">
        <v>32</v>
      </c>
      <c r="B33" t="s">
        <v>452</v>
      </c>
      <c r="C33">
        <v>2024</v>
      </c>
      <c r="D33">
        <v>2</v>
      </c>
      <c r="E33">
        <v>2</v>
      </c>
    </row>
    <row r="34" spans="1:5" x14ac:dyDescent="0.3">
      <c r="A34">
        <v>33</v>
      </c>
      <c r="B34" t="s">
        <v>453</v>
      </c>
      <c r="C34">
        <v>2024</v>
      </c>
      <c r="D34">
        <v>2</v>
      </c>
      <c r="E34">
        <v>3</v>
      </c>
    </row>
    <row r="35" spans="1:5" x14ac:dyDescent="0.3">
      <c r="A35">
        <v>34</v>
      </c>
      <c r="B35" t="s">
        <v>454</v>
      </c>
      <c r="C35">
        <v>2024</v>
      </c>
      <c r="D35">
        <v>2</v>
      </c>
      <c r="E35">
        <v>4</v>
      </c>
    </row>
    <row r="36" spans="1:5" x14ac:dyDescent="0.3">
      <c r="A36">
        <v>35</v>
      </c>
      <c r="B36" t="s">
        <v>455</v>
      </c>
      <c r="C36">
        <v>2024</v>
      </c>
      <c r="D36">
        <v>2</v>
      </c>
      <c r="E36">
        <v>5</v>
      </c>
    </row>
    <row r="37" spans="1:5" x14ac:dyDescent="0.3">
      <c r="A37">
        <v>36</v>
      </c>
      <c r="B37" t="s">
        <v>456</v>
      </c>
      <c r="C37">
        <v>2024</v>
      </c>
      <c r="D37">
        <v>2</v>
      </c>
      <c r="E37">
        <v>6</v>
      </c>
    </row>
    <row r="38" spans="1:5" x14ac:dyDescent="0.3">
      <c r="A38">
        <v>37</v>
      </c>
      <c r="B38" t="s">
        <v>457</v>
      </c>
      <c r="C38">
        <v>2024</v>
      </c>
      <c r="D38">
        <v>2</v>
      </c>
      <c r="E38">
        <v>7</v>
      </c>
    </row>
    <row r="39" spans="1:5" x14ac:dyDescent="0.3">
      <c r="A39">
        <v>38</v>
      </c>
      <c r="B39" t="s">
        <v>458</v>
      </c>
      <c r="C39">
        <v>2024</v>
      </c>
      <c r="D39">
        <v>2</v>
      </c>
      <c r="E39">
        <v>8</v>
      </c>
    </row>
    <row r="40" spans="1:5" x14ac:dyDescent="0.3">
      <c r="A40">
        <v>39</v>
      </c>
      <c r="B40" t="s">
        <v>459</v>
      </c>
      <c r="C40">
        <v>2024</v>
      </c>
      <c r="D40">
        <v>2</v>
      </c>
      <c r="E40">
        <v>9</v>
      </c>
    </row>
    <row r="41" spans="1:5" x14ac:dyDescent="0.3">
      <c r="A41">
        <v>40</v>
      </c>
      <c r="B41" t="s">
        <v>460</v>
      </c>
      <c r="C41">
        <v>2024</v>
      </c>
      <c r="D41">
        <v>2</v>
      </c>
      <c r="E41">
        <v>10</v>
      </c>
    </row>
    <row r="42" spans="1:5" x14ac:dyDescent="0.3">
      <c r="A42">
        <v>41</v>
      </c>
      <c r="B42" t="s">
        <v>461</v>
      </c>
      <c r="C42">
        <v>2024</v>
      </c>
      <c r="D42">
        <v>2</v>
      </c>
      <c r="E42">
        <v>11</v>
      </c>
    </row>
    <row r="43" spans="1:5" x14ac:dyDescent="0.3">
      <c r="A43">
        <v>42</v>
      </c>
      <c r="B43" t="s">
        <v>462</v>
      </c>
      <c r="C43">
        <v>2024</v>
      </c>
      <c r="D43">
        <v>2</v>
      </c>
      <c r="E43">
        <v>12</v>
      </c>
    </row>
    <row r="44" spans="1:5" x14ac:dyDescent="0.3">
      <c r="A44">
        <v>43</v>
      </c>
      <c r="B44" t="s">
        <v>463</v>
      </c>
      <c r="C44">
        <v>2024</v>
      </c>
      <c r="D44">
        <v>2</v>
      </c>
      <c r="E44">
        <v>13</v>
      </c>
    </row>
    <row r="45" spans="1:5" x14ac:dyDescent="0.3">
      <c r="A45">
        <v>44</v>
      </c>
      <c r="B45" t="s">
        <v>464</v>
      </c>
      <c r="C45">
        <v>2024</v>
      </c>
      <c r="D45">
        <v>2</v>
      </c>
      <c r="E45">
        <v>14</v>
      </c>
    </row>
    <row r="46" spans="1:5" x14ac:dyDescent="0.3">
      <c r="A46">
        <v>45</v>
      </c>
      <c r="B46" t="s">
        <v>465</v>
      </c>
      <c r="C46">
        <v>2024</v>
      </c>
      <c r="D46">
        <v>2</v>
      </c>
      <c r="E46">
        <v>15</v>
      </c>
    </row>
    <row r="47" spans="1:5" x14ac:dyDescent="0.3">
      <c r="A47">
        <v>46</v>
      </c>
      <c r="B47" t="s">
        <v>466</v>
      </c>
      <c r="C47">
        <v>2024</v>
      </c>
      <c r="D47">
        <v>2</v>
      </c>
      <c r="E47">
        <v>16</v>
      </c>
    </row>
    <row r="48" spans="1:5" x14ac:dyDescent="0.3">
      <c r="A48">
        <v>47</v>
      </c>
      <c r="B48" t="s">
        <v>467</v>
      </c>
      <c r="C48">
        <v>2024</v>
      </c>
      <c r="D48">
        <v>2</v>
      </c>
      <c r="E48">
        <v>17</v>
      </c>
    </row>
    <row r="49" spans="1:5" x14ac:dyDescent="0.3">
      <c r="A49">
        <v>48</v>
      </c>
      <c r="B49" t="s">
        <v>468</v>
      </c>
      <c r="C49">
        <v>2024</v>
      </c>
      <c r="D49">
        <v>2</v>
      </c>
      <c r="E49">
        <v>18</v>
      </c>
    </row>
    <row r="50" spans="1:5" x14ac:dyDescent="0.3">
      <c r="A50">
        <v>49</v>
      </c>
      <c r="B50" t="s">
        <v>469</v>
      </c>
      <c r="C50">
        <v>2024</v>
      </c>
      <c r="D50">
        <v>2</v>
      </c>
      <c r="E50">
        <v>19</v>
      </c>
    </row>
    <row r="51" spans="1:5" x14ac:dyDescent="0.3">
      <c r="A51">
        <v>50</v>
      </c>
      <c r="B51" t="s">
        <v>470</v>
      </c>
      <c r="C51">
        <v>2024</v>
      </c>
      <c r="D51">
        <v>2</v>
      </c>
      <c r="E51">
        <v>20</v>
      </c>
    </row>
    <row r="52" spans="1:5" x14ac:dyDescent="0.3">
      <c r="A52">
        <v>51</v>
      </c>
      <c r="B52" t="s">
        <v>471</v>
      </c>
      <c r="C52">
        <v>2024</v>
      </c>
      <c r="D52">
        <v>2</v>
      </c>
      <c r="E52">
        <v>21</v>
      </c>
    </row>
    <row r="53" spans="1:5" x14ac:dyDescent="0.3">
      <c r="A53">
        <v>52</v>
      </c>
      <c r="B53" t="s">
        <v>472</v>
      </c>
      <c r="C53">
        <v>2024</v>
      </c>
      <c r="D53">
        <v>2</v>
      </c>
      <c r="E53">
        <v>22</v>
      </c>
    </row>
    <row r="54" spans="1:5" x14ac:dyDescent="0.3">
      <c r="A54">
        <v>53</v>
      </c>
      <c r="B54" t="s">
        <v>473</v>
      </c>
      <c r="C54">
        <v>2024</v>
      </c>
      <c r="D54">
        <v>2</v>
      </c>
      <c r="E54">
        <v>23</v>
      </c>
    </row>
    <row r="55" spans="1:5" x14ac:dyDescent="0.3">
      <c r="A55">
        <v>54</v>
      </c>
      <c r="B55" t="s">
        <v>474</v>
      </c>
      <c r="C55">
        <v>2024</v>
      </c>
      <c r="D55">
        <v>2</v>
      </c>
      <c r="E55">
        <v>24</v>
      </c>
    </row>
    <row r="56" spans="1:5" x14ac:dyDescent="0.3">
      <c r="A56">
        <v>55</v>
      </c>
      <c r="B56" t="s">
        <v>475</v>
      </c>
      <c r="C56">
        <v>2024</v>
      </c>
      <c r="D56">
        <v>2</v>
      </c>
      <c r="E56">
        <v>25</v>
      </c>
    </row>
    <row r="57" spans="1:5" x14ac:dyDescent="0.3">
      <c r="A57">
        <v>56</v>
      </c>
      <c r="B57" t="s">
        <v>476</v>
      </c>
      <c r="C57">
        <v>2024</v>
      </c>
      <c r="D57">
        <v>2</v>
      </c>
      <c r="E57">
        <v>26</v>
      </c>
    </row>
    <row r="58" spans="1:5" x14ac:dyDescent="0.3">
      <c r="A58">
        <v>57</v>
      </c>
      <c r="B58" t="s">
        <v>477</v>
      </c>
      <c r="C58">
        <v>2024</v>
      </c>
      <c r="D58">
        <v>2</v>
      </c>
      <c r="E58">
        <v>27</v>
      </c>
    </row>
    <row r="59" spans="1:5" x14ac:dyDescent="0.3">
      <c r="A59">
        <v>58</v>
      </c>
      <c r="B59" t="s">
        <v>478</v>
      </c>
      <c r="C59">
        <v>2024</v>
      </c>
      <c r="D59">
        <v>2</v>
      </c>
      <c r="E59">
        <v>28</v>
      </c>
    </row>
    <row r="60" spans="1:5" x14ac:dyDescent="0.3">
      <c r="A60">
        <v>59</v>
      </c>
      <c r="B60" t="s">
        <v>479</v>
      </c>
      <c r="C60">
        <v>2024</v>
      </c>
      <c r="D60">
        <v>2</v>
      </c>
      <c r="E60">
        <v>29</v>
      </c>
    </row>
    <row r="61" spans="1:5" x14ac:dyDescent="0.3">
      <c r="A61">
        <v>60</v>
      </c>
      <c r="B61" t="s">
        <v>480</v>
      </c>
      <c r="C61">
        <v>2024</v>
      </c>
      <c r="D61">
        <v>3</v>
      </c>
      <c r="E61">
        <v>1</v>
      </c>
    </row>
    <row r="62" spans="1:5" x14ac:dyDescent="0.3">
      <c r="A62">
        <v>61</v>
      </c>
      <c r="B62" t="s">
        <v>481</v>
      </c>
      <c r="C62">
        <v>2024</v>
      </c>
      <c r="D62">
        <v>3</v>
      </c>
      <c r="E62">
        <v>2</v>
      </c>
    </row>
    <row r="63" spans="1:5" x14ac:dyDescent="0.3">
      <c r="A63">
        <v>62</v>
      </c>
      <c r="B63" t="s">
        <v>482</v>
      </c>
      <c r="C63">
        <v>2024</v>
      </c>
      <c r="D63">
        <v>3</v>
      </c>
      <c r="E63">
        <v>3</v>
      </c>
    </row>
    <row r="64" spans="1:5" x14ac:dyDescent="0.3">
      <c r="A64">
        <v>63</v>
      </c>
      <c r="B64" t="s">
        <v>483</v>
      </c>
      <c r="C64">
        <v>2024</v>
      </c>
      <c r="D64">
        <v>3</v>
      </c>
      <c r="E64">
        <v>4</v>
      </c>
    </row>
    <row r="65" spans="1:5" x14ac:dyDescent="0.3">
      <c r="A65">
        <v>64</v>
      </c>
      <c r="B65" t="s">
        <v>484</v>
      </c>
      <c r="C65">
        <v>2024</v>
      </c>
      <c r="D65">
        <v>3</v>
      </c>
      <c r="E65">
        <v>5</v>
      </c>
    </row>
    <row r="66" spans="1:5" x14ac:dyDescent="0.3">
      <c r="A66">
        <v>65</v>
      </c>
      <c r="B66" t="s">
        <v>485</v>
      </c>
      <c r="C66">
        <v>2024</v>
      </c>
      <c r="D66">
        <v>3</v>
      </c>
      <c r="E66">
        <v>6</v>
      </c>
    </row>
    <row r="67" spans="1:5" x14ac:dyDescent="0.3">
      <c r="A67">
        <v>66</v>
      </c>
      <c r="B67" t="s">
        <v>486</v>
      </c>
      <c r="C67">
        <v>2024</v>
      </c>
      <c r="D67">
        <v>3</v>
      </c>
      <c r="E67">
        <v>7</v>
      </c>
    </row>
    <row r="68" spans="1:5" x14ac:dyDescent="0.3">
      <c r="A68">
        <v>67</v>
      </c>
      <c r="B68" t="s">
        <v>487</v>
      </c>
      <c r="C68">
        <v>2024</v>
      </c>
      <c r="D68">
        <v>3</v>
      </c>
      <c r="E68">
        <v>8</v>
      </c>
    </row>
    <row r="69" spans="1:5" x14ac:dyDescent="0.3">
      <c r="A69">
        <v>68</v>
      </c>
      <c r="B69" t="s">
        <v>488</v>
      </c>
      <c r="C69">
        <v>2024</v>
      </c>
      <c r="D69">
        <v>3</v>
      </c>
      <c r="E69">
        <v>9</v>
      </c>
    </row>
    <row r="70" spans="1:5" x14ac:dyDescent="0.3">
      <c r="A70">
        <v>69</v>
      </c>
      <c r="B70" t="s">
        <v>489</v>
      </c>
      <c r="C70">
        <v>2024</v>
      </c>
      <c r="D70">
        <v>3</v>
      </c>
      <c r="E70">
        <v>10</v>
      </c>
    </row>
    <row r="71" spans="1:5" x14ac:dyDescent="0.3">
      <c r="A71">
        <v>70</v>
      </c>
      <c r="B71" t="s">
        <v>490</v>
      </c>
      <c r="C71">
        <v>2024</v>
      </c>
      <c r="D71">
        <v>3</v>
      </c>
      <c r="E71">
        <v>11</v>
      </c>
    </row>
    <row r="72" spans="1:5" x14ac:dyDescent="0.3">
      <c r="A72">
        <v>71</v>
      </c>
      <c r="B72" t="s">
        <v>491</v>
      </c>
      <c r="C72">
        <v>2024</v>
      </c>
      <c r="D72">
        <v>3</v>
      </c>
      <c r="E72">
        <v>12</v>
      </c>
    </row>
    <row r="73" spans="1:5" x14ac:dyDescent="0.3">
      <c r="A73">
        <v>72</v>
      </c>
      <c r="B73" t="s">
        <v>492</v>
      </c>
      <c r="C73">
        <v>2024</v>
      </c>
      <c r="D73">
        <v>3</v>
      </c>
      <c r="E73">
        <v>13</v>
      </c>
    </row>
    <row r="74" spans="1:5" x14ac:dyDescent="0.3">
      <c r="A74">
        <v>73</v>
      </c>
      <c r="B74" t="s">
        <v>493</v>
      </c>
      <c r="C74">
        <v>2024</v>
      </c>
      <c r="D74">
        <v>3</v>
      </c>
      <c r="E74">
        <v>14</v>
      </c>
    </row>
    <row r="75" spans="1:5" x14ac:dyDescent="0.3">
      <c r="A75">
        <v>74</v>
      </c>
      <c r="B75" t="s">
        <v>494</v>
      </c>
      <c r="C75">
        <v>2024</v>
      </c>
      <c r="D75">
        <v>3</v>
      </c>
      <c r="E75">
        <v>15</v>
      </c>
    </row>
    <row r="76" spans="1:5" x14ac:dyDescent="0.3">
      <c r="A76">
        <v>75</v>
      </c>
      <c r="B76" t="s">
        <v>495</v>
      </c>
      <c r="C76">
        <v>2024</v>
      </c>
      <c r="D76">
        <v>3</v>
      </c>
      <c r="E76">
        <v>16</v>
      </c>
    </row>
    <row r="77" spans="1:5" x14ac:dyDescent="0.3">
      <c r="A77">
        <v>76</v>
      </c>
      <c r="B77" t="s">
        <v>496</v>
      </c>
      <c r="C77">
        <v>2024</v>
      </c>
      <c r="D77">
        <v>3</v>
      </c>
      <c r="E77">
        <v>17</v>
      </c>
    </row>
    <row r="78" spans="1:5" x14ac:dyDescent="0.3">
      <c r="A78">
        <v>77</v>
      </c>
      <c r="B78" t="s">
        <v>497</v>
      </c>
      <c r="C78">
        <v>2024</v>
      </c>
      <c r="D78">
        <v>3</v>
      </c>
      <c r="E78">
        <v>18</v>
      </c>
    </row>
    <row r="79" spans="1:5" x14ac:dyDescent="0.3">
      <c r="A79">
        <v>78</v>
      </c>
      <c r="B79" t="s">
        <v>498</v>
      </c>
      <c r="C79">
        <v>2024</v>
      </c>
      <c r="D79">
        <v>3</v>
      </c>
      <c r="E79">
        <v>19</v>
      </c>
    </row>
    <row r="80" spans="1:5" x14ac:dyDescent="0.3">
      <c r="A80">
        <v>79</v>
      </c>
      <c r="B80" t="s">
        <v>499</v>
      </c>
      <c r="C80">
        <v>2024</v>
      </c>
      <c r="D80">
        <v>3</v>
      </c>
      <c r="E80">
        <v>20</v>
      </c>
    </row>
    <row r="81" spans="1:5" x14ac:dyDescent="0.3">
      <c r="A81">
        <v>80</v>
      </c>
      <c r="B81" t="s">
        <v>500</v>
      </c>
      <c r="C81">
        <v>2024</v>
      </c>
      <c r="D81">
        <v>3</v>
      </c>
      <c r="E81">
        <v>21</v>
      </c>
    </row>
    <row r="82" spans="1:5" x14ac:dyDescent="0.3">
      <c r="A82">
        <v>81</v>
      </c>
      <c r="B82" t="s">
        <v>501</v>
      </c>
      <c r="C82">
        <v>2024</v>
      </c>
      <c r="D82">
        <v>3</v>
      </c>
      <c r="E82">
        <v>22</v>
      </c>
    </row>
    <row r="83" spans="1:5" x14ac:dyDescent="0.3">
      <c r="A83">
        <v>82</v>
      </c>
      <c r="B83" t="s">
        <v>502</v>
      </c>
      <c r="C83">
        <v>2024</v>
      </c>
      <c r="D83">
        <v>3</v>
      </c>
      <c r="E83">
        <v>23</v>
      </c>
    </row>
    <row r="84" spans="1:5" x14ac:dyDescent="0.3">
      <c r="A84">
        <v>83</v>
      </c>
      <c r="B84" t="s">
        <v>503</v>
      </c>
      <c r="C84">
        <v>2024</v>
      </c>
      <c r="D84">
        <v>3</v>
      </c>
      <c r="E84">
        <v>24</v>
      </c>
    </row>
    <row r="85" spans="1:5" x14ac:dyDescent="0.3">
      <c r="A85">
        <v>84</v>
      </c>
      <c r="B85" t="s">
        <v>504</v>
      </c>
      <c r="C85">
        <v>2024</v>
      </c>
      <c r="D85">
        <v>3</v>
      </c>
      <c r="E85">
        <v>25</v>
      </c>
    </row>
    <row r="86" spans="1:5" x14ac:dyDescent="0.3">
      <c r="A86">
        <v>85</v>
      </c>
      <c r="B86" t="s">
        <v>505</v>
      </c>
      <c r="C86">
        <v>2024</v>
      </c>
      <c r="D86">
        <v>3</v>
      </c>
      <c r="E86">
        <v>26</v>
      </c>
    </row>
    <row r="87" spans="1:5" x14ac:dyDescent="0.3">
      <c r="A87">
        <v>86</v>
      </c>
      <c r="B87" t="s">
        <v>506</v>
      </c>
      <c r="C87">
        <v>2024</v>
      </c>
      <c r="D87">
        <v>3</v>
      </c>
      <c r="E87">
        <v>27</v>
      </c>
    </row>
    <row r="88" spans="1:5" x14ac:dyDescent="0.3">
      <c r="A88">
        <v>87</v>
      </c>
      <c r="B88" t="s">
        <v>507</v>
      </c>
      <c r="C88">
        <v>2024</v>
      </c>
      <c r="D88">
        <v>3</v>
      </c>
      <c r="E88">
        <v>28</v>
      </c>
    </row>
    <row r="89" spans="1:5" x14ac:dyDescent="0.3">
      <c r="A89">
        <v>88</v>
      </c>
      <c r="B89" t="s">
        <v>508</v>
      </c>
      <c r="C89">
        <v>2024</v>
      </c>
      <c r="D89">
        <v>3</v>
      </c>
      <c r="E89">
        <v>29</v>
      </c>
    </row>
    <row r="90" spans="1:5" x14ac:dyDescent="0.3">
      <c r="A90">
        <v>89</v>
      </c>
      <c r="B90" t="s">
        <v>509</v>
      </c>
      <c r="C90">
        <v>2024</v>
      </c>
      <c r="D90">
        <v>3</v>
      </c>
      <c r="E90">
        <v>30</v>
      </c>
    </row>
    <row r="91" spans="1:5" x14ac:dyDescent="0.3">
      <c r="A91">
        <v>90</v>
      </c>
      <c r="B91" t="s">
        <v>510</v>
      </c>
      <c r="C91">
        <v>2024</v>
      </c>
      <c r="D91">
        <v>3</v>
      </c>
      <c r="E91">
        <v>31</v>
      </c>
    </row>
    <row r="92" spans="1:5" x14ac:dyDescent="0.3">
      <c r="A92">
        <v>91</v>
      </c>
      <c r="B92" t="s">
        <v>511</v>
      </c>
      <c r="C92">
        <v>2024</v>
      </c>
      <c r="D92">
        <v>4</v>
      </c>
      <c r="E92">
        <v>1</v>
      </c>
    </row>
    <row r="93" spans="1:5" x14ac:dyDescent="0.3">
      <c r="A93">
        <v>92</v>
      </c>
      <c r="B93" t="s">
        <v>512</v>
      </c>
      <c r="C93">
        <v>2024</v>
      </c>
      <c r="D93">
        <v>4</v>
      </c>
      <c r="E93">
        <v>2</v>
      </c>
    </row>
    <row r="94" spans="1:5" x14ac:dyDescent="0.3">
      <c r="A94">
        <v>93</v>
      </c>
      <c r="B94" t="s">
        <v>513</v>
      </c>
      <c r="C94">
        <v>2024</v>
      </c>
      <c r="D94">
        <v>4</v>
      </c>
      <c r="E94">
        <v>3</v>
      </c>
    </row>
    <row r="95" spans="1:5" x14ac:dyDescent="0.3">
      <c r="A95">
        <v>94</v>
      </c>
      <c r="B95" t="s">
        <v>514</v>
      </c>
      <c r="C95">
        <v>2024</v>
      </c>
      <c r="D95">
        <v>4</v>
      </c>
      <c r="E95">
        <v>4</v>
      </c>
    </row>
    <row r="96" spans="1:5" x14ac:dyDescent="0.3">
      <c r="A96">
        <v>95</v>
      </c>
      <c r="B96" t="s">
        <v>515</v>
      </c>
      <c r="C96">
        <v>2024</v>
      </c>
      <c r="D96">
        <v>4</v>
      </c>
      <c r="E96">
        <v>5</v>
      </c>
    </row>
    <row r="97" spans="1:5" x14ac:dyDescent="0.3">
      <c r="A97">
        <v>96</v>
      </c>
      <c r="B97" t="s">
        <v>516</v>
      </c>
      <c r="C97">
        <v>2024</v>
      </c>
      <c r="D97">
        <v>4</v>
      </c>
      <c r="E97">
        <v>6</v>
      </c>
    </row>
    <row r="98" spans="1:5" x14ac:dyDescent="0.3">
      <c r="A98">
        <v>97</v>
      </c>
      <c r="B98" t="s">
        <v>517</v>
      </c>
      <c r="C98">
        <v>2024</v>
      </c>
      <c r="D98">
        <v>4</v>
      </c>
      <c r="E98">
        <v>7</v>
      </c>
    </row>
    <row r="99" spans="1:5" x14ac:dyDescent="0.3">
      <c r="A99">
        <v>98</v>
      </c>
      <c r="B99" t="s">
        <v>518</v>
      </c>
      <c r="C99">
        <v>2024</v>
      </c>
      <c r="D99">
        <v>4</v>
      </c>
      <c r="E99">
        <v>8</v>
      </c>
    </row>
    <row r="100" spans="1:5" x14ac:dyDescent="0.3">
      <c r="A100">
        <v>99</v>
      </c>
      <c r="B100" t="s">
        <v>519</v>
      </c>
      <c r="C100">
        <v>2024</v>
      </c>
      <c r="D100">
        <v>4</v>
      </c>
      <c r="E100">
        <v>9</v>
      </c>
    </row>
    <row r="101" spans="1:5" x14ac:dyDescent="0.3">
      <c r="A101">
        <v>100</v>
      </c>
      <c r="B101" t="s">
        <v>520</v>
      </c>
      <c r="C101">
        <v>2024</v>
      </c>
      <c r="D101">
        <v>4</v>
      </c>
      <c r="E101">
        <v>10</v>
      </c>
    </row>
    <row r="102" spans="1:5" x14ac:dyDescent="0.3">
      <c r="A102">
        <v>101</v>
      </c>
      <c r="B102" t="s">
        <v>521</v>
      </c>
      <c r="C102">
        <v>2024</v>
      </c>
      <c r="D102">
        <v>4</v>
      </c>
      <c r="E102">
        <v>11</v>
      </c>
    </row>
    <row r="103" spans="1:5" x14ac:dyDescent="0.3">
      <c r="A103">
        <v>102</v>
      </c>
      <c r="B103" t="s">
        <v>522</v>
      </c>
      <c r="C103">
        <v>2024</v>
      </c>
      <c r="D103">
        <v>4</v>
      </c>
      <c r="E103">
        <v>12</v>
      </c>
    </row>
    <row r="104" spans="1:5" x14ac:dyDescent="0.3">
      <c r="A104">
        <v>103</v>
      </c>
      <c r="B104" t="s">
        <v>523</v>
      </c>
      <c r="C104">
        <v>2024</v>
      </c>
      <c r="D104">
        <v>4</v>
      </c>
      <c r="E104">
        <v>13</v>
      </c>
    </row>
    <row r="105" spans="1:5" x14ac:dyDescent="0.3">
      <c r="A105">
        <v>104</v>
      </c>
      <c r="B105" t="s">
        <v>524</v>
      </c>
      <c r="C105">
        <v>2024</v>
      </c>
      <c r="D105">
        <v>4</v>
      </c>
      <c r="E105">
        <v>14</v>
      </c>
    </row>
    <row r="106" spans="1:5" x14ac:dyDescent="0.3">
      <c r="A106">
        <v>105</v>
      </c>
      <c r="B106" t="s">
        <v>525</v>
      </c>
      <c r="C106">
        <v>2024</v>
      </c>
      <c r="D106">
        <v>4</v>
      </c>
      <c r="E106">
        <v>15</v>
      </c>
    </row>
    <row r="107" spans="1:5" x14ac:dyDescent="0.3">
      <c r="A107">
        <v>106</v>
      </c>
      <c r="B107" t="s">
        <v>526</v>
      </c>
      <c r="C107">
        <v>2024</v>
      </c>
      <c r="D107">
        <v>4</v>
      </c>
      <c r="E107">
        <v>16</v>
      </c>
    </row>
    <row r="108" spans="1:5" x14ac:dyDescent="0.3">
      <c r="A108">
        <v>107</v>
      </c>
      <c r="B108" t="s">
        <v>527</v>
      </c>
      <c r="C108">
        <v>2024</v>
      </c>
      <c r="D108">
        <v>4</v>
      </c>
      <c r="E108">
        <v>17</v>
      </c>
    </row>
    <row r="109" spans="1:5" x14ac:dyDescent="0.3">
      <c r="A109">
        <v>108</v>
      </c>
      <c r="B109" t="s">
        <v>528</v>
      </c>
      <c r="C109">
        <v>2024</v>
      </c>
      <c r="D109">
        <v>4</v>
      </c>
      <c r="E109">
        <v>18</v>
      </c>
    </row>
    <row r="110" spans="1:5" x14ac:dyDescent="0.3">
      <c r="A110">
        <v>109</v>
      </c>
      <c r="B110" t="s">
        <v>529</v>
      </c>
      <c r="C110">
        <v>2024</v>
      </c>
      <c r="D110">
        <v>4</v>
      </c>
      <c r="E110">
        <v>19</v>
      </c>
    </row>
    <row r="111" spans="1:5" x14ac:dyDescent="0.3">
      <c r="A111">
        <v>110</v>
      </c>
      <c r="B111" t="s">
        <v>530</v>
      </c>
      <c r="C111">
        <v>2024</v>
      </c>
      <c r="D111">
        <v>4</v>
      </c>
      <c r="E111">
        <v>20</v>
      </c>
    </row>
    <row r="112" spans="1:5" x14ac:dyDescent="0.3">
      <c r="A112">
        <v>111</v>
      </c>
      <c r="B112" t="s">
        <v>531</v>
      </c>
      <c r="C112">
        <v>2024</v>
      </c>
      <c r="D112">
        <v>4</v>
      </c>
      <c r="E112">
        <v>21</v>
      </c>
    </row>
    <row r="113" spans="1:5" x14ac:dyDescent="0.3">
      <c r="A113">
        <v>112</v>
      </c>
      <c r="B113" t="s">
        <v>532</v>
      </c>
      <c r="C113">
        <v>2024</v>
      </c>
      <c r="D113">
        <v>4</v>
      </c>
      <c r="E113">
        <v>22</v>
      </c>
    </row>
    <row r="114" spans="1:5" x14ac:dyDescent="0.3">
      <c r="A114">
        <v>113</v>
      </c>
      <c r="B114" t="s">
        <v>533</v>
      </c>
      <c r="C114">
        <v>2024</v>
      </c>
      <c r="D114">
        <v>4</v>
      </c>
      <c r="E114">
        <v>23</v>
      </c>
    </row>
    <row r="115" spans="1:5" x14ac:dyDescent="0.3">
      <c r="A115">
        <v>114</v>
      </c>
      <c r="B115" t="s">
        <v>534</v>
      </c>
      <c r="C115">
        <v>2024</v>
      </c>
      <c r="D115">
        <v>4</v>
      </c>
      <c r="E115">
        <v>24</v>
      </c>
    </row>
    <row r="116" spans="1:5" x14ac:dyDescent="0.3">
      <c r="A116">
        <v>115</v>
      </c>
      <c r="B116" t="s">
        <v>535</v>
      </c>
      <c r="C116">
        <v>2024</v>
      </c>
      <c r="D116">
        <v>4</v>
      </c>
      <c r="E116">
        <v>25</v>
      </c>
    </row>
    <row r="117" spans="1:5" x14ac:dyDescent="0.3">
      <c r="A117">
        <v>116</v>
      </c>
      <c r="B117" t="s">
        <v>536</v>
      </c>
      <c r="C117">
        <v>2024</v>
      </c>
      <c r="D117">
        <v>4</v>
      </c>
      <c r="E117">
        <v>26</v>
      </c>
    </row>
    <row r="118" spans="1:5" x14ac:dyDescent="0.3">
      <c r="A118">
        <v>117</v>
      </c>
      <c r="B118" t="s">
        <v>537</v>
      </c>
      <c r="C118">
        <v>2024</v>
      </c>
      <c r="D118">
        <v>4</v>
      </c>
      <c r="E118">
        <v>27</v>
      </c>
    </row>
    <row r="119" spans="1:5" x14ac:dyDescent="0.3">
      <c r="A119">
        <v>118</v>
      </c>
      <c r="B119" t="s">
        <v>538</v>
      </c>
      <c r="C119">
        <v>2024</v>
      </c>
      <c r="D119">
        <v>4</v>
      </c>
      <c r="E119">
        <v>28</v>
      </c>
    </row>
    <row r="120" spans="1:5" x14ac:dyDescent="0.3">
      <c r="A120">
        <v>119</v>
      </c>
      <c r="B120" t="s">
        <v>539</v>
      </c>
      <c r="C120">
        <v>2024</v>
      </c>
      <c r="D120">
        <v>4</v>
      </c>
      <c r="E120">
        <v>29</v>
      </c>
    </row>
    <row r="121" spans="1:5" x14ac:dyDescent="0.3">
      <c r="A121">
        <v>120</v>
      </c>
      <c r="B121" t="s">
        <v>540</v>
      </c>
      <c r="C121">
        <v>2024</v>
      </c>
      <c r="D121">
        <v>4</v>
      </c>
      <c r="E121">
        <v>30</v>
      </c>
    </row>
    <row r="122" spans="1:5" x14ac:dyDescent="0.3">
      <c r="A122">
        <v>121</v>
      </c>
      <c r="B122" t="s">
        <v>541</v>
      </c>
      <c r="C122">
        <v>2024</v>
      </c>
      <c r="D122">
        <v>5</v>
      </c>
      <c r="E122">
        <v>1</v>
      </c>
    </row>
    <row r="123" spans="1:5" x14ac:dyDescent="0.3">
      <c r="A123">
        <v>122</v>
      </c>
      <c r="B123" t="s">
        <v>542</v>
      </c>
      <c r="C123">
        <v>2024</v>
      </c>
      <c r="D123">
        <v>5</v>
      </c>
      <c r="E123">
        <v>2</v>
      </c>
    </row>
    <row r="124" spans="1:5" x14ac:dyDescent="0.3">
      <c r="A124">
        <v>123</v>
      </c>
      <c r="B124" t="s">
        <v>543</v>
      </c>
      <c r="C124">
        <v>2024</v>
      </c>
      <c r="D124">
        <v>5</v>
      </c>
      <c r="E124">
        <v>3</v>
      </c>
    </row>
    <row r="125" spans="1:5" x14ac:dyDescent="0.3">
      <c r="A125">
        <v>124</v>
      </c>
      <c r="B125" t="s">
        <v>544</v>
      </c>
      <c r="C125">
        <v>2024</v>
      </c>
      <c r="D125">
        <v>5</v>
      </c>
      <c r="E125">
        <v>4</v>
      </c>
    </row>
    <row r="126" spans="1:5" x14ac:dyDescent="0.3">
      <c r="A126">
        <v>125</v>
      </c>
      <c r="B126" t="s">
        <v>545</v>
      </c>
      <c r="C126">
        <v>2024</v>
      </c>
      <c r="D126">
        <v>5</v>
      </c>
      <c r="E126">
        <v>5</v>
      </c>
    </row>
    <row r="127" spans="1:5" x14ac:dyDescent="0.3">
      <c r="A127">
        <v>126</v>
      </c>
      <c r="B127" t="s">
        <v>546</v>
      </c>
      <c r="C127">
        <v>2024</v>
      </c>
      <c r="D127">
        <v>5</v>
      </c>
      <c r="E127">
        <v>6</v>
      </c>
    </row>
    <row r="128" spans="1:5" x14ac:dyDescent="0.3">
      <c r="A128">
        <v>127</v>
      </c>
      <c r="B128" t="s">
        <v>547</v>
      </c>
      <c r="C128">
        <v>2024</v>
      </c>
      <c r="D128">
        <v>5</v>
      </c>
      <c r="E128">
        <v>7</v>
      </c>
    </row>
    <row r="129" spans="1:5" x14ac:dyDescent="0.3">
      <c r="A129">
        <v>128</v>
      </c>
      <c r="B129" t="s">
        <v>548</v>
      </c>
      <c r="C129">
        <v>2024</v>
      </c>
      <c r="D129">
        <v>5</v>
      </c>
      <c r="E129">
        <v>8</v>
      </c>
    </row>
    <row r="130" spans="1:5" x14ac:dyDescent="0.3">
      <c r="A130">
        <v>129</v>
      </c>
      <c r="B130" t="s">
        <v>549</v>
      </c>
      <c r="C130">
        <v>2024</v>
      </c>
      <c r="D130">
        <v>5</v>
      </c>
      <c r="E130">
        <v>9</v>
      </c>
    </row>
    <row r="131" spans="1:5" x14ac:dyDescent="0.3">
      <c r="A131">
        <v>130</v>
      </c>
      <c r="B131" t="s">
        <v>550</v>
      </c>
      <c r="C131">
        <v>2024</v>
      </c>
      <c r="D131">
        <v>5</v>
      </c>
      <c r="E131">
        <v>10</v>
      </c>
    </row>
    <row r="132" spans="1:5" x14ac:dyDescent="0.3">
      <c r="A132">
        <v>131</v>
      </c>
      <c r="B132" t="s">
        <v>551</v>
      </c>
      <c r="C132">
        <v>2024</v>
      </c>
      <c r="D132">
        <v>5</v>
      </c>
      <c r="E132">
        <v>11</v>
      </c>
    </row>
    <row r="133" spans="1:5" x14ac:dyDescent="0.3">
      <c r="A133">
        <v>132</v>
      </c>
      <c r="B133" t="s">
        <v>552</v>
      </c>
      <c r="C133">
        <v>2024</v>
      </c>
      <c r="D133">
        <v>5</v>
      </c>
      <c r="E133">
        <v>12</v>
      </c>
    </row>
    <row r="134" spans="1:5" x14ac:dyDescent="0.3">
      <c r="A134">
        <v>133</v>
      </c>
      <c r="B134" t="s">
        <v>553</v>
      </c>
      <c r="C134">
        <v>2024</v>
      </c>
      <c r="D134">
        <v>5</v>
      </c>
      <c r="E134">
        <v>13</v>
      </c>
    </row>
    <row r="135" spans="1:5" x14ac:dyDescent="0.3">
      <c r="A135">
        <v>134</v>
      </c>
      <c r="B135" t="s">
        <v>554</v>
      </c>
      <c r="C135">
        <v>2024</v>
      </c>
      <c r="D135">
        <v>5</v>
      </c>
      <c r="E135">
        <v>14</v>
      </c>
    </row>
    <row r="136" spans="1:5" x14ac:dyDescent="0.3">
      <c r="A136">
        <v>135</v>
      </c>
      <c r="B136" t="s">
        <v>555</v>
      </c>
      <c r="C136">
        <v>2024</v>
      </c>
      <c r="D136">
        <v>5</v>
      </c>
      <c r="E136">
        <v>15</v>
      </c>
    </row>
    <row r="137" spans="1:5" x14ac:dyDescent="0.3">
      <c r="A137">
        <v>136</v>
      </c>
      <c r="B137" t="s">
        <v>556</v>
      </c>
      <c r="C137">
        <v>2024</v>
      </c>
      <c r="D137">
        <v>5</v>
      </c>
      <c r="E137">
        <v>16</v>
      </c>
    </row>
    <row r="138" spans="1:5" x14ac:dyDescent="0.3">
      <c r="A138">
        <v>137</v>
      </c>
      <c r="B138" t="s">
        <v>557</v>
      </c>
      <c r="C138">
        <v>2024</v>
      </c>
      <c r="D138">
        <v>5</v>
      </c>
      <c r="E138">
        <v>17</v>
      </c>
    </row>
    <row r="139" spans="1:5" x14ac:dyDescent="0.3">
      <c r="A139">
        <v>138</v>
      </c>
      <c r="B139" t="s">
        <v>558</v>
      </c>
      <c r="C139">
        <v>2024</v>
      </c>
      <c r="D139">
        <v>5</v>
      </c>
      <c r="E139">
        <v>18</v>
      </c>
    </row>
    <row r="140" spans="1:5" x14ac:dyDescent="0.3">
      <c r="A140">
        <v>139</v>
      </c>
      <c r="B140" t="s">
        <v>559</v>
      </c>
      <c r="C140">
        <v>2024</v>
      </c>
      <c r="D140">
        <v>5</v>
      </c>
      <c r="E140">
        <v>19</v>
      </c>
    </row>
    <row r="141" spans="1:5" x14ac:dyDescent="0.3">
      <c r="A141">
        <v>140</v>
      </c>
      <c r="B141" t="s">
        <v>560</v>
      </c>
      <c r="C141">
        <v>2024</v>
      </c>
      <c r="D141">
        <v>5</v>
      </c>
      <c r="E141">
        <v>20</v>
      </c>
    </row>
    <row r="142" spans="1:5" x14ac:dyDescent="0.3">
      <c r="A142">
        <v>141</v>
      </c>
      <c r="B142" t="s">
        <v>561</v>
      </c>
      <c r="C142">
        <v>2024</v>
      </c>
      <c r="D142">
        <v>5</v>
      </c>
      <c r="E142">
        <v>21</v>
      </c>
    </row>
    <row r="143" spans="1:5" x14ac:dyDescent="0.3">
      <c r="A143">
        <v>142</v>
      </c>
      <c r="B143" t="s">
        <v>562</v>
      </c>
      <c r="C143">
        <v>2024</v>
      </c>
      <c r="D143">
        <v>5</v>
      </c>
      <c r="E143">
        <v>22</v>
      </c>
    </row>
    <row r="144" spans="1:5" x14ac:dyDescent="0.3">
      <c r="A144">
        <v>143</v>
      </c>
      <c r="B144" t="s">
        <v>563</v>
      </c>
      <c r="C144">
        <v>2024</v>
      </c>
      <c r="D144">
        <v>5</v>
      </c>
      <c r="E144">
        <v>23</v>
      </c>
    </row>
    <row r="145" spans="1:5" x14ac:dyDescent="0.3">
      <c r="A145">
        <v>144</v>
      </c>
      <c r="B145" t="s">
        <v>564</v>
      </c>
      <c r="C145">
        <v>2024</v>
      </c>
      <c r="D145">
        <v>5</v>
      </c>
      <c r="E145">
        <v>24</v>
      </c>
    </row>
    <row r="146" spans="1:5" x14ac:dyDescent="0.3">
      <c r="A146">
        <v>145</v>
      </c>
      <c r="B146" t="s">
        <v>565</v>
      </c>
      <c r="C146">
        <v>2024</v>
      </c>
      <c r="D146">
        <v>5</v>
      </c>
      <c r="E146">
        <v>25</v>
      </c>
    </row>
    <row r="147" spans="1:5" x14ac:dyDescent="0.3">
      <c r="A147">
        <v>146</v>
      </c>
      <c r="B147" t="s">
        <v>566</v>
      </c>
      <c r="C147">
        <v>2024</v>
      </c>
      <c r="D147">
        <v>5</v>
      </c>
      <c r="E147">
        <v>26</v>
      </c>
    </row>
    <row r="148" spans="1:5" x14ac:dyDescent="0.3">
      <c r="A148">
        <v>147</v>
      </c>
      <c r="B148" t="s">
        <v>567</v>
      </c>
      <c r="C148">
        <v>2024</v>
      </c>
      <c r="D148">
        <v>5</v>
      </c>
      <c r="E148">
        <v>27</v>
      </c>
    </row>
    <row r="149" spans="1:5" x14ac:dyDescent="0.3">
      <c r="A149">
        <v>148</v>
      </c>
      <c r="B149" t="s">
        <v>568</v>
      </c>
      <c r="C149">
        <v>2024</v>
      </c>
      <c r="D149">
        <v>5</v>
      </c>
      <c r="E149">
        <v>28</v>
      </c>
    </row>
    <row r="150" spans="1:5" x14ac:dyDescent="0.3">
      <c r="A150">
        <v>149</v>
      </c>
      <c r="B150" t="s">
        <v>569</v>
      </c>
      <c r="C150">
        <v>2024</v>
      </c>
      <c r="D150">
        <v>5</v>
      </c>
      <c r="E150">
        <v>29</v>
      </c>
    </row>
    <row r="151" spans="1:5" x14ac:dyDescent="0.3">
      <c r="A151">
        <v>150</v>
      </c>
      <c r="B151" t="s">
        <v>570</v>
      </c>
      <c r="C151">
        <v>2024</v>
      </c>
      <c r="D151">
        <v>5</v>
      </c>
      <c r="E151">
        <v>30</v>
      </c>
    </row>
    <row r="152" spans="1:5" x14ac:dyDescent="0.3">
      <c r="A152">
        <v>151</v>
      </c>
      <c r="B152" t="s">
        <v>571</v>
      </c>
      <c r="C152">
        <v>2024</v>
      </c>
      <c r="D152">
        <v>5</v>
      </c>
      <c r="E152">
        <v>31</v>
      </c>
    </row>
    <row r="153" spans="1:5" x14ac:dyDescent="0.3">
      <c r="A153">
        <v>152</v>
      </c>
      <c r="B153" t="s">
        <v>572</v>
      </c>
      <c r="C153">
        <v>2024</v>
      </c>
      <c r="D153">
        <v>6</v>
      </c>
      <c r="E153">
        <v>1</v>
      </c>
    </row>
    <row r="154" spans="1:5" x14ac:dyDescent="0.3">
      <c r="A154">
        <v>153</v>
      </c>
      <c r="B154" t="s">
        <v>573</v>
      </c>
      <c r="C154">
        <v>2024</v>
      </c>
      <c r="D154">
        <v>6</v>
      </c>
      <c r="E154">
        <v>2</v>
      </c>
    </row>
    <row r="155" spans="1:5" x14ac:dyDescent="0.3">
      <c r="A155">
        <v>154</v>
      </c>
      <c r="B155" t="s">
        <v>574</v>
      </c>
      <c r="C155">
        <v>2024</v>
      </c>
      <c r="D155">
        <v>6</v>
      </c>
      <c r="E155">
        <v>3</v>
      </c>
    </row>
    <row r="156" spans="1:5" x14ac:dyDescent="0.3">
      <c r="A156">
        <v>155</v>
      </c>
      <c r="B156" t="s">
        <v>575</v>
      </c>
      <c r="C156">
        <v>2024</v>
      </c>
      <c r="D156">
        <v>6</v>
      </c>
      <c r="E156">
        <v>4</v>
      </c>
    </row>
    <row r="157" spans="1:5" x14ac:dyDescent="0.3">
      <c r="A157">
        <v>156</v>
      </c>
      <c r="B157" t="s">
        <v>576</v>
      </c>
      <c r="C157">
        <v>2024</v>
      </c>
      <c r="D157">
        <v>6</v>
      </c>
      <c r="E157">
        <v>5</v>
      </c>
    </row>
    <row r="158" spans="1:5" x14ac:dyDescent="0.3">
      <c r="A158">
        <v>157</v>
      </c>
      <c r="B158" t="s">
        <v>577</v>
      </c>
      <c r="C158">
        <v>2024</v>
      </c>
      <c r="D158">
        <v>6</v>
      </c>
      <c r="E158">
        <v>6</v>
      </c>
    </row>
    <row r="159" spans="1:5" x14ac:dyDescent="0.3">
      <c r="A159">
        <v>158</v>
      </c>
      <c r="B159" t="s">
        <v>578</v>
      </c>
      <c r="C159">
        <v>2024</v>
      </c>
      <c r="D159">
        <v>6</v>
      </c>
      <c r="E159">
        <v>7</v>
      </c>
    </row>
    <row r="160" spans="1:5" x14ac:dyDescent="0.3">
      <c r="A160">
        <v>159</v>
      </c>
      <c r="B160" t="s">
        <v>579</v>
      </c>
      <c r="C160">
        <v>2024</v>
      </c>
      <c r="D160">
        <v>6</v>
      </c>
      <c r="E160">
        <v>8</v>
      </c>
    </row>
    <row r="161" spans="1:5" x14ac:dyDescent="0.3">
      <c r="A161">
        <v>160</v>
      </c>
      <c r="B161" t="s">
        <v>580</v>
      </c>
      <c r="C161">
        <v>2024</v>
      </c>
      <c r="D161">
        <v>6</v>
      </c>
      <c r="E161">
        <v>9</v>
      </c>
    </row>
    <row r="162" spans="1:5" x14ac:dyDescent="0.3">
      <c r="A162">
        <v>161</v>
      </c>
      <c r="B162" t="s">
        <v>581</v>
      </c>
      <c r="C162">
        <v>2024</v>
      </c>
      <c r="D162">
        <v>6</v>
      </c>
      <c r="E162">
        <v>10</v>
      </c>
    </row>
    <row r="163" spans="1:5" x14ac:dyDescent="0.3">
      <c r="A163">
        <v>162</v>
      </c>
      <c r="B163" t="s">
        <v>582</v>
      </c>
      <c r="C163">
        <v>2024</v>
      </c>
      <c r="D163">
        <v>6</v>
      </c>
      <c r="E163">
        <v>11</v>
      </c>
    </row>
    <row r="164" spans="1:5" x14ac:dyDescent="0.3">
      <c r="A164">
        <v>163</v>
      </c>
      <c r="B164" t="s">
        <v>583</v>
      </c>
      <c r="C164">
        <v>2024</v>
      </c>
      <c r="D164">
        <v>6</v>
      </c>
      <c r="E164">
        <v>12</v>
      </c>
    </row>
    <row r="165" spans="1:5" x14ac:dyDescent="0.3">
      <c r="A165">
        <v>164</v>
      </c>
      <c r="B165" t="s">
        <v>584</v>
      </c>
      <c r="C165">
        <v>2024</v>
      </c>
      <c r="D165">
        <v>6</v>
      </c>
      <c r="E165">
        <v>13</v>
      </c>
    </row>
    <row r="166" spans="1:5" x14ac:dyDescent="0.3">
      <c r="A166">
        <v>165</v>
      </c>
      <c r="B166" t="s">
        <v>585</v>
      </c>
      <c r="C166">
        <v>2024</v>
      </c>
      <c r="D166">
        <v>6</v>
      </c>
      <c r="E166">
        <v>14</v>
      </c>
    </row>
    <row r="167" spans="1:5" x14ac:dyDescent="0.3">
      <c r="A167">
        <v>166</v>
      </c>
      <c r="B167" t="s">
        <v>586</v>
      </c>
      <c r="C167">
        <v>2024</v>
      </c>
      <c r="D167">
        <v>6</v>
      </c>
      <c r="E167">
        <v>15</v>
      </c>
    </row>
    <row r="168" spans="1:5" x14ac:dyDescent="0.3">
      <c r="A168">
        <v>167</v>
      </c>
      <c r="B168" t="s">
        <v>587</v>
      </c>
      <c r="C168">
        <v>2024</v>
      </c>
      <c r="D168">
        <v>6</v>
      </c>
      <c r="E168">
        <v>16</v>
      </c>
    </row>
    <row r="169" spans="1:5" x14ac:dyDescent="0.3">
      <c r="A169">
        <v>168</v>
      </c>
      <c r="B169" t="s">
        <v>588</v>
      </c>
      <c r="C169">
        <v>2024</v>
      </c>
      <c r="D169">
        <v>6</v>
      </c>
      <c r="E169">
        <v>17</v>
      </c>
    </row>
    <row r="170" spans="1:5" x14ac:dyDescent="0.3">
      <c r="A170">
        <v>169</v>
      </c>
      <c r="B170" t="s">
        <v>589</v>
      </c>
      <c r="C170">
        <v>2024</v>
      </c>
      <c r="D170">
        <v>6</v>
      </c>
      <c r="E170">
        <v>18</v>
      </c>
    </row>
    <row r="171" spans="1:5" x14ac:dyDescent="0.3">
      <c r="A171">
        <v>170</v>
      </c>
      <c r="B171" t="s">
        <v>590</v>
      </c>
      <c r="C171">
        <v>2024</v>
      </c>
      <c r="D171">
        <v>6</v>
      </c>
      <c r="E171">
        <v>19</v>
      </c>
    </row>
    <row r="172" spans="1:5" x14ac:dyDescent="0.3">
      <c r="A172">
        <v>171</v>
      </c>
      <c r="B172" t="s">
        <v>591</v>
      </c>
      <c r="C172">
        <v>2024</v>
      </c>
      <c r="D172">
        <v>6</v>
      </c>
      <c r="E172">
        <v>20</v>
      </c>
    </row>
    <row r="173" spans="1:5" x14ac:dyDescent="0.3">
      <c r="A173">
        <v>172</v>
      </c>
      <c r="B173" t="s">
        <v>592</v>
      </c>
      <c r="C173">
        <v>2024</v>
      </c>
      <c r="D173">
        <v>6</v>
      </c>
      <c r="E173">
        <v>21</v>
      </c>
    </row>
    <row r="174" spans="1:5" x14ac:dyDescent="0.3">
      <c r="A174">
        <v>173</v>
      </c>
      <c r="B174" t="s">
        <v>593</v>
      </c>
      <c r="C174">
        <v>2024</v>
      </c>
      <c r="D174">
        <v>6</v>
      </c>
      <c r="E174">
        <v>22</v>
      </c>
    </row>
    <row r="175" spans="1:5" x14ac:dyDescent="0.3">
      <c r="A175">
        <v>174</v>
      </c>
      <c r="B175" t="s">
        <v>594</v>
      </c>
      <c r="C175">
        <v>2024</v>
      </c>
      <c r="D175">
        <v>6</v>
      </c>
      <c r="E175">
        <v>23</v>
      </c>
    </row>
    <row r="176" spans="1:5" x14ac:dyDescent="0.3">
      <c r="A176">
        <v>175</v>
      </c>
      <c r="B176" t="s">
        <v>595</v>
      </c>
      <c r="C176">
        <v>2024</v>
      </c>
      <c r="D176">
        <v>6</v>
      </c>
      <c r="E176">
        <v>24</v>
      </c>
    </row>
    <row r="177" spans="1:5" x14ac:dyDescent="0.3">
      <c r="A177">
        <v>176</v>
      </c>
      <c r="B177" t="s">
        <v>596</v>
      </c>
      <c r="C177">
        <v>2024</v>
      </c>
      <c r="D177">
        <v>6</v>
      </c>
      <c r="E177">
        <v>25</v>
      </c>
    </row>
    <row r="178" spans="1:5" x14ac:dyDescent="0.3">
      <c r="A178">
        <v>177</v>
      </c>
      <c r="B178" t="s">
        <v>597</v>
      </c>
      <c r="C178">
        <v>2024</v>
      </c>
      <c r="D178">
        <v>6</v>
      </c>
      <c r="E178">
        <v>26</v>
      </c>
    </row>
    <row r="179" spans="1:5" x14ac:dyDescent="0.3">
      <c r="A179">
        <v>178</v>
      </c>
      <c r="B179" t="s">
        <v>598</v>
      </c>
      <c r="C179">
        <v>2024</v>
      </c>
      <c r="D179">
        <v>6</v>
      </c>
      <c r="E179">
        <v>27</v>
      </c>
    </row>
    <row r="180" spans="1:5" x14ac:dyDescent="0.3">
      <c r="A180">
        <v>179</v>
      </c>
      <c r="B180" t="s">
        <v>599</v>
      </c>
      <c r="C180">
        <v>2024</v>
      </c>
      <c r="D180">
        <v>6</v>
      </c>
      <c r="E180">
        <v>28</v>
      </c>
    </row>
    <row r="181" spans="1:5" x14ac:dyDescent="0.3">
      <c r="A181">
        <v>180</v>
      </c>
      <c r="B181" t="s">
        <v>600</v>
      </c>
      <c r="C181">
        <v>2024</v>
      </c>
      <c r="D181">
        <v>6</v>
      </c>
      <c r="E181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</vt:lpstr>
      <vt:lpstr>Products</vt:lpstr>
      <vt:lpstr>Stores</vt:lpstr>
      <vt:lpstr>Regions</vt:lpstr>
      <vt:lpstr>Inventory</vt:lpstr>
      <vt:lpstr>Transactions</vt:lpstr>
      <vt:lpstr>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Arpita Banik</dc:creator>
  <cp:lastModifiedBy>Arpita Banik</cp:lastModifiedBy>
  <dcterms:created xsi:type="dcterms:W3CDTF">2026-04-16T07:43:19Z</dcterms:created>
  <dcterms:modified xsi:type="dcterms:W3CDTF">2026-04-16T07:50:57Z</dcterms:modified>
</cp:coreProperties>
</file>